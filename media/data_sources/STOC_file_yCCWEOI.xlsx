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showInkAnnotation="0" codeName="ThisWorkbook" hidePivotFieldList="1" autoCompressPictures="0"/>
  <bookViews>
    <workbookView xWindow="-108" yWindow="-108" windowWidth="23256" windowHeight="13176" tabRatio="830"/>
  </bookViews>
  <sheets>
    <sheet name="STOC Accounting Diligence Datab" sheetId="115" r:id="rId1"/>
    <sheet name="Cover &gt;&gt;&gt;" sheetId="13" r:id="rId2"/>
    <sheet name="QE Summary" sheetId="78" r:id="rId3"/>
    <sheet name="QE &amp; Support &gt;&gt;&gt;" sheetId="23" r:id="rId4"/>
    <sheet name="Lead QE" sheetId="50" r:id="rId5"/>
    <sheet name="QE Descriptions" sheetId="62" r:id="rId6"/>
    <sheet name="QE Detail - MGMT." sheetId="55" r:id="rId7"/>
    <sheet name="Recast PLs &gt;&gt;&gt;" sheetId="58" r:id="rId8"/>
    <sheet name="Recast Reported" sheetId="100" r:id="rId9"/>
    <sheet name="Recast Mgmt. Adjusted" sheetId="101" r:id="rId10"/>
    <sheet name="Other Recast" sheetId="157" r:id="rId11"/>
    <sheet name="Reconciliations &gt;&gt;&gt;" sheetId="130" r:id="rId12"/>
    <sheet name="Proof of Revenue" sheetId="32" r:id="rId13"/>
    <sheet name="Profit and Loss &gt;&gt;&gt;" sheetId="34" r:id="rId14"/>
    <sheet name="Lead PL" sheetId="35" r:id="rId15"/>
    <sheet name="PL" sheetId="143" r:id="rId16"/>
    <sheet name="Source &gt;&gt;&gt;" sheetId="45" r:id="rId17"/>
    <sheet name="PL Database" sheetId="131" r:id="rId18"/>
  </sheets>
  <definedNames>
    <definedName name="\" localSheetId="10" hidden="1">{"kricash",#N/A,FALSE,"INC";"kriinc",#N/A,FALSE,"INC";"krimiami",#N/A,FALSE,"INC";"kriother",#N/A,FALSE,"INC";"kripapers",#N/A,FALSE,"INC"}</definedName>
    <definedName name="\" hidden="1">{"kricash",#N/A,FALSE,"INC";"kriinc",#N/A,FALSE,"INC";"krimiami",#N/A,FALSE,"INC";"kriother",#N/A,FALSE,"INC";"kripapers",#N/A,FALSE,"INC"}</definedName>
    <definedName name="\0">#REF!</definedName>
    <definedName name="\A">#REF!</definedName>
    <definedName name="\B">#REF!</definedName>
    <definedName name="\BDM" localSheetId="10" hidden="1">#REF!</definedName>
    <definedName name="\BDM" localSheetId="9" hidden="1">#REF!</definedName>
    <definedName name="\BDM" localSheetId="8" hidden="1">#REF!</definedName>
    <definedName name="\BDM" localSheetId="16" hidden="1">#REF!</definedName>
    <definedName name="\BDM" hidden="1">#REF!</definedName>
    <definedName name="\C">#REF!</definedName>
    <definedName name="\D">#REF!</definedName>
    <definedName name="\F">#REF!</definedName>
    <definedName name="\G">#REF!</definedName>
    <definedName name="\H">#REF!</definedName>
    <definedName name="\I">#REF!</definedName>
    <definedName name="\J">#REF!</definedName>
    <definedName name="\K">#REF!</definedName>
    <definedName name="\KEY1" localSheetId="10" hidden="1">#REF!</definedName>
    <definedName name="\KEY1" localSheetId="9" hidden="1">#REF!</definedName>
    <definedName name="\KEY1" localSheetId="8" hidden="1">#REF!</definedName>
    <definedName name="\KEY1" localSheetId="16" hidden="1">#REF!</definedName>
    <definedName name="\KEY1" hidden="1">#REF!</definedName>
    <definedName name="\KEY2" localSheetId="10" hidden="1">#REF!</definedName>
    <definedName name="\KEY2" localSheetId="9" hidden="1">#REF!</definedName>
    <definedName name="\KEY2" localSheetId="8" hidden="1">#REF!</definedName>
    <definedName name="\KEY2" localSheetId="16" hidden="1">#REF!</definedName>
    <definedName name="\KEY2" hidden="1">#REF!</definedName>
    <definedName name="\L">#REF!</definedName>
    <definedName name="\M">#REF!</definedName>
    <definedName name="\N">#REF!</definedName>
    <definedName name="\new">#REF!</definedName>
    <definedName name="\P">#REF!</definedName>
    <definedName name="\Q">#REF!</definedName>
    <definedName name="\U">#REF!</definedName>
    <definedName name="\V">#REF!</definedName>
    <definedName name="\Z">#REF!</definedName>
    <definedName name="_" hidden="1">#REF!</definedName>
    <definedName name="__" hidden="1">#REF!</definedName>
    <definedName name="_______________________________no" localSheetId="10" hidden="1">{#N/A,#N/A,FALSE,"Admin";#N/A,#N/A,FALSE,"Other"}</definedName>
    <definedName name="_______________________________no" localSheetId="15" hidden="1">{#N/A,#N/A,FALSE,"Admin";#N/A,#N/A,FALSE,"Other"}</definedName>
    <definedName name="_______________________________no" hidden="1">{#N/A,#N/A,FALSE,"Admin";#N/A,#N/A,FALSE,"Other"}</definedName>
    <definedName name="____________________________ww2" localSheetId="10" hidden="1">{#N/A,#N/A,FALSE,"Admin";#N/A,#N/A,FALSE,"Other"}</definedName>
    <definedName name="____________________________ww2" localSheetId="15" hidden="1">{#N/A,#N/A,FALSE,"Admin";#N/A,#N/A,FALSE,"Other"}</definedName>
    <definedName name="____________________________ww2" hidden="1">{#N/A,#N/A,FALSE,"Admin";#N/A,#N/A,FALSE,"Other"}</definedName>
    <definedName name="______________________tax1">#REF!</definedName>
    <definedName name="______________________tax2">#REF!</definedName>
    <definedName name="______________________tax3">#REF!</definedName>
    <definedName name="______________________tax4">#REF!</definedName>
    <definedName name="_____________________tax1">#REF!</definedName>
    <definedName name="_____________________tax2">#REF!</definedName>
    <definedName name="_____________________tax3">#REF!</definedName>
    <definedName name="_____________________tax4">#REF!</definedName>
    <definedName name="____________________tax1">#REF!</definedName>
    <definedName name="____________________tax2">#REF!</definedName>
    <definedName name="____________________tax3">#REF!</definedName>
    <definedName name="____________________tax4">#REF!</definedName>
    <definedName name="___________________tax1">#REF!</definedName>
    <definedName name="___________________tax2">#REF!</definedName>
    <definedName name="___________________tax3">#REF!</definedName>
    <definedName name="___________________tax4">#REF!</definedName>
    <definedName name="__________________tax1">#REF!</definedName>
    <definedName name="__________________tax2">#REF!</definedName>
    <definedName name="__________________tax3">#REF!</definedName>
    <definedName name="__________________tax4">#REF!</definedName>
    <definedName name="_________________tax1">#REF!</definedName>
    <definedName name="_________________tax2">#REF!</definedName>
    <definedName name="_________________tax3">#REF!</definedName>
    <definedName name="_________________tax4">#REF!</definedName>
    <definedName name="________________hod2" localSheetId="10" hidden="1">{#N/A,#N/A,FALSE,"TS";#N/A,#N/A,FALSE,"Combo";#N/A,#N/A,FALSE,"FAIR";#N/A,#N/A,FALSE,"RBC";#N/A,#N/A,FALSE,"xxxx";#N/A,#N/A,FALSE,"A_D";#N/A,#N/A,FALSE,"WACC";#N/A,#N/A,FALSE,"DCF";#N/A,#N/A,FALSE,"LBO";#N/A,#N/A,FALSE,"AcqMults";#N/A,#N/A,FALSE,"CompMults"}</definedName>
    <definedName name="________________hod2" hidden="1">{#N/A,#N/A,FALSE,"TS";#N/A,#N/A,FALSE,"Combo";#N/A,#N/A,FALSE,"FAIR";#N/A,#N/A,FALSE,"RBC";#N/A,#N/A,FALSE,"xxxx";#N/A,#N/A,FALSE,"A_D";#N/A,#N/A,FALSE,"WACC";#N/A,#N/A,FALSE,"DCF";#N/A,#N/A,FALSE,"LBO";#N/A,#N/A,FALSE,"AcqMults";#N/A,#N/A,FALSE,"CompMults"}</definedName>
    <definedName name="________________ibo2" localSheetId="10" hidden="1">{#N/A,#N/A,FALSE,"Summary";#N/A,#N/A,FALSE,"Projections";#N/A,#N/A,FALSE,"Mkt Mults";#N/A,#N/A,FALSE,"DCF";#N/A,#N/A,FALSE,"Accr Dil";#N/A,#N/A,FALSE,"PIC LBO";#N/A,#N/A,FALSE,"MULT10_4";#N/A,#N/A,FALSE,"CBI LBO"}</definedName>
    <definedName name="________________ibo2" hidden="1">{#N/A,#N/A,FALSE,"Summary";#N/A,#N/A,FALSE,"Projections";#N/A,#N/A,FALSE,"Mkt Mults";#N/A,#N/A,FALSE,"DCF";#N/A,#N/A,FALSE,"Accr Dil";#N/A,#N/A,FALSE,"PIC LBO";#N/A,#N/A,FALSE,"MULT10_4";#N/A,#N/A,FALSE,"CBI LBO"}</definedName>
    <definedName name="________________rod1" localSheetId="10" hidden="1">{#N/A,#N/A,FALSE,"Projections";#N/A,#N/A,FALSE,"Multiples Valuation";#N/A,#N/A,FALSE,"LBO";#N/A,#N/A,FALSE,"Multiples_Sensitivity";#N/A,#N/A,FALSE,"Summary"}</definedName>
    <definedName name="________________rod1" hidden="1">{#N/A,#N/A,FALSE,"Projections";#N/A,#N/A,FALSE,"Multiples Valuation";#N/A,#N/A,FALSE,"LBO";#N/A,#N/A,FALSE,"Multiples_Sensitivity";#N/A,#N/A,FALSE,"Summary"}</definedName>
    <definedName name="________________tax1">#REF!</definedName>
    <definedName name="________________tax2">#REF!</definedName>
    <definedName name="________________tax3">#REF!</definedName>
    <definedName name="________________tax4">#REF!</definedName>
    <definedName name="_______________hod2" localSheetId="10" hidden="1">{#N/A,#N/A,FALSE,"TS";#N/A,#N/A,FALSE,"Combo";#N/A,#N/A,FALSE,"FAIR";#N/A,#N/A,FALSE,"RBC";#N/A,#N/A,FALSE,"xxxx";#N/A,#N/A,FALSE,"A_D";#N/A,#N/A,FALSE,"WACC";#N/A,#N/A,FALSE,"DCF";#N/A,#N/A,FALSE,"LBO";#N/A,#N/A,FALSE,"AcqMults";#N/A,#N/A,FALSE,"CompMults"}</definedName>
    <definedName name="_______________hod2" hidden="1">{#N/A,#N/A,FALSE,"TS";#N/A,#N/A,FALSE,"Combo";#N/A,#N/A,FALSE,"FAIR";#N/A,#N/A,FALSE,"RBC";#N/A,#N/A,FALSE,"xxxx";#N/A,#N/A,FALSE,"A_D";#N/A,#N/A,FALSE,"WACC";#N/A,#N/A,FALSE,"DCF";#N/A,#N/A,FALSE,"LBO";#N/A,#N/A,FALSE,"AcqMults";#N/A,#N/A,FALSE,"CompMults"}</definedName>
    <definedName name="_______________ibo2" localSheetId="10" hidden="1">{#N/A,#N/A,FALSE,"Summary";#N/A,#N/A,FALSE,"Projections";#N/A,#N/A,FALSE,"Mkt Mults";#N/A,#N/A,FALSE,"DCF";#N/A,#N/A,FALSE,"Accr Dil";#N/A,#N/A,FALSE,"PIC LBO";#N/A,#N/A,FALSE,"MULT10_4";#N/A,#N/A,FALSE,"CBI LBO"}</definedName>
    <definedName name="_______________ibo2" hidden="1">{#N/A,#N/A,FALSE,"Summary";#N/A,#N/A,FALSE,"Projections";#N/A,#N/A,FALSE,"Mkt Mults";#N/A,#N/A,FALSE,"DCF";#N/A,#N/A,FALSE,"Accr Dil";#N/A,#N/A,FALSE,"PIC LBO";#N/A,#N/A,FALSE,"MULT10_4";#N/A,#N/A,FALSE,"CBI LBO"}</definedName>
    <definedName name="_______________rod1" localSheetId="10" hidden="1">{#N/A,#N/A,FALSE,"Projections";#N/A,#N/A,FALSE,"Multiples Valuation";#N/A,#N/A,FALSE,"LBO";#N/A,#N/A,FALSE,"Multiples_Sensitivity";#N/A,#N/A,FALSE,"Summary"}</definedName>
    <definedName name="_______________rod1" hidden="1">{#N/A,#N/A,FALSE,"Projections";#N/A,#N/A,FALSE,"Multiples Valuation";#N/A,#N/A,FALSE,"LBO";#N/A,#N/A,FALSE,"Multiples_Sensitivity";#N/A,#N/A,FALSE,"Summary"}</definedName>
    <definedName name="_______________tax1">#REF!</definedName>
    <definedName name="_______________tax2">#REF!</definedName>
    <definedName name="_______________tax3">#REF!</definedName>
    <definedName name="_______________tax4">#REF!</definedName>
    <definedName name="_______________var3" localSheetId="10" hidden="1">{"'777'!$A$1:$H$41"}</definedName>
    <definedName name="_______________var3" localSheetId="15" hidden="1">{"'777'!$A$1:$H$41"}</definedName>
    <definedName name="_______________var3" hidden="1">{"'777'!$A$1:$H$41"}</definedName>
    <definedName name="______________hod2" localSheetId="10" hidden="1">{#N/A,#N/A,FALSE,"TS";#N/A,#N/A,FALSE,"Combo";#N/A,#N/A,FALSE,"FAIR";#N/A,#N/A,FALSE,"RBC";#N/A,#N/A,FALSE,"xxxx";#N/A,#N/A,FALSE,"A_D";#N/A,#N/A,FALSE,"WACC";#N/A,#N/A,FALSE,"DCF";#N/A,#N/A,FALSE,"LBO";#N/A,#N/A,FALSE,"AcqMults";#N/A,#N/A,FALSE,"CompMults"}</definedName>
    <definedName name="______________hod2" hidden="1">{#N/A,#N/A,FALSE,"TS";#N/A,#N/A,FALSE,"Combo";#N/A,#N/A,FALSE,"FAIR";#N/A,#N/A,FALSE,"RBC";#N/A,#N/A,FALSE,"xxxx";#N/A,#N/A,FALSE,"A_D";#N/A,#N/A,FALSE,"WACC";#N/A,#N/A,FALSE,"DCF";#N/A,#N/A,FALSE,"LBO";#N/A,#N/A,FALSE,"AcqMults";#N/A,#N/A,FALSE,"CompMults"}</definedName>
    <definedName name="______________ibo2" localSheetId="10" hidden="1">{#N/A,#N/A,FALSE,"Summary";#N/A,#N/A,FALSE,"Projections";#N/A,#N/A,FALSE,"Mkt Mults";#N/A,#N/A,FALSE,"DCF";#N/A,#N/A,FALSE,"Accr Dil";#N/A,#N/A,FALSE,"PIC LBO";#N/A,#N/A,FALSE,"MULT10_4";#N/A,#N/A,FALSE,"CBI LBO"}</definedName>
    <definedName name="______________ibo2" hidden="1">{#N/A,#N/A,FALSE,"Summary";#N/A,#N/A,FALSE,"Projections";#N/A,#N/A,FALSE,"Mkt Mults";#N/A,#N/A,FALSE,"DCF";#N/A,#N/A,FALSE,"Accr Dil";#N/A,#N/A,FALSE,"PIC LBO";#N/A,#N/A,FALSE,"MULT10_4";#N/A,#N/A,FALSE,"CBI LBO"}</definedName>
    <definedName name="______________rod1" localSheetId="10" hidden="1">{#N/A,#N/A,FALSE,"Projections";#N/A,#N/A,FALSE,"Multiples Valuation";#N/A,#N/A,FALSE,"LBO";#N/A,#N/A,FALSE,"Multiples_Sensitivity";#N/A,#N/A,FALSE,"Summary"}</definedName>
    <definedName name="______________rod1" hidden="1">{#N/A,#N/A,FALSE,"Projections";#N/A,#N/A,FALSE,"Multiples Valuation";#N/A,#N/A,FALSE,"LBO";#N/A,#N/A,FALSE,"Multiples_Sensitivity";#N/A,#N/A,FALSE,"Summary"}</definedName>
    <definedName name="______________tax1">#REF!</definedName>
    <definedName name="______________tax2">#REF!</definedName>
    <definedName name="______________tax3">#REF!</definedName>
    <definedName name="______________tax4">#REF!</definedName>
    <definedName name="______________var3" localSheetId="10" hidden="1">{"'777'!$A$1:$H$41"}</definedName>
    <definedName name="______________var3" localSheetId="15" hidden="1">{"'777'!$A$1:$H$41"}</definedName>
    <definedName name="______________var3" hidden="1">{"'777'!$A$1:$H$41"}</definedName>
    <definedName name="______________ww2" localSheetId="10" hidden="1">{#N/A,#N/A,FALSE,"Admin";#N/A,#N/A,FALSE,"Other"}</definedName>
    <definedName name="______________ww2" localSheetId="15" hidden="1">{#N/A,#N/A,FALSE,"Admin";#N/A,#N/A,FALSE,"Other"}</definedName>
    <definedName name="______________ww2" hidden="1">{#N/A,#N/A,FALSE,"Admin";#N/A,#N/A,FALSE,"Other"}</definedName>
    <definedName name="_____________hod2" localSheetId="10" hidden="1">{#N/A,#N/A,FALSE,"TS";#N/A,#N/A,FALSE,"Combo";#N/A,#N/A,FALSE,"FAIR";#N/A,#N/A,FALSE,"RBC";#N/A,#N/A,FALSE,"xxxx";#N/A,#N/A,FALSE,"A_D";#N/A,#N/A,FALSE,"WACC";#N/A,#N/A,FALSE,"DCF";#N/A,#N/A,FALSE,"LBO";#N/A,#N/A,FALSE,"AcqMults";#N/A,#N/A,FALSE,"CompMults"}</definedName>
    <definedName name="_____________hod2" hidden="1">{#N/A,#N/A,FALSE,"TS";#N/A,#N/A,FALSE,"Combo";#N/A,#N/A,FALSE,"FAIR";#N/A,#N/A,FALSE,"RBC";#N/A,#N/A,FALSE,"xxxx";#N/A,#N/A,FALSE,"A_D";#N/A,#N/A,FALSE,"WACC";#N/A,#N/A,FALSE,"DCF";#N/A,#N/A,FALSE,"LBO";#N/A,#N/A,FALSE,"AcqMults";#N/A,#N/A,FALSE,"CompMults"}</definedName>
    <definedName name="_____________ibo2" localSheetId="10" hidden="1">{#N/A,#N/A,FALSE,"Summary";#N/A,#N/A,FALSE,"Projections";#N/A,#N/A,FALSE,"Mkt Mults";#N/A,#N/A,FALSE,"DCF";#N/A,#N/A,FALSE,"Accr Dil";#N/A,#N/A,FALSE,"PIC LBO";#N/A,#N/A,FALSE,"MULT10_4";#N/A,#N/A,FALSE,"CBI LBO"}</definedName>
    <definedName name="_____________ibo2" hidden="1">{#N/A,#N/A,FALSE,"Summary";#N/A,#N/A,FALSE,"Projections";#N/A,#N/A,FALSE,"Mkt Mults";#N/A,#N/A,FALSE,"DCF";#N/A,#N/A,FALSE,"Accr Dil";#N/A,#N/A,FALSE,"PIC LBO";#N/A,#N/A,FALSE,"MULT10_4";#N/A,#N/A,FALSE,"CBI LBO"}</definedName>
    <definedName name="_____________rod1" localSheetId="10" hidden="1">{#N/A,#N/A,FALSE,"Projections";#N/A,#N/A,FALSE,"Multiples Valuation";#N/A,#N/A,FALSE,"LBO";#N/A,#N/A,FALSE,"Multiples_Sensitivity";#N/A,#N/A,FALSE,"Summary"}</definedName>
    <definedName name="_____________rod1" hidden="1">{#N/A,#N/A,FALSE,"Projections";#N/A,#N/A,FALSE,"Multiples Valuation";#N/A,#N/A,FALSE,"LBO";#N/A,#N/A,FALSE,"Multiples_Sensitivity";#N/A,#N/A,FALSE,"Summary"}</definedName>
    <definedName name="_____________tax1">#REF!</definedName>
    <definedName name="_____________tax2">#REF!</definedName>
    <definedName name="_____________tax3">#REF!</definedName>
    <definedName name="_____________tax4">#REF!</definedName>
    <definedName name="_____________var3" localSheetId="10" hidden="1">{"'777'!$A$1:$H$41"}</definedName>
    <definedName name="_____________var3" localSheetId="15" hidden="1">{"'777'!$A$1:$H$41"}</definedName>
    <definedName name="_____________var3" hidden="1">{"'777'!$A$1:$H$41"}</definedName>
    <definedName name="_____________ww2" localSheetId="10" hidden="1">{#N/A,#N/A,FALSE,"Admin";#N/A,#N/A,FALSE,"Other"}</definedName>
    <definedName name="_____________ww2" localSheetId="15" hidden="1">{#N/A,#N/A,FALSE,"Admin";#N/A,#N/A,FALSE,"Other"}</definedName>
    <definedName name="_____________ww2" hidden="1">{#N/A,#N/A,FALSE,"Admin";#N/A,#N/A,FALSE,"Other"}</definedName>
    <definedName name="____________abc1" localSheetId="10" hidden="1">{"detail",#N/A,FALSE,"mfg";"summary",#N/A,FALSE,"mfg"}</definedName>
    <definedName name="____________abc1" hidden="1">{"detail",#N/A,FALSE,"mfg";"summary",#N/A,FALSE,"mfg"}</definedName>
    <definedName name="____________abc2" localSheetId="10" hidden="1">{"detail",#N/A,FALSE,"mfg";"summary",#N/A,FALSE,"mfg"}</definedName>
    <definedName name="____________abc2" hidden="1">{"detail",#N/A,FALSE,"mfg";"summary",#N/A,FALSE,"mfg"}</definedName>
    <definedName name="____________q1" localSheetId="10" hidden="1">{"inflated_pl",#N/A,FALSE,"P&amp;L"}</definedName>
    <definedName name="____________q1" hidden="1">{"inflated_pl",#N/A,FALSE,"P&amp;L"}</definedName>
    <definedName name="____________q2" localSheetId="10" hidden="1">{"PL_no_inflated",#N/A,FALSE,"P&amp;L"}</definedName>
    <definedName name="____________q2" hidden="1">{"PL_no_inflated",#N/A,FALSE,"P&amp;L"}</definedName>
    <definedName name="____________tax1">#REF!</definedName>
    <definedName name="____________tax2">#REF!</definedName>
    <definedName name="____________tax3">#REF!</definedName>
    <definedName name="____________tax4">#REF!</definedName>
    <definedName name="____________var3" localSheetId="10" hidden="1">{"'777'!$A$1:$H$41"}</definedName>
    <definedName name="____________var3" localSheetId="15" hidden="1">{"'777'!$A$1:$H$41"}</definedName>
    <definedName name="____________var3" hidden="1">{"'777'!$A$1:$H$41"}</definedName>
    <definedName name="____________wrn2" localSheetId="10" hidden="1">{#N/A,#N/A,FALSE,"ASSUMPTIONS";#N/A,#N/A,FALSE,"Valuation Summary";"page1",#N/A,FALSE,"PRESENTATION";"page2",#N/A,FALSE,"PRESENTATION";#N/A,#N/A,FALSE,"ORIGINAL_ROLLBACK"}</definedName>
    <definedName name="____________wrn2" hidden="1">{#N/A,#N/A,FALSE,"ASSUMPTIONS";#N/A,#N/A,FALSE,"Valuation Summary";"page1",#N/A,FALSE,"PRESENTATION";"page2",#N/A,FALSE,"PRESENTATION";#N/A,#N/A,FALSE,"ORIGINAL_ROLLBACK"}</definedName>
    <definedName name="____________wrn3" localSheetId="10" hidden="1">{#N/A,#N/A,FALSE,"ASSUMPTIONS";#N/A,#N/A,FALSE,"Valuation Summary";"page1",#N/A,FALSE,"PRESENTATION";"page2",#N/A,FALSE,"PRESENTATION";#N/A,#N/A,FALSE,"ORIGINAL_ROLLBACK"}</definedName>
    <definedName name="____________wrn3" hidden="1">{#N/A,#N/A,FALSE,"ASSUMPTIONS";#N/A,#N/A,FALSE,"Valuation Summary";"page1",#N/A,FALSE,"PRESENTATION";"page2",#N/A,FALSE,"PRESENTATION";#N/A,#N/A,FALSE,"ORIGINAL_ROLLBACK"}</definedName>
    <definedName name="____________ww2" localSheetId="10" hidden="1">{#N/A,#N/A,FALSE,"Admin";#N/A,#N/A,FALSE,"Other"}</definedName>
    <definedName name="____________ww2" localSheetId="15" hidden="1">{#N/A,#N/A,FALSE,"Admin";#N/A,#N/A,FALSE,"Other"}</definedName>
    <definedName name="____________ww2" hidden="1">{#N/A,#N/A,FALSE,"Admin";#N/A,#N/A,FALSE,"Other"}</definedName>
    <definedName name="____________z12" localSheetId="10" hidden="1">{"pro_view",#N/A,FALSE,"EEFSNAP2";"rep_view",#N/A,FALSE,"EEFSNAP2"}</definedName>
    <definedName name="____________z12" hidden="1">{"pro_view",#N/A,FALSE,"EEFSNAP2";"rep_view",#N/A,FALSE,"EEFSNAP2"}</definedName>
    <definedName name="__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10" hidden="1">{"detail",#N/A,FALSE,"mfg";"summary",#N/A,FALSE,"mfg"}</definedName>
    <definedName name="____________z25" hidden="1">{"detail",#N/A,FALSE,"mfg";"summary",#N/A,FALSE,"mfg"}</definedName>
    <definedName name="___________abc1" localSheetId="10" hidden="1">{"detail",#N/A,FALSE,"mfg";"summary",#N/A,FALSE,"mfg"}</definedName>
    <definedName name="___________abc1" hidden="1">{"detail",#N/A,FALSE,"mfg";"summary",#N/A,FALSE,"mfg"}</definedName>
    <definedName name="___________abc2" localSheetId="10" hidden="1">{"detail",#N/A,FALSE,"mfg";"summary",#N/A,FALSE,"mfg"}</definedName>
    <definedName name="___________abc2" hidden="1">{"detail",#N/A,FALSE,"mfg";"summary",#N/A,FALSE,"mfg"}</definedName>
    <definedName name="___________hod2" localSheetId="10" hidden="1">{#N/A,#N/A,FALSE,"TS";#N/A,#N/A,FALSE,"Combo";#N/A,#N/A,FALSE,"FAIR";#N/A,#N/A,FALSE,"RBC";#N/A,#N/A,FALSE,"xxxx";#N/A,#N/A,FALSE,"A_D";#N/A,#N/A,FALSE,"WACC";#N/A,#N/A,FALSE,"DCF";#N/A,#N/A,FALSE,"LBO";#N/A,#N/A,FALSE,"AcqMults";#N/A,#N/A,FALSE,"CompMults"}</definedName>
    <definedName name="___________hod2" hidden="1">{#N/A,#N/A,FALSE,"TS";#N/A,#N/A,FALSE,"Combo";#N/A,#N/A,FALSE,"FAIR";#N/A,#N/A,FALSE,"RBC";#N/A,#N/A,FALSE,"xxxx";#N/A,#N/A,FALSE,"A_D";#N/A,#N/A,FALSE,"WACC";#N/A,#N/A,FALSE,"DCF";#N/A,#N/A,FALSE,"LBO";#N/A,#N/A,FALSE,"AcqMults";#N/A,#N/A,FALSE,"CompMults"}</definedName>
    <definedName name="___________ibo2" localSheetId="10" hidden="1">{#N/A,#N/A,FALSE,"Summary";#N/A,#N/A,FALSE,"Projections";#N/A,#N/A,FALSE,"Mkt Mults";#N/A,#N/A,FALSE,"DCF";#N/A,#N/A,FALSE,"Accr Dil";#N/A,#N/A,FALSE,"PIC LBO";#N/A,#N/A,FALSE,"MULT10_4";#N/A,#N/A,FALSE,"CBI LBO"}</definedName>
    <definedName name="___________ibo2" hidden="1">{#N/A,#N/A,FALSE,"Summary";#N/A,#N/A,FALSE,"Projections";#N/A,#N/A,FALSE,"Mkt Mults";#N/A,#N/A,FALSE,"DCF";#N/A,#N/A,FALSE,"Accr Dil";#N/A,#N/A,FALSE,"PIC LBO";#N/A,#N/A,FALSE,"MULT10_4";#N/A,#N/A,FALSE,"CBI LBO"}</definedName>
    <definedName name="___________q1" localSheetId="10" hidden="1">{"inflated_pl",#N/A,FALSE,"P&amp;L"}</definedName>
    <definedName name="___________q1" hidden="1">{"inflated_pl",#N/A,FALSE,"P&amp;L"}</definedName>
    <definedName name="___________q2" localSheetId="10" hidden="1">{"PL_no_inflated",#N/A,FALSE,"P&amp;L"}</definedName>
    <definedName name="___________q2" hidden="1">{"PL_no_inflated",#N/A,FALSE,"P&amp;L"}</definedName>
    <definedName name="___________rod1" localSheetId="10" hidden="1">{#N/A,#N/A,FALSE,"Projections";#N/A,#N/A,FALSE,"Multiples Valuation";#N/A,#N/A,FALSE,"LBO";#N/A,#N/A,FALSE,"Multiples_Sensitivity";#N/A,#N/A,FALSE,"Summary"}</definedName>
    <definedName name="___________rod1" hidden="1">{#N/A,#N/A,FALSE,"Projections";#N/A,#N/A,FALSE,"Multiples Valuation";#N/A,#N/A,FALSE,"LBO";#N/A,#N/A,FALSE,"Multiples_Sensitivity";#N/A,#N/A,FALSE,"Summary"}</definedName>
    <definedName name="___________tax1">#REF!</definedName>
    <definedName name="___________tax2">#REF!</definedName>
    <definedName name="___________tax3">#REF!</definedName>
    <definedName name="___________tax4">#REF!</definedName>
    <definedName name="___________var3" localSheetId="10" hidden="1">{"'777'!$A$1:$H$41"}</definedName>
    <definedName name="___________var3" localSheetId="15" hidden="1">{"'777'!$A$1:$H$41"}</definedName>
    <definedName name="___________var3" hidden="1">{"'777'!$A$1:$H$41"}</definedName>
    <definedName name="___________wrn2" localSheetId="10" hidden="1">{#N/A,#N/A,FALSE,"ASSUMPTIONS";#N/A,#N/A,FALSE,"Valuation Summary";"page1",#N/A,FALSE,"PRESENTATION";"page2",#N/A,FALSE,"PRESENTATION";#N/A,#N/A,FALSE,"ORIGINAL_ROLLBACK"}</definedName>
    <definedName name="___________wrn2" hidden="1">{#N/A,#N/A,FALSE,"ASSUMPTIONS";#N/A,#N/A,FALSE,"Valuation Summary";"page1",#N/A,FALSE,"PRESENTATION";"page2",#N/A,FALSE,"PRESENTATION";#N/A,#N/A,FALSE,"ORIGINAL_ROLLBACK"}</definedName>
    <definedName name="___________wrn3" localSheetId="10" hidden="1">{#N/A,#N/A,FALSE,"ASSUMPTIONS";#N/A,#N/A,FALSE,"Valuation Summary";"page1",#N/A,FALSE,"PRESENTATION";"page2",#N/A,FALSE,"PRESENTATION";#N/A,#N/A,FALSE,"ORIGINAL_ROLLBACK"}</definedName>
    <definedName name="___________wrn3" hidden="1">{#N/A,#N/A,FALSE,"ASSUMPTIONS";#N/A,#N/A,FALSE,"Valuation Summary";"page1",#N/A,FALSE,"PRESENTATION";"page2",#N/A,FALSE,"PRESENTATION";#N/A,#N/A,FALSE,"ORIGINAL_ROLLBACK"}</definedName>
    <definedName name="___________ww2" localSheetId="10" hidden="1">{#N/A,#N/A,FALSE,"Admin";#N/A,#N/A,FALSE,"Other"}</definedName>
    <definedName name="___________ww2" localSheetId="15" hidden="1">{#N/A,#N/A,FALSE,"Admin";#N/A,#N/A,FALSE,"Other"}</definedName>
    <definedName name="___________ww2" hidden="1">{#N/A,#N/A,FALSE,"Admin";#N/A,#N/A,FALSE,"Other"}</definedName>
    <definedName name="___________z12" localSheetId="10" hidden="1">{"pro_view",#N/A,FALSE,"EEFSNAP2";"rep_view",#N/A,FALSE,"EEFSNAP2"}</definedName>
    <definedName name="___________z12" hidden="1">{"pro_view",#N/A,FALSE,"EEFSNAP2";"rep_view",#N/A,FALSE,"EEFSNAP2"}</definedName>
    <definedName name="_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10" hidden="1">{"detail",#N/A,FALSE,"mfg";"summary",#N/A,FALSE,"mfg"}</definedName>
    <definedName name="___________z25" hidden="1">{"detail",#N/A,FALSE,"mfg";"summary",#N/A,FALSE,"mfg"}</definedName>
    <definedName name="__________abc1" localSheetId="10" hidden="1">{"detail",#N/A,FALSE,"mfg";"summary",#N/A,FALSE,"mfg"}</definedName>
    <definedName name="__________abc1" hidden="1">{"detail",#N/A,FALSE,"mfg";"summary",#N/A,FALSE,"mfg"}</definedName>
    <definedName name="__________abc2" localSheetId="10" hidden="1">{"detail",#N/A,FALSE,"mfg";"summary",#N/A,FALSE,"mfg"}</definedName>
    <definedName name="__________abc2" hidden="1">{"detail",#N/A,FALSE,"mfg";"summary",#N/A,FALSE,"mfg"}</definedName>
    <definedName name="__________hod2" localSheetId="10" hidden="1">{#N/A,#N/A,FALSE,"TS";#N/A,#N/A,FALSE,"Combo";#N/A,#N/A,FALSE,"FAIR";#N/A,#N/A,FALSE,"RBC";#N/A,#N/A,FALSE,"xxxx";#N/A,#N/A,FALSE,"A_D";#N/A,#N/A,FALSE,"WACC";#N/A,#N/A,FALSE,"DCF";#N/A,#N/A,FALSE,"LBO";#N/A,#N/A,FALSE,"AcqMults";#N/A,#N/A,FALSE,"CompMults"}</definedName>
    <definedName name="__________hod2" hidden="1">{#N/A,#N/A,FALSE,"TS";#N/A,#N/A,FALSE,"Combo";#N/A,#N/A,FALSE,"FAIR";#N/A,#N/A,FALSE,"RBC";#N/A,#N/A,FALSE,"xxxx";#N/A,#N/A,FALSE,"A_D";#N/A,#N/A,FALSE,"WACC";#N/A,#N/A,FALSE,"DCF";#N/A,#N/A,FALSE,"LBO";#N/A,#N/A,FALSE,"AcqMults";#N/A,#N/A,FALSE,"CompMults"}</definedName>
    <definedName name="__________ibo2" localSheetId="10" hidden="1">{#N/A,#N/A,FALSE,"Summary";#N/A,#N/A,FALSE,"Projections";#N/A,#N/A,FALSE,"Mkt Mults";#N/A,#N/A,FALSE,"DCF";#N/A,#N/A,FALSE,"Accr Dil";#N/A,#N/A,FALSE,"PIC LBO";#N/A,#N/A,FALSE,"MULT10_4";#N/A,#N/A,FALSE,"CBI LBO"}</definedName>
    <definedName name="__________ibo2" hidden="1">{#N/A,#N/A,FALSE,"Summary";#N/A,#N/A,FALSE,"Projections";#N/A,#N/A,FALSE,"Mkt Mults";#N/A,#N/A,FALSE,"DCF";#N/A,#N/A,FALSE,"Accr Dil";#N/A,#N/A,FALSE,"PIC LBO";#N/A,#N/A,FALSE,"MULT10_4";#N/A,#N/A,FALSE,"CBI LBO"}</definedName>
    <definedName name="__________ISV4" localSheetId="10" hidden="1">{"Material",#N/A,TRUE,"Summary";"Mfg",#N/A,TRUE,"Summary";"mfgbymo",#N/A,TRUE,"By Month";"Mtlbymo",#N/A,TRUE,"By Month"}</definedName>
    <definedName name="__________ISV4" hidden="1">{"Material",#N/A,TRUE,"Summary";"Mfg",#N/A,TRUE,"Summary";"mfgbymo",#N/A,TRUE,"By Month";"Mtlbymo",#N/A,TRUE,"By Month"}</definedName>
    <definedName name="__________ISV4_1" localSheetId="10" hidden="1">{"Material",#N/A,TRUE,"Summary";"Mfg",#N/A,TRUE,"Summary";"mfgbymo",#N/A,TRUE,"By Month";"Mtlbymo",#N/A,TRUE,"By Month"}</definedName>
    <definedName name="__________ISV4_1" hidden="1">{"Material",#N/A,TRUE,"Summary";"Mfg",#N/A,TRUE,"Summary";"mfgbymo",#N/A,TRUE,"By Month";"Mtlbymo",#N/A,TRUE,"By Month"}</definedName>
    <definedName name="__________ISV4_1_1" localSheetId="10" hidden="1">{"Material",#N/A,TRUE,"Summary";"Mfg",#N/A,TRUE,"Summary";"mfgbymo",#N/A,TRUE,"By Month";"Mtlbymo",#N/A,TRUE,"By Month"}</definedName>
    <definedName name="__________ISV4_1_1" hidden="1">{"Material",#N/A,TRUE,"Summary";"Mfg",#N/A,TRUE,"Summary";"mfgbymo",#N/A,TRUE,"By Month";"Mtlbymo",#N/A,TRUE,"By Month"}</definedName>
    <definedName name="__________ISV4_2" localSheetId="10" hidden="1">{"Material",#N/A,TRUE,"Summary";"Mfg",#N/A,TRUE,"Summary";"mfgbymo",#N/A,TRUE,"By Month";"Mtlbymo",#N/A,TRUE,"By Month"}</definedName>
    <definedName name="__________ISV4_2" hidden="1">{"Material",#N/A,TRUE,"Summary";"Mfg",#N/A,TRUE,"Summary";"mfgbymo",#N/A,TRUE,"By Month";"Mtlbymo",#N/A,TRUE,"By Month"}</definedName>
    <definedName name="__________rod1" localSheetId="10"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tax1">#REF!</definedName>
    <definedName name="__________tax2">#REF!</definedName>
    <definedName name="__________tax3">#REF!</definedName>
    <definedName name="__________tax4">#REF!</definedName>
    <definedName name="__________var3" localSheetId="10" hidden="1">{"'777'!$A$1:$H$41"}</definedName>
    <definedName name="__________var3" localSheetId="15" hidden="1">{"'777'!$A$1:$H$41"}</definedName>
    <definedName name="__________var3" hidden="1">{"'777'!$A$1:$H$41"}</definedName>
    <definedName name="__________wrn2" localSheetId="10" hidden="1">{#N/A,#N/A,TRUE,"Notes";#N/A,#N/A,TRUE,"Cap Struct";#N/A,#N/A,TRUE,"OBS";#N/A,#N/A,TRUE,"bal Sheet";#N/A,#N/A,TRUE,"Inc stmt";#N/A,#N/A,TRUE,"csh flw";#N/A,#N/A,TRUE,"debt";#N/A,#N/A,TRUE,"detail 96,97";#N/A,#N/A,TRUE,"Covenants"}</definedName>
    <definedName name="__________wrn2" localSheetId="15" hidden="1">{#N/A,#N/A,TRUE,"Notes";#N/A,#N/A,TRUE,"Cap Struct";#N/A,#N/A,TRUE,"OBS";#N/A,#N/A,TRUE,"bal Sheet";#N/A,#N/A,TRUE,"Inc stmt";#N/A,#N/A,TRUE,"csh flw";#N/A,#N/A,TRUE,"debt";#N/A,#N/A,TRUE,"detail 96,97";#N/A,#N/A,TRUE,"Covenants"}</definedName>
    <definedName name="__________wrn2" hidden="1">{#N/A,#N/A,TRUE,"Notes";#N/A,#N/A,TRUE,"Cap Struct";#N/A,#N/A,TRUE,"OBS";#N/A,#N/A,TRUE,"bal Sheet";#N/A,#N/A,TRUE,"Inc stmt";#N/A,#N/A,TRUE,"csh flw";#N/A,#N/A,TRUE,"debt";#N/A,#N/A,TRUE,"detail 96,97";#N/A,#N/A,TRUE,"Covenants"}</definedName>
    <definedName name="__________wrn3" localSheetId="10" hidden="1">{#N/A,#N/A,TRUE,"Notes";#N/A,#N/A,TRUE,"Cap Struct";#N/A,#N/A,TRUE,"OBS";#N/A,#N/A,TRUE,"bal Sheet";#N/A,#N/A,TRUE,"Inc stmt";#N/A,#N/A,TRUE,"csh flw";#N/A,#N/A,TRUE,"debt";#N/A,#N/A,TRUE,"detail 96,97";#N/A,#N/A,TRUE,"Covenants"}</definedName>
    <definedName name="__________wrn3" localSheetId="15" hidden="1">{#N/A,#N/A,TRUE,"Notes";#N/A,#N/A,TRUE,"Cap Struct";#N/A,#N/A,TRUE,"OBS";#N/A,#N/A,TRUE,"bal Sheet";#N/A,#N/A,TRUE,"Inc stmt";#N/A,#N/A,TRUE,"csh flw";#N/A,#N/A,TRUE,"debt";#N/A,#N/A,TRUE,"detail 96,97";#N/A,#N/A,TRUE,"Covenants"}</definedName>
    <definedName name="__________wrn3" hidden="1">{#N/A,#N/A,TRUE,"Notes";#N/A,#N/A,TRUE,"Cap Struct";#N/A,#N/A,TRUE,"OBS";#N/A,#N/A,TRUE,"bal Sheet";#N/A,#N/A,TRUE,"Inc stmt";#N/A,#N/A,TRUE,"csh flw";#N/A,#N/A,TRUE,"debt";#N/A,#N/A,TRUE,"detail 96,97";#N/A,#N/A,TRUE,"Covenants"}</definedName>
    <definedName name="__________ww2" localSheetId="10" hidden="1">{#N/A,#N/A,FALSE,"Admin";#N/A,#N/A,FALSE,"Other"}</definedName>
    <definedName name="__________ww2" localSheetId="15" hidden="1">{#N/A,#N/A,FALSE,"Admin";#N/A,#N/A,FALSE,"Other"}</definedName>
    <definedName name="__________ww2" hidden="1">{#N/A,#N/A,FALSE,"Admin";#N/A,#N/A,FALSE,"Other"}</definedName>
    <definedName name="__________z12" localSheetId="10" hidden="1">{"pro_view",#N/A,FALSE,"EEFSNAP2";"rep_view",#N/A,FALSE,"EEFSNAP2"}</definedName>
    <definedName name="__________z12" hidden="1">{"pro_view",#N/A,FALSE,"EEFSNAP2";"rep_view",#N/A,FALSE,"EEFSNAP2"}</definedName>
    <definedName name="_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10" hidden="1">{"detail",#N/A,FALSE,"mfg";"summary",#N/A,FALSE,"mfg"}</definedName>
    <definedName name="__________z25" hidden="1">{"detail",#N/A,FALSE,"mfg";"summary",#N/A,FALSE,"mfg"}</definedName>
    <definedName name="_________A11" localSheetId="10" hidden="1">{#N/A,#N/A,FALSE,"Umsatz 99";#N/A,#N/A,FALSE,"ER 99 "}</definedName>
    <definedName name="_________A11" hidden="1">{#N/A,#N/A,FALSE,"Umsatz 99";#N/A,#N/A,FALSE,"ER 99 "}</definedName>
    <definedName name="_________abc1" localSheetId="10" hidden="1">{"detail",#N/A,FALSE,"mfg";"summary",#N/A,FALSE,"mfg"}</definedName>
    <definedName name="_________abc1" hidden="1">{"detail",#N/A,FALSE,"mfg";"summary",#N/A,FALSE,"mfg"}</definedName>
    <definedName name="_________abc2" localSheetId="10" hidden="1">{"detail",#N/A,FALSE,"mfg";"summary",#N/A,FALSE,"mfg"}</definedName>
    <definedName name="_________abc2" hidden="1">{"detail",#N/A,FALSE,"mfg";"summary",#N/A,FALSE,"mfg"}</definedName>
    <definedName name="_________c" localSheetId="10" hidden="1">{"Fiesta Facer Page",#N/A,FALSE,"Q_C_S";"Fiesta Main Page",#N/A,FALSE,"V_L";"Fiesta 95BP Struct",#N/A,FALSE,"StructBP";"Fiesta Post 95BP Struct",#N/A,FALSE,"AdjStructBP"}</definedName>
    <definedName name="_________c" hidden="1">{"Fiesta Facer Page",#N/A,FALSE,"Q_C_S";"Fiesta Main Page",#N/A,FALSE,"V_L";"Fiesta 95BP Struct",#N/A,FALSE,"StructBP";"Fiesta Post 95BP Struct",#N/A,FALSE,"AdjStructBP"}</definedName>
    <definedName name="_________hod2" localSheetId="10" hidden="1">{#N/A,#N/A,FALSE,"TS";#N/A,#N/A,FALSE,"Combo";#N/A,#N/A,FALSE,"FAIR";#N/A,#N/A,FALSE,"RBC";#N/A,#N/A,FALSE,"xxxx";#N/A,#N/A,FALSE,"A_D";#N/A,#N/A,FALSE,"WACC";#N/A,#N/A,FALSE,"DCF";#N/A,#N/A,FALSE,"LBO";#N/A,#N/A,FALSE,"AcqMults";#N/A,#N/A,FALSE,"CompMults"}</definedName>
    <definedName name="_________hod2" hidden="1">{#N/A,#N/A,FALSE,"TS";#N/A,#N/A,FALSE,"Combo";#N/A,#N/A,FALSE,"FAIR";#N/A,#N/A,FALSE,"RBC";#N/A,#N/A,FALSE,"xxxx";#N/A,#N/A,FALSE,"A_D";#N/A,#N/A,FALSE,"WACC";#N/A,#N/A,FALSE,"DCF";#N/A,#N/A,FALSE,"LBO";#N/A,#N/A,FALSE,"AcqMults";#N/A,#N/A,FALSE,"CompMults"}</definedName>
    <definedName name="_________ibo2" localSheetId="10" hidden="1">{#N/A,#N/A,FALSE,"Summary";#N/A,#N/A,FALSE,"Projections";#N/A,#N/A,FALSE,"Mkt Mults";#N/A,#N/A,FALSE,"DCF";#N/A,#N/A,FALSE,"Accr Dil";#N/A,#N/A,FALSE,"PIC LBO";#N/A,#N/A,FALSE,"MULT10_4";#N/A,#N/A,FALSE,"CBI LBO"}</definedName>
    <definedName name="_________ibo2" hidden="1">{#N/A,#N/A,FALSE,"Summary";#N/A,#N/A,FALSE,"Projections";#N/A,#N/A,FALSE,"Mkt Mults";#N/A,#N/A,FALSE,"DCF";#N/A,#N/A,FALSE,"Accr Dil";#N/A,#N/A,FALSE,"PIC LBO";#N/A,#N/A,FALSE,"MULT10_4";#N/A,#N/A,FALSE,"CBI LBO"}</definedName>
    <definedName name="_________ISV4" localSheetId="10" hidden="1">{"Material",#N/A,TRUE,"Summary";"Mfg",#N/A,TRUE,"Summary";"mfgbymo",#N/A,TRUE,"By Month";"Mtlbymo",#N/A,TRUE,"By Month"}</definedName>
    <definedName name="_________ISV4" hidden="1">{"Material",#N/A,TRUE,"Summary";"Mfg",#N/A,TRUE,"Summary";"mfgbymo",#N/A,TRUE,"By Month";"Mtlbymo",#N/A,TRUE,"By Month"}</definedName>
    <definedName name="_________ISV4_1" localSheetId="10" hidden="1">{"Material",#N/A,TRUE,"Summary";"Mfg",#N/A,TRUE,"Summary";"mfgbymo",#N/A,TRUE,"By Month";"Mtlbymo",#N/A,TRUE,"By Month"}</definedName>
    <definedName name="_________ISV4_1" hidden="1">{"Material",#N/A,TRUE,"Summary";"Mfg",#N/A,TRUE,"Summary";"mfgbymo",#N/A,TRUE,"By Month";"Mtlbymo",#N/A,TRUE,"By Month"}</definedName>
    <definedName name="_________ISV4_1_1" localSheetId="10" hidden="1">{"Material",#N/A,TRUE,"Summary";"Mfg",#N/A,TRUE,"Summary";"mfgbymo",#N/A,TRUE,"By Month";"Mtlbymo",#N/A,TRUE,"By Month"}</definedName>
    <definedName name="_________ISV4_1_1" hidden="1">{"Material",#N/A,TRUE,"Summary";"Mfg",#N/A,TRUE,"Summary";"mfgbymo",#N/A,TRUE,"By Month";"Mtlbymo",#N/A,TRUE,"By Month"}</definedName>
    <definedName name="_________ISV4_2" localSheetId="10" hidden="1">{"Material",#N/A,TRUE,"Summary";"Mfg",#N/A,TRUE,"Summary";"mfgbymo",#N/A,TRUE,"By Month";"Mtlbymo",#N/A,TRUE,"By Month"}</definedName>
    <definedName name="_________ISV4_2" hidden="1">{"Material",#N/A,TRUE,"Summary";"Mfg",#N/A,TRUE,"Summary";"mfgbymo",#N/A,TRUE,"By Month";"Mtlbymo",#N/A,TRUE,"By Month"}</definedName>
    <definedName name="_________key2" hidden="1">#REF!</definedName>
    <definedName name="_________q1" localSheetId="10" hidden="1">{"inflated_pl",#N/A,FALSE,"P&amp;L"}</definedName>
    <definedName name="_________q1" hidden="1">{"inflated_pl",#N/A,FALSE,"P&amp;L"}</definedName>
    <definedName name="_________q2" localSheetId="10" hidden="1">{"PL_no_inflated",#N/A,FALSE,"P&amp;L"}</definedName>
    <definedName name="_________q2" hidden="1">{"PL_no_inflated",#N/A,FALSE,"P&amp;L"}</definedName>
    <definedName name="_________rod1" localSheetId="10" hidden="1">{#N/A,#N/A,FALSE,"Projections";#N/A,#N/A,FALSE,"Multiples Valuation";#N/A,#N/A,FALSE,"LBO";#N/A,#N/A,FALSE,"Multiples_Sensitivity";#N/A,#N/A,FALSE,"Summary"}</definedName>
    <definedName name="_________rod1" hidden="1">{#N/A,#N/A,FALSE,"Projections";#N/A,#N/A,FALSE,"Multiples Valuation";#N/A,#N/A,FALSE,"LBO";#N/A,#N/A,FALSE,"Multiples_Sensitivity";#N/A,#N/A,FALSE,"Summary"}</definedName>
    <definedName name="_________tax1">#REF!</definedName>
    <definedName name="_________tax2">#REF!</definedName>
    <definedName name="_________tax3">#REF!</definedName>
    <definedName name="_________tax4">#REF!</definedName>
    <definedName name="_________var3" localSheetId="10" hidden="1">{"'777'!$A$1:$H$41"}</definedName>
    <definedName name="_________var3" localSheetId="15" hidden="1">{"'777'!$A$1:$H$41"}</definedName>
    <definedName name="_________var3" hidden="1">{"'777'!$A$1:$H$41"}</definedName>
    <definedName name="_________wrn2" localSheetId="10" hidden="1">{#N/A,#N/A,TRUE,"Notes";#N/A,#N/A,TRUE,"Cap Struct";#N/A,#N/A,TRUE,"OBS";#N/A,#N/A,TRUE,"bal Sheet";#N/A,#N/A,TRUE,"Inc stmt";#N/A,#N/A,TRUE,"csh flw";#N/A,#N/A,TRUE,"debt";#N/A,#N/A,TRUE,"detail 96,97";#N/A,#N/A,TRUE,"Covenants"}</definedName>
    <definedName name="_________wrn2" localSheetId="15" hidden="1">{#N/A,#N/A,TRUE,"Notes";#N/A,#N/A,TRUE,"Cap Struct";#N/A,#N/A,TRUE,"OBS";#N/A,#N/A,TRUE,"bal Sheet";#N/A,#N/A,TRUE,"Inc stmt";#N/A,#N/A,TRUE,"csh flw";#N/A,#N/A,TRUE,"debt";#N/A,#N/A,TRUE,"detail 96,97";#N/A,#N/A,TRUE,"Covenants"}</definedName>
    <definedName name="_________wrn2" hidden="1">{#N/A,#N/A,TRUE,"Notes";#N/A,#N/A,TRUE,"Cap Struct";#N/A,#N/A,TRUE,"OBS";#N/A,#N/A,TRUE,"bal Sheet";#N/A,#N/A,TRUE,"Inc stmt";#N/A,#N/A,TRUE,"csh flw";#N/A,#N/A,TRUE,"debt";#N/A,#N/A,TRUE,"detail 96,97";#N/A,#N/A,TRUE,"Covenants"}</definedName>
    <definedName name="_________wrn3" localSheetId="10" hidden="1">{#N/A,#N/A,TRUE,"Notes";#N/A,#N/A,TRUE,"Cap Struct";#N/A,#N/A,TRUE,"OBS";#N/A,#N/A,TRUE,"bal Sheet";#N/A,#N/A,TRUE,"Inc stmt";#N/A,#N/A,TRUE,"csh flw";#N/A,#N/A,TRUE,"debt";#N/A,#N/A,TRUE,"detail 96,97";#N/A,#N/A,TRUE,"Covenants"}</definedName>
    <definedName name="_________wrn3" localSheetId="15" hidden="1">{#N/A,#N/A,TRUE,"Notes";#N/A,#N/A,TRUE,"Cap Struct";#N/A,#N/A,TRUE,"OBS";#N/A,#N/A,TRUE,"bal Sheet";#N/A,#N/A,TRUE,"Inc stmt";#N/A,#N/A,TRUE,"csh flw";#N/A,#N/A,TRUE,"debt";#N/A,#N/A,TRUE,"detail 96,97";#N/A,#N/A,TRUE,"Covenants"}</definedName>
    <definedName name="_________wrn3" hidden="1">{#N/A,#N/A,TRUE,"Notes";#N/A,#N/A,TRUE,"Cap Struct";#N/A,#N/A,TRUE,"OBS";#N/A,#N/A,TRUE,"bal Sheet";#N/A,#N/A,TRUE,"Inc stmt";#N/A,#N/A,TRUE,"csh flw";#N/A,#N/A,TRUE,"debt";#N/A,#N/A,TRUE,"detail 96,97";#N/A,#N/A,TRUE,"Covenants"}</definedName>
    <definedName name="_________ww2" localSheetId="10" hidden="1">{#N/A,#N/A,FALSE,"Admin";#N/A,#N/A,FALSE,"Other"}</definedName>
    <definedName name="_________ww2" localSheetId="15" hidden="1">{#N/A,#N/A,FALSE,"Admin";#N/A,#N/A,FALSE,"Other"}</definedName>
    <definedName name="_________ww2" hidden="1">{#N/A,#N/A,FALSE,"Admin";#N/A,#N/A,FALSE,"Other"}</definedName>
    <definedName name="_________z12" localSheetId="10" hidden="1">{"pro_view",#N/A,FALSE,"EEFSNAP2";"rep_view",#N/A,FALSE,"EEFSNAP2"}</definedName>
    <definedName name="_________z12" hidden="1">{"pro_view",#N/A,FALSE,"EEFSNAP2";"rep_view",#N/A,FALSE,"EEFSNAP2"}</definedName>
    <definedName name="_________z22" localSheetId="10"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10" hidden="1">{"detail",#N/A,FALSE,"mfg";"summary",#N/A,FALSE,"mfg"}</definedName>
    <definedName name="_________z25" hidden="1">{"detail",#N/A,FALSE,"mfg";"summary",#N/A,FALSE,"mfg"}</definedName>
    <definedName name="________A11" localSheetId="10" hidden="1">{#N/A,#N/A,FALSE,"Umsatz 99";#N/A,#N/A,FALSE,"ER 99 "}</definedName>
    <definedName name="________A11" hidden="1">{#N/A,#N/A,FALSE,"Umsatz 99";#N/A,#N/A,FALSE,"ER 99 "}</definedName>
    <definedName name="________abc1" localSheetId="10" hidden="1">{"detail",#N/A,FALSE,"mfg";"summary",#N/A,FALSE,"mfg"}</definedName>
    <definedName name="________abc1" hidden="1">{"detail",#N/A,FALSE,"mfg";"summary",#N/A,FALSE,"mfg"}</definedName>
    <definedName name="________abc2" localSheetId="10" hidden="1">{"detail",#N/A,FALSE,"mfg";"summary",#N/A,FALSE,"mfg"}</definedName>
    <definedName name="________abc2" hidden="1">{"detail",#N/A,FALSE,"mfg";"summary",#N/A,FALSE,"mfg"}</definedName>
    <definedName name="________c" localSheetId="10"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hod2" localSheetId="10" hidden="1">{#N/A,#N/A,FALSE,"TS";#N/A,#N/A,FALSE,"Combo";#N/A,#N/A,FALSE,"FAIR";#N/A,#N/A,FALSE,"RBC";#N/A,#N/A,FALSE,"xxxx";#N/A,#N/A,FALSE,"A_D";#N/A,#N/A,FALSE,"WACC";#N/A,#N/A,FALSE,"DCF";#N/A,#N/A,FALSE,"LBO";#N/A,#N/A,FALSE,"AcqMults";#N/A,#N/A,FALSE,"CompMults"}</definedName>
    <definedName name="________hod2" hidden="1">{#N/A,#N/A,FALSE,"TS";#N/A,#N/A,FALSE,"Combo";#N/A,#N/A,FALSE,"FAIR";#N/A,#N/A,FALSE,"RBC";#N/A,#N/A,FALSE,"xxxx";#N/A,#N/A,FALSE,"A_D";#N/A,#N/A,FALSE,"WACC";#N/A,#N/A,FALSE,"DCF";#N/A,#N/A,FALSE,"LBO";#N/A,#N/A,FALSE,"AcqMults";#N/A,#N/A,FALSE,"CompMults"}</definedName>
    <definedName name="________ibo2" localSheetId="10"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ISV4" localSheetId="10" hidden="1">{"Material",#N/A,TRUE,"Summary";"Mfg",#N/A,TRUE,"Summary";"mfgbymo",#N/A,TRUE,"By Month";"Mtlbymo",#N/A,TRUE,"By Month"}</definedName>
    <definedName name="________ISV4" hidden="1">{"Material",#N/A,TRUE,"Summary";"Mfg",#N/A,TRUE,"Summary";"mfgbymo",#N/A,TRUE,"By Month";"Mtlbymo",#N/A,TRUE,"By Month"}</definedName>
    <definedName name="________ISV4_1" localSheetId="10" hidden="1">{"Material",#N/A,TRUE,"Summary";"Mfg",#N/A,TRUE,"Summary";"mfgbymo",#N/A,TRUE,"By Month";"Mtlbymo",#N/A,TRUE,"By Month"}</definedName>
    <definedName name="________ISV4_1" hidden="1">{"Material",#N/A,TRUE,"Summary";"Mfg",#N/A,TRUE,"Summary";"mfgbymo",#N/A,TRUE,"By Month";"Mtlbymo",#N/A,TRUE,"By Month"}</definedName>
    <definedName name="________ISV4_1_1" localSheetId="10" hidden="1">{"Material",#N/A,TRUE,"Summary";"Mfg",#N/A,TRUE,"Summary";"mfgbymo",#N/A,TRUE,"By Month";"Mtlbymo",#N/A,TRUE,"By Month"}</definedName>
    <definedName name="________ISV4_1_1" hidden="1">{"Material",#N/A,TRUE,"Summary";"Mfg",#N/A,TRUE,"Summary";"mfgbymo",#N/A,TRUE,"By Month";"Mtlbymo",#N/A,TRUE,"By Month"}</definedName>
    <definedName name="________ISV4_2" localSheetId="10" hidden="1">{"Material",#N/A,TRUE,"Summary";"Mfg",#N/A,TRUE,"Summary";"mfgbymo",#N/A,TRUE,"By Month";"Mtlbymo",#N/A,TRUE,"By Month"}</definedName>
    <definedName name="________ISV4_2" hidden="1">{"Material",#N/A,TRUE,"Summary";"Mfg",#N/A,TRUE,"Summary";"mfgbymo",#N/A,TRUE,"By Month";"Mtlbymo",#N/A,TRUE,"By Month"}</definedName>
    <definedName name="________key2" hidden="1">#REF!</definedName>
    <definedName name="________q1" localSheetId="10" hidden="1">{"inflated_pl",#N/A,FALSE,"P&amp;L"}</definedName>
    <definedName name="________q1" hidden="1">{"inflated_pl",#N/A,FALSE,"P&amp;L"}</definedName>
    <definedName name="________q2" localSheetId="10" hidden="1">{"PL_no_inflated",#N/A,FALSE,"P&amp;L"}</definedName>
    <definedName name="________q2" hidden="1">{"PL_no_inflated",#N/A,FALSE,"P&amp;L"}</definedName>
    <definedName name="________rod1" localSheetId="10"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tax1">#REF!</definedName>
    <definedName name="________tax2">#REF!</definedName>
    <definedName name="________tax3">#REF!</definedName>
    <definedName name="________tax4">#REF!</definedName>
    <definedName name="________var3" localSheetId="10" hidden="1">{"'777'!$A$1:$H$41"}</definedName>
    <definedName name="________var3" localSheetId="15" hidden="1">{"'777'!$A$1:$H$41"}</definedName>
    <definedName name="________var3" hidden="1">{"'777'!$A$1:$H$41"}</definedName>
    <definedName name="________wrn2" localSheetId="10" hidden="1">{#N/A,#N/A,TRUE,"Notes";#N/A,#N/A,TRUE,"Cap Struct";#N/A,#N/A,TRUE,"OBS";#N/A,#N/A,TRUE,"bal Sheet";#N/A,#N/A,TRUE,"Inc stmt";#N/A,#N/A,TRUE,"csh flw";#N/A,#N/A,TRUE,"debt";#N/A,#N/A,TRUE,"detail 96,97";#N/A,#N/A,TRUE,"Covenants"}</definedName>
    <definedName name="________wrn2" localSheetId="15" hidden="1">{#N/A,#N/A,TRUE,"Notes";#N/A,#N/A,TRUE,"Cap Struct";#N/A,#N/A,TRUE,"OBS";#N/A,#N/A,TRUE,"bal Sheet";#N/A,#N/A,TRUE,"Inc stmt";#N/A,#N/A,TRUE,"csh flw";#N/A,#N/A,TRUE,"debt";#N/A,#N/A,TRUE,"detail 96,97";#N/A,#N/A,TRUE,"Covenants"}</definedName>
    <definedName name="________wrn2" hidden="1">{#N/A,#N/A,TRUE,"Notes";#N/A,#N/A,TRUE,"Cap Struct";#N/A,#N/A,TRUE,"OBS";#N/A,#N/A,TRUE,"bal Sheet";#N/A,#N/A,TRUE,"Inc stmt";#N/A,#N/A,TRUE,"csh flw";#N/A,#N/A,TRUE,"debt";#N/A,#N/A,TRUE,"detail 96,97";#N/A,#N/A,TRUE,"Covenants"}</definedName>
    <definedName name="________wrn3" localSheetId="10" hidden="1">{#N/A,#N/A,TRUE,"Notes";#N/A,#N/A,TRUE,"Cap Struct";#N/A,#N/A,TRUE,"OBS";#N/A,#N/A,TRUE,"bal Sheet";#N/A,#N/A,TRUE,"Inc stmt";#N/A,#N/A,TRUE,"csh flw";#N/A,#N/A,TRUE,"debt";#N/A,#N/A,TRUE,"detail 96,97";#N/A,#N/A,TRUE,"Covenants"}</definedName>
    <definedName name="________wrn3" localSheetId="15" hidden="1">{#N/A,#N/A,TRUE,"Notes";#N/A,#N/A,TRUE,"Cap Struct";#N/A,#N/A,TRUE,"OBS";#N/A,#N/A,TRUE,"bal Sheet";#N/A,#N/A,TRUE,"Inc stmt";#N/A,#N/A,TRUE,"csh flw";#N/A,#N/A,TRUE,"debt";#N/A,#N/A,TRUE,"detail 96,97";#N/A,#N/A,TRUE,"Covenants"}</definedName>
    <definedName name="________wrn3" hidden="1">{#N/A,#N/A,TRUE,"Notes";#N/A,#N/A,TRUE,"Cap Struct";#N/A,#N/A,TRUE,"OBS";#N/A,#N/A,TRUE,"bal Sheet";#N/A,#N/A,TRUE,"Inc stmt";#N/A,#N/A,TRUE,"csh flw";#N/A,#N/A,TRUE,"debt";#N/A,#N/A,TRUE,"detail 96,97";#N/A,#N/A,TRUE,"Covenants"}</definedName>
    <definedName name="________ww2" localSheetId="10" hidden="1">{#N/A,#N/A,FALSE,"Admin";#N/A,#N/A,FALSE,"Other"}</definedName>
    <definedName name="________ww2" localSheetId="15" hidden="1">{#N/A,#N/A,FALSE,"Admin";#N/A,#N/A,FALSE,"Other"}</definedName>
    <definedName name="________ww2" hidden="1">{#N/A,#N/A,FALSE,"Admin";#N/A,#N/A,FALSE,"Other"}</definedName>
    <definedName name="________z12" localSheetId="10" hidden="1">{"pro_view",#N/A,FALSE,"EEFSNAP2";"rep_view",#N/A,FALSE,"EEFSNAP2"}</definedName>
    <definedName name="________z12" hidden="1">{"pro_view",#N/A,FALSE,"EEFSNAP2";"rep_view",#N/A,FALSE,"EEFSNAP2"}</definedName>
    <definedName name="________z22" localSheetId="10"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10" hidden="1">{"detail",#N/A,FALSE,"mfg";"summary",#N/A,FALSE,"mfg"}</definedName>
    <definedName name="________z25" hidden="1">{"detail",#N/A,FALSE,"mfg";"summary",#N/A,FALSE,"mfg"}</definedName>
    <definedName name="_______A11" localSheetId="10" hidden="1">{#N/A,#N/A,FALSE,"Umsatz 99";#N/A,#N/A,FALSE,"ER 99 "}</definedName>
    <definedName name="_______A11" hidden="1">{#N/A,#N/A,FALSE,"Umsatz 99";#N/A,#N/A,FALSE,"ER 99 "}</definedName>
    <definedName name="_______abc1" localSheetId="10" hidden="1">{"detail",#N/A,FALSE,"mfg";"summary",#N/A,FALSE,"mfg"}</definedName>
    <definedName name="_______abc1" hidden="1">{"detail",#N/A,FALSE,"mfg";"summary",#N/A,FALSE,"mfg"}</definedName>
    <definedName name="_______abc2" localSheetId="10" hidden="1">{"detail",#N/A,FALSE,"mfg";"summary",#N/A,FALSE,"mfg"}</definedName>
    <definedName name="_______abc2" hidden="1">{"detail",#N/A,FALSE,"mfg";"summary",#N/A,FALSE,"mfg"}</definedName>
    <definedName name="_______c" localSheetId="10" hidden="1">{"Fiesta Facer Page",#N/A,FALSE,"Q_C_S";"Fiesta Main Page",#N/A,FALSE,"V_L";"Fiesta 95BP Struct",#N/A,FALSE,"StructBP";"Fiesta Post 95BP Struct",#N/A,FALSE,"AdjStructBP"}</definedName>
    <definedName name="_______c" hidden="1">{"Fiesta Facer Page",#N/A,FALSE,"Q_C_S";"Fiesta Main Page",#N/A,FALSE,"V_L";"Fiesta 95BP Struct",#N/A,FALSE,"StructBP";"Fiesta Post 95BP Struct",#N/A,FALSE,"AdjStructBP"}</definedName>
    <definedName name="_______hod2" localSheetId="10" hidden="1">{#N/A,#N/A,FALSE,"TS";#N/A,#N/A,FALSE,"Combo";#N/A,#N/A,FALSE,"FAIR";#N/A,#N/A,FALSE,"RBC";#N/A,#N/A,FALSE,"xxxx";#N/A,#N/A,FALSE,"A_D";#N/A,#N/A,FALSE,"WACC";#N/A,#N/A,FALSE,"DCF";#N/A,#N/A,FALSE,"LBO";#N/A,#N/A,FALSE,"AcqMults";#N/A,#N/A,FALSE,"CompMults"}</definedName>
    <definedName name="_______hod2" hidden="1">{#N/A,#N/A,FALSE,"TS";#N/A,#N/A,FALSE,"Combo";#N/A,#N/A,FALSE,"FAIR";#N/A,#N/A,FALSE,"RBC";#N/A,#N/A,FALSE,"xxxx";#N/A,#N/A,FALSE,"A_D";#N/A,#N/A,FALSE,"WACC";#N/A,#N/A,FALSE,"DCF";#N/A,#N/A,FALSE,"LBO";#N/A,#N/A,FALSE,"AcqMults";#N/A,#N/A,FALSE,"CompMults"}</definedName>
    <definedName name="_______ibo2" localSheetId="10"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ISV4" localSheetId="10" hidden="1">{"Material",#N/A,TRUE,"Summary";"Mfg",#N/A,TRUE,"Summary";"mfgbymo",#N/A,TRUE,"By Month";"Mtlbymo",#N/A,TRUE,"By Month"}</definedName>
    <definedName name="_______ISV4" hidden="1">{"Material",#N/A,TRUE,"Summary";"Mfg",#N/A,TRUE,"Summary";"mfgbymo",#N/A,TRUE,"By Month";"Mtlbymo",#N/A,TRUE,"By Month"}</definedName>
    <definedName name="_______ISV4_1" localSheetId="10" hidden="1">{"Material",#N/A,TRUE,"Summary";"Mfg",#N/A,TRUE,"Summary";"mfgbymo",#N/A,TRUE,"By Month";"Mtlbymo",#N/A,TRUE,"By Month"}</definedName>
    <definedName name="_______ISV4_1" hidden="1">{"Material",#N/A,TRUE,"Summary";"Mfg",#N/A,TRUE,"Summary";"mfgbymo",#N/A,TRUE,"By Month";"Mtlbymo",#N/A,TRUE,"By Month"}</definedName>
    <definedName name="_______ISV4_1_1" localSheetId="10" hidden="1">{"Material",#N/A,TRUE,"Summary";"Mfg",#N/A,TRUE,"Summary";"mfgbymo",#N/A,TRUE,"By Month";"Mtlbymo",#N/A,TRUE,"By Month"}</definedName>
    <definedName name="_______ISV4_1_1" hidden="1">{"Material",#N/A,TRUE,"Summary";"Mfg",#N/A,TRUE,"Summary";"mfgbymo",#N/A,TRUE,"By Month";"Mtlbymo",#N/A,TRUE,"By Month"}</definedName>
    <definedName name="_______ISV4_2" localSheetId="10" hidden="1">{"Material",#N/A,TRUE,"Summary";"Mfg",#N/A,TRUE,"Summary";"mfgbymo",#N/A,TRUE,"By Month";"Mtlbymo",#N/A,TRUE,"By Month"}</definedName>
    <definedName name="_______ISV4_2" hidden="1">{"Material",#N/A,TRUE,"Summary";"Mfg",#N/A,TRUE,"Summary";"mfgbymo",#N/A,TRUE,"By Month";"Mtlbymo",#N/A,TRUE,"By Month"}</definedName>
    <definedName name="_______key2" hidden="1">#REF!</definedName>
    <definedName name="_______q1" localSheetId="10" hidden="1">{"inflated_pl",#N/A,FALSE,"P&amp;L"}</definedName>
    <definedName name="_______q1" hidden="1">{"inflated_pl",#N/A,FALSE,"P&amp;L"}</definedName>
    <definedName name="_______q2" localSheetId="10" hidden="1">{"PL_no_inflated",#N/A,FALSE,"P&amp;L"}</definedName>
    <definedName name="_______q2" hidden="1">{"PL_no_inflated",#N/A,FALSE,"P&amp;L"}</definedName>
    <definedName name="_______rod1" localSheetId="10"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tax1">#REF!</definedName>
    <definedName name="_______tax2">#REF!</definedName>
    <definedName name="_______tax3">#REF!</definedName>
    <definedName name="_______tax4">#REF!</definedName>
    <definedName name="_______var3" localSheetId="10" hidden="1">{"'777'!$A$1:$H$41"}</definedName>
    <definedName name="_______var3" localSheetId="15" hidden="1">{"'777'!$A$1:$H$41"}</definedName>
    <definedName name="_______var3" hidden="1">{"'777'!$A$1:$H$41"}</definedName>
    <definedName name="_______wrn2" localSheetId="10" hidden="1">{#N/A,#N/A,TRUE,"Notes";#N/A,#N/A,TRUE,"Cap Struct";#N/A,#N/A,TRUE,"OBS";#N/A,#N/A,TRUE,"bal Sheet";#N/A,#N/A,TRUE,"Inc stmt";#N/A,#N/A,TRUE,"csh flw";#N/A,#N/A,TRUE,"debt";#N/A,#N/A,TRUE,"detail 96,97";#N/A,#N/A,TRUE,"Covenants"}</definedName>
    <definedName name="_______wrn2" localSheetId="15" hidden="1">{#N/A,#N/A,TRUE,"Notes";#N/A,#N/A,TRUE,"Cap Struct";#N/A,#N/A,TRUE,"OBS";#N/A,#N/A,TRUE,"bal Sheet";#N/A,#N/A,TRUE,"Inc stmt";#N/A,#N/A,TRUE,"csh flw";#N/A,#N/A,TRUE,"debt";#N/A,#N/A,TRUE,"detail 96,97";#N/A,#N/A,TRUE,"Covenants"}</definedName>
    <definedName name="_______wrn2" hidden="1">{#N/A,#N/A,TRUE,"Notes";#N/A,#N/A,TRUE,"Cap Struct";#N/A,#N/A,TRUE,"OBS";#N/A,#N/A,TRUE,"bal Sheet";#N/A,#N/A,TRUE,"Inc stmt";#N/A,#N/A,TRUE,"csh flw";#N/A,#N/A,TRUE,"debt";#N/A,#N/A,TRUE,"detail 96,97";#N/A,#N/A,TRUE,"Covenants"}</definedName>
    <definedName name="_______wrn3" localSheetId="10" hidden="1">{#N/A,#N/A,TRUE,"Notes";#N/A,#N/A,TRUE,"Cap Struct";#N/A,#N/A,TRUE,"OBS";#N/A,#N/A,TRUE,"bal Sheet";#N/A,#N/A,TRUE,"Inc stmt";#N/A,#N/A,TRUE,"csh flw";#N/A,#N/A,TRUE,"debt";#N/A,#N/A,TRUE,"detail 96,97";#N/A,#N/A,TRUE,"Covenants"}</definedName>
    <definedName name="_______wrn3" localSheetId="15" hidden="1">{#N/A,#N/A,TRUE,"Notes";#N/A,#N/A,TRUE,"Cap Struct";#N/A,#N/A,TRUE,"OBS";#N/A,#N/A,TRUE,"bal Sheet";#N/A,#N/A,TRUE,"Inc stmt";#N/A,#N/A,TRUE,"csh flw";#N/A,#N/A,TRUE,"debt";#N/A,#N/A,TRUE,"detail 96,97";#N/A,#N/A,TRUE,"Covenants"}</definedName>
    <definedName name="_______wrn3" hidden="1">{#N/A,#N/A,TRUE,"Notes";#N/A,#N/A,TRUE,"Cap Struct";#N/A,#N/A,TRUE,"OBS";#N/A,#N/A,TRUE,"bal Sheet";#N/A,#N/A,TRUE,"Inc stmt";#N/A,#N/A,TRUE,"csh flw";#N/A,#N/A,TRUE,"debt";#N/A,#N/A,TRUE,"detail 96,97";#N/A,#N/A,TRUE,"Covenants"}</definedName>
    <definedName name="_______ww2" localSheetId="10" hidden="1">{#N/A,#N/A,FALSE,"Admin";#N/A,#N/A,FALSE,"Other"}</definedName>
    <definedName name="_______ww2" localSheetId="15" hidden="1">{#N/A,#N/A,FALSE,"Admin";#N/A,#N/A,FALSE,"Other"}</definedName>
    <definedName name="_______ww2" hidden="1">{#N/A,#N/A,FALSE,"Admin";#N/A,#N/A,FALSE,"Other"}</definedName>
    <definedName name="_______z12" localSheetId="10" hidden="1">{"pro_view",#N/A,FALSE,"EEFSNAP2";"rep_view",#N/A,FALSE,"EEFSNAP2"}</definedName>
    <definedName name="_______z12" hidden="1">{"pro_view",#N/A,FALSE,"EEFSNAP2";"rep_view",#N/A,FALSE,"EEFSNAP2"}</definedName>
    <definedName name="_______z22" localSheetId="10"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10" hidden="1">{"detail",#N/A,FALSE,"mfg";"summary",#N/A,FALSE,"mfg"}</definedName>
    <definedName name="_______z25" hidden="1">{"detail",#N/A,FALSE,"mfg";"summary",#N/A,FALSE,"mfg"}</definedName>
    <definedName name="______a1" localSheetId="10" hidden="1">{#N/A,#N/A,FALSE,"Pharm";#N/A,#N/A,FALSE,"WWCM"}</definedName>
    <definedName name="______a1" hidden="1">{#N/A,#N/A,FALSE,"Pharm";#N/A,#N/A,FALSE,"WWCM"}</definedName>
    <definedName name="______A11" localSheetId="10" hidden="1">{#N/A,#N/A,FALSE,"Umsatz 99";#N/A,#N/A,FALSE,"ER 99 "}</definedName>
    <definedName name="______A11" hidden="1">{#N/A,#N/A,FALSE,"Umsatz 99";#N/A,#N/A,FALSE,"ER 99 "}</definedName>
    <definedName name="______aaa1" localSheetId="10" hidden="1">{#N/A,#N/A,FALSE,"REPORT"}</definedName>
    <definedName name="______aaa1" hidden="1">{#N/A,#N/A,FALSE,"REPORT"}</definedName>
    <definedName name="______aas1" localSheetId="10" hidden="1">{#N/A,#N/A,FALSE,"REPORT"}</definedName>
    <definedName name="______aas1" hidden="1">{#N/A,#N/A,FALSE,"REPORT"}</definedName>
    <definedName name="______ACS2000" localSheetId="10" hidden="1">{#N/A,#N/A,FALSE,"REPORT"}</definedName>
    <definedName name="______ACS2000" hidden="1">{#N/A,#N/A,FALSE,"REPORT"}</definedName>
    <definedName name="______b111" localSheetId="10" hidden="1">{#N/A,#N/A,FALSE,"Pharm";#N/A,#N/A,FALSE,"WWCM"}</definedName>
    <definedName name="______b111" hidden="1">{#N/A,#N/A,FALSE,"Pharm";#N/A,#N/A,FALSE,"WWCM"}</definedName>
    <definedName name="______c" localSheetId="10" hidden="1">{"Fiesta Facer Page",#N/A,FALSE,"Q_C_S";"Fiesta Main Page",#N/A,FALSE,"V_L";"Fiesta 95BP Struct",#N/A,FALSE,"StructBP";"Fiesta Post 95BP Struct",#N/A,FALSE,"AdjStructBP"}</definedName>
    <definedName name="______c" hidden="1">{"Fiesta Facer Page",#N/A,FALSE,"Q_C_S";"Fiesta Main Page",#N/A,FALSE,"V_L";"Fiesta 95BP Struct",#N/A,FALSE,"StructBP";"Fiesta Post 95BP Struct",#N/A,FALSE,"AdjStructBP"}</definedName>
    <definedName name="______DRE0700" localSheetId="10" hidden="1">{"'PXR_6500'!$A$1:$I$124"}</definedName>
    <definedName name="______DRE0700" hidden="1">{"'PXR_6500'!$A$1:$I$124"}</definedName>
    <definedName name="______EX137" localSheetId="10" hidden="1">{#N/A,"1",FALSE,"FORM";#N/A,"2",FALSE,"FORM";#N/A,"3",FALSE,"FORM"}</definedName>
    <definedName name="______EX137" hidden="1">{#N/A,"1",FALSE,"FORM";#N/A,"2",FALSE,"FORM";#N/A,"3",FALSE,"FORM"}</definedName>
    <definedName name="______GRP1">OFFSET(#REF!,0,0,COUNTA(#REF!),1)</definedName>
    <definedName name="______GRP2">OFFSET(#REF!,0,0,COUNTA(#REF!),1)</definedName>
    <definedName name="______hod2" localSheetId="10" hidden="1">{#N/A,#N/A,FALSE,"TS";#N/A,#N/A,FALSE,"Combo";#N/A,#N/A,FALSE,"FAIR";#N/A,#N/A,FALSE,"RBC";#N/A,#N/A,FALSE,"xxxx";#N/A,#N/A,FALSE,"A_D";#N/A,#N/A,FALSE,"WACC";#N/A,#N/A,FALSE,"DCF";#N/A,#N/A,FALSE,"LBO";#N/A,#N/A,FALSE,"AcqMults";#N/A,#N/A,FALSE,"CompMults"}</definedName>
    <definedName name="______hod2" hidden="1">{#N/A,#N/A,FALSE,"TS";#N/A,#N/A,FALSE,"Combo";#N/A,#N/A,FALSE,"FAIR";#N/A,#N/A,FALSE,"RBC";#N/A,#N/A,FALSE,"xxxx";#N/A,#N/A,FALSE,"A_D";#N/A,#N/A,FALSE,"WACC";#N/A,#N/A,FALSE,"DCF";#N/A,#N/A,FALSE,"LBO";#N/A,#N/A,FALSE,"AcqMults";#N/A,#N/A,FALSE,"CompMults"}</definedName>
    <definedName name="______ibo2" localSheetId="10"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ISV4" localSheetId="10" hidden="1">{"Material",#N/A,TRUE,"Summary";"Mfg",#N/A,TRUE,"Summary";"mfgbymo",#N/A,TRUE,"By Month";"Mtlbymo",#N/A,TRUE,"By Month"}</definedName>
    <definedName name="______ISV4" hidden="1">{"Material",#N/A,TRUE,"Summary";"Mfg",#N/A,TRUE,"Summary";"mfgbymo",#N/A,TRUE,"By Month";"Mtlbymo",#N/A,TRUE,"By Month"}</definedName>
    <definedName name="______ISV4_1" localSheetId="10" hidden="1">{"Material",#N/A,TRUE,"Summary";"Mfg",#N/A,TRUE,"Summary";"mfgbymo",#N/A,TRUE,"By Month";"Mtlbymo",#N/A,TRUE,"By Month"}</definedName>
    <definedName name="______ISV4_1" hidden="1">{"Material",#N/A,TRUE,"Summary";"Mfg",#N/A,TRUE,"Summary";"mfgbymo",#N/A,TRUE,"By Month";"Mtlbymo",#N/A,TRUE,"By Month"}</definedName>
    <definedName name="______ISV4_1_1" localSheetId="10" hidden="1">{"Material",#N/A,TRUE,"Summary";"Mfg",#N/A,TRUE,"Summary";"mfgbymo",#N/A,TRUE,"By Month";"Mtlbymo",#N/A,TRUE,"By Month"}</definedName>
    <definedName name="______ISV4_1_1" hidden="1">{"Material",#N/A,TRUE,"Summary";"Mfg",#N/A,TRUE,"Summary";"mfgbymo",#N/A,TRUE,"By Month";"Mtlbymo",#N/A,TRUE,"By Month"}</definedName>
    <definedName name="______ISV4_2" localSheetId="10" hidden="1">{"Material",#N/A,TRUE,"Summary";"Mfg",#N/A,TRUE,"Summary";"mfgbymo",#N/A,TRUE,"By Month";"Mtlbymo",#N/A,TRUE,"By Month"}</definedName>
    <definedName name="______ISV4_2" hidden="1">{"Material",#N/A,TRUE,"Summary";"Mfg",#N/A,TRUE,"Summary";"mfgbymo",#N/A,TRUE,"By Month";"Mtlbymo",#N/A,TRUE,"By Month"}</definedName>
    <definedName name="______key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mty1" localSheetId="10" hidden="1">{#N/A,#N/A,TRUE,"2432"}</definedName>
    <definedName name="______mty1" hidden="1">{#N/A,#N/A,TRUE,"2432"}</definedName>
    <definedName name="______new1" localSheetId="10" hidden="1">{#N/A,#N/A,FALSE,"Pharm";#N/A,#N/A,FALSE,"WWCM"}</definedName>
    <definedName name="______new1" hidden="1">{#N/A,#N/A,FALSE,"Pharm";#N/A,#N/A,FALSE,"WWCM"}</definedName>
    <definedName name="______q1" localSheetId="10" hidden="1">{"inflated_pl",#N/A,FALSE,"P&amp;L"}</definedName>
    <definedName name="______q1" hidden="1">{"inflated_pl",#N/A,FALSE,"P&amp;L"}</definedName>
    <definedName name="______q2" localSheetId="10" hidden="1">{"PL_no_inflated",#N/A,FALSE,"P&amp;L"}</definedName>
    <definedName name="______q2" hidden="1">{"PL_no_inflated",#N/A,FALSE,"P&amp;L"}</definedName>
    <definedName name="______r" localSheetId="10" hidden="1">{#N/A,#N/A,FALSE,"Pharm";#N/A,#N/A,FALSE,"WWCM"}</definedName>
    <definedName name="______r" hidden="1">{#N/A,#N/A,FALSE,"Pharm";#N/A,#N/A,FALSE,"WWCM"}</definedName>
    <definedName name="______rod1" localSheetId="10"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RSE2">#REF!</definedName>
    <definedName name="______tax1">#REF!</definedName>
    <definedName name="______tax2">#REF!</definedName>
    <definedName name="______tax3">#REF!</definedName>
    <definedName name="______tax4">#REF!</definedName>
    <definedName name="______tm1" localSheetId="10" hidden="1">{#N/A,#N/A,FALSE,"Pharm";#N/A,#N/A,FALSE,"WWCM"}</definedName>
    <definedName name="______tm1" hidden="1">{#N/A,#N/A,FALSE,"Pharm";#N/A,#N/A,FALSE,"WWCM"}</definedName>
    <definedName name="______var3" localSheetId="10" hidden="1">{"'777'!$A$1:$H$41"}</definedName>
    <definedName name="______var3" localSheetId="15" hidden="1">{"'777'!$A$1:$H$41"}</definedName>
    <definedName name="______var3" hidden="1">{"'777'!$A$1:$H$41"}</definedName>
    <definedName name="______wrn2" localSheetId="10" hidden="1">{#N/A,#N/A,TRUE,"Notes";#N/A,#N/A,TRUE,"Cap Struct";#N/A,#N/A,TRUE,"OBS";#N/A,#N/A,TRUE,"bal Sheet";#N/A,#N/A,TRUE,"Inc stmt";#N/A,#N/A,TRUE,"csh flw";#N/A,#N/A,TRUE,"debt";#N/A,#N/A,TRUE,"detail 96,97";#N/A,#N/A,TRUE,"Covenants"}</definedName>
    <definedName name="______wrn2" localSheetId="15" hidden="1">{#N/A,#N/A,TRUE,"Notes";#N/A,#N/A,TRUE,"Cap Struct";#N/A,#N/A,TRUE,"OBS";#N/A,#N/A,TRUE,"bal Sheet";#N/A,#N/A,TRUE,"Inc stmt";#N/A,#N/A,TRUE,"csh flw";#N/A,#N/A,TRUE,"debt";#N/A,#N/A,TRUE,"detail 96,97";#N/A,#N/A,TRUE,"Covenants"}</definedName>
    <definedName name="______wrn2" hidden="1">{#N/A,#N/A,TRUE,"Notes";#N/A,#N/A,TRUE,"Cap Struct";#N/A,#N/A,TRUE,"OBS";#N/A,#N/A,TRUE,"bal Sheet";#N/A,#N/A,TRUE,"Inc stmt";#N/A,#N/A,TRUE,"csh flw";#N/A,#N/A,TRUE,"debt";#N/A,#N/A,TRUE,"detail 96,97";#N/A,#N/A,TRUE,"Covenants"}</definedName>
    <definedName name="______wrn3" localSheetId="10" hidden="1">{#N/A,#N/A,TRUE,"Notes";#N/A,#N/A,TRUE,"Cap Struct";#N/A,#N/A,TRUE,"OBS";#N/A,#N/A,TRUE,"bal Sheet";#N/A,#N/A,TRUE,"Inc stmt";#N/A,#N/A,TRUE,"csh flw";#N/A,#N/A,TRUE,"debt";#N/A,#N/A,TRUE,"detail 96,97";#N/A,#N/A,TRUE,"Covenants"}</definedName>
    <definedName name="______wrn3" localSheetId="15" hidden="1">{#N/A,#N/A,TRUE,"Notes";#N/A,#N/A,TRUE,"Cap Struct";#N/A,#N/A,TRUE,"OBS";#N/A,#N/A,TRUE,"bal Sheet";#N/A,#N/A,TRUE,"Inc stmt";#N/A,#N/A,TRUE,"csh flw";#N/A,#N/A,TRUE,"debt";#N/A,#N/A,TRUE,"detail 96,97";#N/A,#N/A,TRUE,"Covenants"}</definedName>
    <definedName name="______wrn3" hidden="1">{#N/A,#N/A,TRUE,"Notes";#N/A,#N/A,TRUE,"Cap Struct";#N/A,#N/A,TRUE,"OBS";#N/A,#N/A,TRUE,"bal Sheet";#N/A,#N/A,TRUE,"Inc stmt";#N/A,#N/A,TRUE,"csh flw";#N/A,#N/A,TRUE,"debt";#N/A,#N/A,TRUE,"detail 96,97";#N/A,#N/A,TRUE,"Covenants"}</definedName>
    <definedName name="______ww2" localSheetId="10" hidden="1">{#N/A,#N/A,FALSE,"Admin";#N/A,#N/A,FALSE,"Other"}</definedName>
    <definedName name="______ww2" localSheetId="15" hidden="1">{#N/A,#N/A,FALSE,"Admin";#N/A,#N/A,FALSE,"Other"}</definedName>
    <definedName name="______ww2" hidden="1">{#N/A,#N/A,FALSE,"Admin";#N/A,#N/A,FALSE,"Other"}</definedName>
    <definedName name="______X2" localSheetId="10" hidden="1">{#N/A,#N/A,FALSE,"Other";#N/A,#N/A,FALSE,"Ace";#N/A,#N/A,FALSE,"Derm"}</definedName>
    <definedName name="______X2" hidden="1">{#N/A,#N/A,FALSE,"Other";#N/A,#N/A,FALSE,"Ace";#N/A,#N/A,FALSE,"Derm"}</definedName>
    <definedName name="_____1______123Graph_ACHART_1" hidden="1">#REF!</definedName>
    <definedName name="_____10______123Graph_ACHART_18" hidden="1">#REF!</definedName>
    <definedName name="_____100_____123Graph_BCHART_3" hidden="1">#REF!</definedName>
    <definedName name="_____101_____123Graph_BCHART_4" hidden="1">#REF!</definedName>
    <definedName name="_____102_____123Graph_BCHART_5" hidden="1">#REF!</definedName>
    <definedName name="_____103_____123Graph_BCHART_6" hidden="1">#REF!</definedName>
    <definedName name="_____104_____123Graph_BCHART_7" hidden="1">#REF!</definedName>
    <definedName name="_____105_____123Graph_BCHART_8" hidden="1">#REF!</definedName>
    <definedName name="_____106_____123Graph_CCHART_1" hidden="1">#REF!</definedName>
    <definedName name="_____107_____123Graph_CCHART_2" hidden="1">#REF!</definedName>
    <definedName name="_____108_____123Graph_CCHART_3" hidden="1">#REF!</definedName>
    <definedName name="_____109_____123Graph_CCHART_4" hidden="1">#REF!</definedName>
    <definedName name="_____11______123Graph_ACHART_2" hidden="1">#REF!</definedName>
    <definedName name="_____110_____123Graph_CCHART_5" hidden="1">#REF!</definedName>
    <definedName name="_____111_____123Graph_CCHART_6" hidden="1">#REF!</definedName>
    <definedName name="_____112_____123Graph_CCHART_7" hidden="1">#REF!</definedName>
    <definedName name="_____113_____123Graph_CCHART_8" hidden="1">#REF!</definedName>
    <definedName name="_____114_____123Graph_DCHART_1" hidden="1">#REF!</definedName>
    <definedName name="_____115_____123Graph_DCHART_2" hidden="1">#REF!</definedName>
    <definedName name="_____116_____123Graph_DCHART_3" hidden="1">#REF!</definedName>
    <definedName name="_____117_____123Graph_DCHART_4" hidden="1">#REF!</definedName>
    <definedName name="_____118_____123Graph_DCHART_5" hidden="1">#REF!</definedName>
    <definedName name="_____119_____123Graph_DCHART_6" hidden="1">#REF!</definedName>
    <definedName name="_____12______123Graph_ACHART_3" hidden="1">#REF!</definedName>
    <definedName name="_____120_____123Graph_DCHART_7" hidden="1">#REF!</definedName>
    <definedName name="_____121_____123Graph_DCHART_8" hidden="1">#REF!</definedName>
    <definedName name="_____122_____123Graph_ECHART_1" hidden="1">#REF!</definedName>
    <definedName name="_____123_____123Graph_ECHART_2" hidden="1">#REF!</definedName>
    <definedName name="_____124_____123Graph_ECHART_3" hidden="1">#REF!</definedName>
    <definedName name="_____125_____123Graph_ECHART_4" hidden="1">#REF!</definedName>
    <definedName name="_____126_____123Graph_ECHART_5" hidden="1">#REF!</definedName>
    <definedName name="_____127_____123Graph_ECHART_6" hidden="1">#REF!</definedName>
    <definedName name="_____128_____123Graph_ECHART_7" hidden="1">#REF!</definedName>
    <definedName name="_____129_____123Graph_ECHART_8" hidden="1">#REF!</definedName>
    <definedName name="_____13______123Graph_ACHART_4" hidden="1">#REF!</definedName>
    <definedName name="_____130_____123Graph_FCHART_1" hidden="1">#REF!</definedName>
    <definedName name="_____131_____123Graph_FCHART_2" hidden="1">#REF!</definedName>
    <definedName name="_____132_____123Graph_FCHART_3" hidden="1">#REF!</definedName>
    <definedName name="_____133_____123Graph_FCHART_4" hidden="1">#REF!</definedName>
    <definedName name="_____134_____123Graph_FCHART_6" hidden="1">#REF!</definedName>
    <definedName name="_____135_____123Graph_FCHART_7" hidden="1">#REF!</definedName>
    <definedName name="_____136_____123Graph_FCHART_8" hidden="1">#REF!</definedName>
    <definedName name="_____137_____123Graph_XCHART_1" hidden="1">#REF!</definedName>
    <definedName name="_____138_____123Graph_XCHART_10" hidden="1">#REF!</definedName>
    <definedName name="_____139_____123Graph_XCHART_11" hidden="1">#REF!</definedName>
    <definedName name="_____14______123Graph_ACHART_5" hidden="1">#REF!</definedName>
    <definedName name="_____140_____123Graph_XCHART_12" hidden="1">#REF!</definedName>
    <definedName name="_____141_____123Graph_XCHART_13" hidden="1">#REF!</definedName>
    <definedName name="_____142_____123Graph_XCHART_14" hidden="1">#REF!</definedName>
    <definedName name="_____143_____123Graph_XCHART_15" hidden="1">#REF!</definedName>
    <definedName name="_____144_____123Graph_XCHART_16" hidden="1">#REF!</definedName>
    <definedName name="_____145_____123Graph_XCHART_17" hidden="1">#REF!</definedName>
    <definedName name="_____146_____123Graph_XCHART_18" hidden="1">#REF!</definedName>
    <definedName name="_____147_____123Graph_XCHART_2" hidden="1">#REF!</definedName>
    <definedName name="_____148_____123Graph_XCHART_3" hidden="1">#REF!</definedName>
    <definedName name="_____149_____123Graph_XCHART_4" hidden="1">#REF!</definedName>
    <definedName name="_____15______123Graph_ACHART_6" hidden="1">#REF!</definedName>
    <definedName name="_____150_____123Graph_XCHART_5" hidden="1">#REF!</definedName>
    <definedName name="_____151_____123Graph_XCHART_6" hidden="1">#REF!</definedName>
    <definedName name="_____152_____123Graph_XCHART_7" hidden="1">#REF!</definedName>
    <definedName name="_____153_____123Graph_XCHART_8" hidden="1">#REF!</definedName>
    <definedName name="_____154_____123Graph_XCHART_9" hidden="1">#REF!</definedName>
    <definedName name="_____155____123Graph_ACHART_1" hidden="1">#REF!</definedName>
    <definedName name="_____156____123Graph_ACHART_10" hidden="1">#REF!</definedName>
    <definedName name="_____157____123Graph_ACHART_11" hidden="1">#REF!</definedName>
    <definedName name="_____158____123Graph_ACHART_12" hidden="1">#REF!</definedName>
    <definedName name="_____159____123Graph_ACHART_13" hidden="1">#REF!</definedName>
    <definedName name="_____16______123Graph_ACHART_7" hidden="1">#REF!</definedName>
    <definedName name="_____160____123Graph_ACHART_14" hidden="1">#REF!</definedName>
    <definedName name="_____161____123Graph_ACHART_15" hidden="1">#REF!</definedName>
    <definedName name="_____162____123Graph_ACHART_16" hidden="1">#REF!</definedName>
    <definedName name="_____163____123Graph_ACHART_17" hidden="1">#REF!</definedName>
    <definedName name="_____164____123Graph_ACHART_18" hidden="1">#REF!</definedName>
    <definedName name="_____165____123Graph_ACHART_2" hidden="1">#REF!</definedName>
    <definedName name="_____166____123Graph_ACHART_3" hidden="1">#REF!</definedName>
    <definedName name="_____167____123Graph_ACHART_4" hidden="1">#REF!</definedName>
    <definedName name="_____168____123Graph_ACHART_5" hidden="1">#REF!</definedName>
    <definedName name="_____169____123Graph_ACHART_6" hidden="1">#REF!</definedName>
    <definedName name="_____17______123Graph_ACHART_8" hidden="1">#REF!</definedName>
    <definedName name="_____170____123Graph_ACHART_7" hidden="1">#REF!</definedName>
    <definedName name="_____171____123Graph_ACHART_8" hidden="1">#REF!</definedName>
    <definedName name="_____172____123Graph_ACHART_9" hidden="1">#REF!</definedName>
    <definedName name="_____173____123Graph_BCHART_1" hidden="1">#REF!</definedName>
    <definedName name="_____174____123Graph_BCHART_17" hidden="1">#REF!</definedName>
    <definedName name="_____175____123Graph_BCHART_18" hidden="1">#REF!</definedName>
    <definedName name="_____176____123Graph_BCHART_2" hidden="1">#REF!</definedName>
    <definedName name="_____177____123Graph_BCHART_3" hidden="1">#REF!</definedName>
    <definedName name="_____178____123Graph_BCHART_4" hidden="1">#REF!</definedName>
    <definedName name="_____179____123Graph_BCHART_5" hidden="1">#REF!</definedName>
    <definedName name="_____18______123Graph_ACHART_9" hidden="1">#REF!</definedName>
    <definedName name="_____180____123Graph_BCHART_6" hidden="1">#REF!</definedName>
    <definedName name="_____181____123Graph_BCHART_7" hidden="1">#REF!</definedName>
    <definedName name="_____182____123Graph_BCHART_8" hidden="1">#REF!</definedName>
    <definedName name="_____183____123Graph_CCHART_1" hidden="1">#REF!</definedName>
    <definedName name="_____184____123Graph_CCHART_2" hidden="1">#REF!</definedName>
    <definedName name="_____185____123Graph_CCHART_3" hidden="1">#REF!</definedName>
    <definedName name="_____186____123Graph_CCHART_4" hidden="1">#REF!</definedName>
    <definedName name="_____187____123Graph_CCHART_5" hidden="1">#REF!</definedName>
    <definedName name="_____188____123Graph_CCHART_6" hidden="1">#REF!</definedName>
    <definedName name="_____189____123Graph_CCHART_7" hidden="1">#REF!</definedName>
    <definedName name="_____19______123Graph_BCHART_1" hidden="1">#REF!</definedName>
    <definedName name="_____190____123Graph_CCHART_8" hidden="1">#REF!</definedName>
    <definedName name="_____191____123Graph_DCHART_1" hidden="1">#REF!</definedName>
    <definedName name="_____192____123Graph_DCHART_2" hidden="1">#REF!</definedName>
    <definedName name="_____193____123Graph_DCHART_3" hidden="1">#REF!</definedName>
    <definedName name="_____194____123Graph_DCHART_4" hidden="1">#REF!</definedName>
    <definedName name="_____195____123Graph_DCHART_5" hidden="1">#REF!</definedName>
    <definedName name="_____196____123Graph_DCHART_6" hidden="1">#REF!</definedName>
    <definedName name="_____197____123Graph_DCHART_7" hidden="1">#REF!</definedName>
    <definedName name="_____198____123Graph_DCHART_8" hidden="1">#REF!</definedName>
    <definedName name="_____199____123Graph_ECHART_1" hidden="1">#REF!</definedName>
    <definedName name="_____2______123Graph_ACHART_10" hidden="1">#REF!</definedName>
    <definedName name="_____20______123Graph_BCHART_17" hidden="1">#REF!</definedName>
    <definedName name="_____200____123Graph_ECHART_2" hidden="1">#REF!</definedName>
    <definedName name="_____201____123Graph_ECHART_3" hidden="1">#REF!</definedName>
    <definedName name="_____202____123Graph_ECHART_4" hidden="1">#REF!</definedName>
    <definedName name="_____203____123Graph_ECHART_5" hidden="1">#REF!</definedName>
    <definedName name="_____204____123Graph_ECHART_6" hidden="1">#REF!</definedName>
    <definedName name="_____205____123Graph_ECHART_7" hidden="1">#REF!</definedName>
    <definedName name="_____206____123Graph_ECHART_8" hidden="1">#REF!</definedName>
    <definedName name="_____207____123Graph_FCHART_1" hidden="1">#REF!</definedName>
    <definedName name="_____208____123Graph_FCHART_2" hidden="1">#REF!</definedName>
    <definedName name="_____209____123Graph_FCHART_3" hidden="1">#REF!</definedName>
    <definedName name="_____21______123Graph_BCHART_18" hidden="1">#REF!</definedName>
    <definedName name="_____210____123Graph_FCHART_4" hidden="1">#REF!</definedName>
    <definedName name="_____211____123Graph_FCHART_6" hidden="1">#REF!</definedName>
    <definedName name="_____212____123Graph_FCHART_7" hidden="1">#REF!</definedName>
    <definedName name="_____213____123Graph_FCHART_8" hidden="1">#REF!</definedName>
    <definedName name="_____214____123Graph_XCHART_1" hidden="1">#REF!</definedName>
    <definedName name="_____215____123Graph_XCHART_10" hidden="1">#REF!</definedName>
    <definedName name="_____216____123Graph_XCHART_11" hidden="1">#REF!</definedName>
    <definedName name="_____217____123Graph_XCHART_12" hidden="1">#REF!</definedName>
    <definedName name="_____218____123Graph_XCHART_13" hidden="1">#REF!</definedName>
    <definedName name="_____219____123Graph_XCHART_14" hidden="1">#REF!</definedName>
    <definedName name="_____22______123Graph_BCHART_2" hidden="1">#REF!</definedName>
    <definedName name="_____220____123Graph_XCHART_15" hidden="1">#REF!</definedName>
    <definedName name="_____221____123Graph_XCHART_16" hidden="1">#REF!</definedName>
    <definedName name="_____222____123Graph_XCHART_17" hidden="1">#REF!</definedName>
    <definedName name="_____223____123Graph_XCHART_18" hidden="1">#REF!</definedName>
    <definedName name="_____224____123Graph_XCHART_2" hidden="1">#REF!</definedName>
    <definedName name="_____225____123Graph_XCHART_3" hidden="1">#REF!</definedName>
    <definedName name="_____226____123Graph_XCHART_4" hidden="1">#REF!</definedName>
    <definedName name="_____227____123Graph_XCHART_5" hidden="1">#REF!</definedName>
    <definedName name="_____228____123Graph_XCHART_6" hidden="1">#REF!</definedName>
    <definedName name="_____229____123Graph_XCHART_7" hidden="1">#REF!</definedName>
    <definedName name="_____23______123Graph_BCHART_3" hidden="1">#REF!</definedName>
    <definedName name="_____230____123Graph_XCHART_8" hidden="1">#REF!</definedName>
    <definedName name="_____231____123Graph_XCHART_9" hidden="1">#REF!</definedName>
    <definedName name="_____232___123Graph_ACHART_1" hidden="1">#REF!</definedName>
    <definedName name="_____233___123Graph_ACHART_10" hidden="1">#REF!</definedName>
    <definedName name="_____234___123Graph_ACHART_11" hidden="1">#REF!</definedName>
    <definedName name="_____235___123Graph_ACHART_12" hidden="1">#REF!</definedName>
    <definedName name="_____236___123Graph_ACHART_13" hidden="1">#REF!</definedName>
    <definedName name="_____237___123Graph_ACHART_14" hidden="1">#REF!</definedName>
    <definedName name="_____238___123Graph_ACHART_15" hidden="1">#REF!</definedName>
    <definedName name="_____239___123Graph_ACHART_16" hidden="1">#REF!</definedName>
    <definedName name="_____24______123Graph_BCHART_4" hidden="1">#REF!</definedName>
    <definedName name="_____240___123Graph_ACHART_17" hidden="1">#REF!</definedName>
    <definedName name="_____241___123Graph_ACHART_18" hidden="1">#REF!</definedName>
    <definedName name="_____242___123Graph_ACHART_2" hidden="1">#REF!</definedName>
    <definedName name="_____243___123Graph_ACHART_3" hidden="1">#REF!</definedName>
    <definedName name="_____244___123Graph_ACHART_4" hidden="1">#REF!</definedName>
    <definedName name="_____245___123Graph_ACHART_5" hidden="1">#REF!</definedName>
    <definedName name="_____246___123Graph_ACHART_6" hidden="1">#REF!</definedName>
    <definedName name="_____247___123Graph_ACHART_7" hidden="1">#REF!</definedName>
    <definedName name="_____248___123Graph_ACHART_8" hidden="1">#REF!</definedName>
    <definedName name="_____249___123Graph_ACHART_9" hidden="1">#REF!</definedName>
    <definedName name="_____25______123Graph_BCHART_5" hidden="1">#REF!</definedName>
    <definedName name="_____250___123Graph_BCHART_1" hidden="1">#REF!</definedName>
    <definedName name="_____251___123Graph_BCHART_17" hidden="1">#REF!</definedName>
    <definedName name="_____252___123Graph_BCHART_18" hidden="1">#REF!</definedName>
    <definedName name="_____253___123Graph_BCHART_2" hidden="1">#REF!</definedName>
    <definedName name="_____254___123Graph_BCHART_3" hidden="1">#REF!</definedName>
    <definedName name="_____255___123Graph_BCHART_4" hidden="1">#REF!</definedName>
    <definedName name="_____256___123Graph_BCHART_5" hidden="1">#REF!</definedName>
    <definedName name="_____257___123Graph_BCHART_6" hidden="1">#REF!</definedName>
    <definedName name="_____258___123Graph_BCHART_7" hidden="1">#REF!</definedName>
    <definedName name="_____259___123Graph_BCHART_8" hidden="1">#REF!</definedName>
    <definedName name="_____26______123Graph_BCHART_6" hidden="1">#REF!</definedName>
    <definedName name="_____260___123Graph_CCHART_1" hidden="1">#REF!</definedName>
    <definedName name="_____261___123Graph_CCHART_2" hidden="1">#REF!</definedName>
    <definedName name="_____262___123Graph_CCHART_3" hidden="1">#REF!</definedName>
    <definedName name="_____263___123Graph_CCHART_4" hidden="1">#REF!</definedName>
    <definedName name="_____264___123Graph_CCHART_5" hidden="1">#REF!</definedName>
    <definedName name="_____265___123Graph_CCHART_6" hidden="1">#REF!</definedName>
    <definedName name="_____266___123Graph_CCHART_7" hidden="1">#REF!</definedName>
    <definedName name="_____267___123Graph_CCHART_8" hidden="1">#REF!</definedName>
    <definedName name="_____268___123Graph_DCHART_1" hidden="1">#REF!</definedName>
    <definedName name="_____269___123Graph_DCHART_2" hidden="1">#REF!</definedName>
    <definedName name="_____27______123Graph_BCHART_7" hidden="1">#REF!</definedName>
    <definedName name="_____270___123Graph_DCHART_3" hidden="1">#REF!</definedName>
    <definedName name="_____271___123Graph_DCHART_4" hidden="1">#REF!</definedName>
    <definedName name="_____272___123Graph_DCHART_5" hidden="1">#REF!</definedName>
    <definedName name="_____273___123Graph_DCHART_6" hidden="1">#REF!</definedName>
    <definedName name="_____274___123Graph_DCHART_7" hidden="1">#REF!</definedName>
    <definedName name="_____275___123Graph_DCHART_8" hidden="1">#REF!</definedName>
    <definedName name="_____276___123Graph_ECHART_1" hidden="1">#REF!</definedName>
    <definedName name="_____277___123Graph_ECHART_2" hidden="1">#REF!</definedName>
    <definedName name="_____278___123Graph_ECHART_3" hidden="1">#REF!</definedName>
    <definedName name="_____279___123Graph_ECHART_4" hidden="1">#REF!</definedName>
    <definedName name="_____28______123Graph_BCHART_8" hidden="1">#REF!</definedName>
    <definedName name="_____280___123Graph_ECHART_5" hidden="1">#REF!</definedName>
    <definedName name="_____281___123Graph_ECHART_6" hidden="1">#REF!</definedName>
    <definedName name="_____282___123Graph_ECHART_7" hidden="1">#REF!</definedName>
    <definedName name="_____283___123Graph_ECHART_8" hidden="1">#REF!</definedName>
    <definedName name="_____284___123Graph_FCHART_1" hidden="1">#REF!</definedName>
    <definedName name="_____285___123Graph_FCHART_2" hidden="1">#REF!</definedName>
    <definedName name="_____286___123Graph_FCHART_3" hidden="1">#REF!</definedName>
    <definedName name="_____287___123Graph_FCHART_4" hidden="1">#REF!</definedName>
    <definedName name="_____288___123Graph_FCHART_6" hidden="1">#REF!</definedName>
    <definedName name="_____289___123Graph_FCHART_7" hidden="1">#REF!</definedName>
    <definedName name="_____29______123Graph_CCHART_1" hidden="1">#REF!</definedName>
    <definedName name="_____290___123Graph_FCHART_8" hidden="1">#REF!</definedName>
    <definedName name="_____291___123Graph_XCHART_1" hidden="1">#REF!</definedName>
    <definedName name="_____292___123Graph_XCHART_10" hidden="1">#REF!</definedName>
    <definedName name="_____293___123Graph_XCHART_11" hidden="1">#REF!</definedName>
    <definedName name="_____294___123Graph_XCHART_12" hidden="1">#REF!</definedName>
    <definedName name="_____295___123Graph_XCHART_13" hidden="1">#REF!</definedName>
    <definedName name="_____296___123Graph_XCHART_14" hidden="1">#REF!</definedName>
    <definedName name="_____297___123Graph_XCHART_15" hidden="1">#REF!</definedName>
    <definedName name="_____298___123Graph_XCHART_16" hidden="1">#REF!</definedName>
    <definedName name="_____299___123Graph_XCHART_17" hidden="1">#REF!</definedName>
    <definedName name="_____3______123Graph_ACHART_11" hidden="1">#REF!</definedName>
    <definedName name="_____30______123Graph_CCHART_2" hidden="1">#REF!</definedName>
    <definedName name="_____300___123Graph_XCHART_18" hidden="1">#REF!</definedName>
    <definedName name="_____301___123Graph_XCHART_2" hidden="1">#REF!</definedName>
    <definedName name="_____302___123Graph_XCHART_3" hidden="1">#REF!</definedName>
    <definedName name="_____303___123Graph_XCHART_4" hidden="1">#REF!</definedName>
    <definedName name="_____304___123Graph_XCHART_5" hidden="1">#REF!</definedName>
    <definedName name="_____305___123Graph_XCHART_6" hidden="1">#REF!</definedName>
    <definedName name="_____306___123Graph_XCHART_7" hidden="1">#REF!</definedName>
    <definedName name="_____307___123Graph_XCHART_8" hidden="1">#REF!</definedName>
    <definedName name="_____308___123Graph_XCHART_9" hidden="1">#REF!</definedName>
    <definedName name="_____31______123Graph_CCHART_3" hidden="1">#REF!</definedName>
    <definedName name="_____32______123Graph_CCHART_4" hidden="1">#REF!</definedName>
    <definedName name="_____33______123Graph_CCHART_5" hidden="1">#REF!</definedName>
    <definedName name="_____34______123Graph_CCHART_6" hidden="1">#REF!</definedName>
    <definedName name="_____35______123Graph_CCHART_7" hidden="1">#REF!</definedName>
    <definedName name="_____36______123Graph_CCHART_8" hidden="1">#REF!</definedName>
    <definedName name="_____37______123Graph_DCHART_1" hidden="1">#REF!</definedName>
    <definedName name="_____38______123Graph_DCHART_2" hidden="1">#REF!</definedName>
    <definedName name="_____39______123Graph_DCHART_3" hidden="1">#REF!</definedName>
    <definedName name="_____4______123Graph_ACHART_12" hidden="1">#REF!</definedName>
    <definedName name="_____40______123Graph_DCHART_4" hidden="1">#REF!</definedName>
    <definedName name="_____41______123Graph_DCHART_5" hidden="1">#REF!</definedName>
    <definedName name="_____42______123Graph_DCHART_6" hidden="1">#REF!</definedName>
    <definedName name="_____43______123Graph_DCHART_7" hidden="1">#REF!</definedName>
    <definedName name="_____44______123Graph_DCHART_8" hidden="1">#REF!</definedName>
    <definedName name="_____45______123Graph_ECHART_1" hidden="1">#REF!</definedName>
    <definedName name="_____46______123Graph_ECHART_2" hidden="1">#REF!</definedName>
    <definedName name="_____47______123Graph_ECHART_3" hidden="1">#REF!</definedName>
    <definedName name="_____48______123Graph_ECHART_4" hidden="1">#REF!</definedName>
    <definedName name="_____49______123Graph_ECHART_5" hidden="1">#REF!</definedName>
    <definedName name="_____5______123Graph_ACHART_13" hidden="1">#REF!</definedName>
    <definedName name="_____50______123Graph_ECHART_6" hidden="1">#REF!</definedName>
    <definedName name="_____51______123Graph_ECHART_7" hidden="1">#REF!</definedName>
    <definedName name="_____52______123Graph_ECHART_8" hidden="1">#REF!</definedName>
    <definedName name="_____53______123Graph_FCHART_1" hidden="1">#REF!</definedName>
    <definedName name="_____54______123Graph_FCHART_2" hidden="1">#REF!</definedName>
    <definedName name="_____55______123Graph_FCHART_3" hidden="1">#REF!</definedName>
    <definedName name="_____56______123Graph_FCHART_4" hidden="1">#REF!</definedName>
    <definedName name="_____57______123Graph_FCHART_6" hidden="1">#REF!</definedName>
    <definedName name="_____58______123Graph_FCHART_7" hidden="1">#REF!</definedName>
    <definedName name="_____59______123Graph_FCHART_8" hidden="1">#REF!</definedName>
    <definedName name="_____6______123Graph_ACHART_14" hidden="1">#REF!</definedName>
    <definedName name="_____60______123Graph_XCHART_1" hidden="1">#REF!</definedName>
    <definedName name="_____61______123Graph_XCHART_10" hidden="1">#REF!</definedName>
    <definedName name="_____62______123Graph_XCHART_11" hidden="1">#REF!</definedName>
    <definedName name="_____63______123Graph_XCHART_12" hidden="1">#REF!</definedName>
    <definedName name="_____64______123Graph_XCHART_13" hidden="1">#REF!</definedName>
    <definedName name="_____65______123Graph_XCHART_14" hidden="1">#REF!</definedName>
    <definedName name="_____66______123Graph_XCHART_15" hidden="1">#REF!</definedName>
    <definedName name="_____67______123Graph_XCHART_16" hidden="1">#REF!</definedName>
    <definedName name="_____68______123Graph_XCHART_17" hidden="1">#REF!</definedName>
    <definedName name="_____69______123Graph_XCHART_18" hidden="1">#REF!</definedName>
    <definedName name="_____7______123Graph_ACHART_15" hidden="1">#REF!</definedName>
    <definedName name="_____70______123Graph_XCHART_2" hidden="1">#REF!</definedName>
    <definedName name="_____71______123Graph_XCHART_3" hidden="1">#REF!</definedName>
    <definedName name="_____72______123Graph_XCHART_4" hidden="1">#REF!</definedName>
    <definedName name="_____73______123Graph_XCHART_5" hidden="1">#REF!</definedName>
    <definedName name="_____74______123Graph_XCHART_6" hidden="1">#REF!</definedName>
    <definedName name="_____75______123Graph_XCHART_7" hidden="1">#REF!</definedName>
    <definedName name="_____76______123Graph_XCHART_8" hidden="1">#REF!</definedName>
    <definedName name="_____77______123Graph_XCHART_9" hidden="1">#REF!</definedName>
    <definedName name="_____78_____123Graph_ACHART_1" hidden="1">#REF!</definedName>
    <definedName name="_____79_____123Graph_ACHART_10" hidden="1">#REF!</definedName>
    <definedName name="_____8______123Graph_ACHART_16" hidden="1">#REF!</definedName>
    <definedName name="_____80_____123Graph_ACHART_11" hidden="1">#REF!</definedName>
    <definedName name="_____81_____123Graph_ACHART_12" hidden="1">#REF!</definedName>
    <definedName name="_____82_____123Graph_ACHART_13" hidden="1">#REF!</definedName>
    <definedName name="_____83_____123Graph_ACHART_14" hidden="1">#REF!</definedName>
    <definedName name="_____84_____123Graph_ACHART_15" hidden="1">#REF!</definedName>
    <definedName name="_____85_____123Graph_ACHART_16" hidden="1">#REF!</definedName>
    <definedName name="_____86_____123Graph_ACHART_17" hidden="1">#REF!</definedName>
    <definedName name="_____87_____123Graph_ACHART_18" hidden="1">#REF!</definedName>
    <definedName name="_____88_____123Graph_ACHART_2" hidden="1">#REF!</definedName>
    <definedName name="_____89_____123Graph_ACHART_3" hidden="1">#REF!</definedName>
    <definedName name="_____9______123Graph_ACHART_17" hidden="1">#REF!</definedName>
    <definedName name="_____90_____123Graph_ACHART_4" hidden="1">#REF!</definedName>
    <definedName name="_____91_____123Graph_ACHART_5" hidden="1">#REF!</definedName>
    <definedName name="_____92_____123Graph_ACHART_6" hidden="1">#REF!</definedName>
    <definedName name="_____93_____123Graph_ACHART_7" hidden="1">#REF!</definedName>
    <definedName name="_____94_____123Graph_ACHART_8" hidden="1">#REF!</definedName>
    <definedName name="_____95_____123Graph_ACHART_9" hidden="1">#REF!</definedName>
    <definedName name="_____96_____123Graph_BCHART_1" hidden="1">#REF!</definedName>
    <definedName name="_____97_____123Graph_BCHART_17" hidden="1">#REF!</definedName>
    <definedName name="_____98_____123Graph_BCHART_18" hidden="1">#REF!</definedName>
    <definedName name="_____99_____123Graph_BCHART_2" hidden="1">#REF!</definedName>
    <definedName name="_____abc1" localSheetId="10" hidden="1">{"detail",#N/A,FALSE,"mfg";"summary",#N/A,FALSE,"mfg"}</definedName>
    <definedName name="_____abc1" hidden="1">{"detail",#N/A,FALSE,"mfg";"summary",#N/A,FALSE,"mfg"}</definedName>
    <definedName name="_____abc2" localSheetId="10" hidden="1">{"detail",#N/A,FALSE,"mfg";"summary",#N/A,FALSE,"mfg"}</definedName>
    <definedName name="_____abc2" hidden="1">{"detail",#N/A,FALSE,"mfg";"summary",#N/A,FALSE,"mfg"}</definedName>
    <definedName name="___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___dff1" hidden="1">{"incomemth",#N/A,TRUE,"forecast01";"incpercentmth",#N/A,TRUE,"forecast01";"balancemth",#N/A,TRUE,"forecast01";"cashmth",#N/A,TRUE,"forecast01";"cov2mth",#N/A,TRUE,"forecast01";"prbexp",#N/A,TRUE,"forecast01";"prbcap",#N/A,TRUE,"forecast01";"coalconsultants",#N/A,TRUE,"forecast01";"prbsum",#N/A,TRUE,"forecast01"}</definedName>
    <definedName name="_____DRE0700" localSheetId="10" hidden="1">{"'PXR_6500'!$A$1:$I$124"}</definedName>
    <definedName name="_____DRE0700" hidden="1">{"'PXR_6500'!$A$1:$I$124"}</definedName>
    <definedName name="_____fdf1" localSheetId="10" hidden="1">{"incomemth",#N/A,TRUE,"forecast00";"incomepercentmth",#N/A,TRUE,"forecast00";"balancemth",#N/A,TRUE,"forecast00";"cashmth",#N/A,TRUE,"forecast00";"covenantmth",#N/A,TRUE,"forecast00"}</definedName>
    <definedName name="_____fdf1" hidden="1">{"incomemth",#N/A,TRUE,"forecast00";"incomepercentmth",#N/A,TRUE,"forecast00";"balancemth",#N/A,TRUE,"forecast00";"cashmth",#N/A,TRUE,"forecast00";"covenantmth",#N/A,TRUE,"forecast00"}</definedName>
    <definedName name="_____fdg1" localSheetId="10" hidden="1">{"incomemth",#N/A,TRUE,"forecast00";"incomepercentmth",#N/A,TRUE,"forecast00";"balancemth",#N/A,TRUE,"forecast00";"cashmth",#N/A,TRUE,"forecast00";"covenantmth",#N/A,TRUE,"forecast00"}</definedName>
    <definedName name="_____fdg1" hidden="1">{"incomemth",#N/A,TRUE,"forecast00";"incomepercentmth",#N/A,TRUE,"forecast00";"balancemth",#N/A,TRUE,"forecast00";"cashmth",#N/A,TRUE,"forecast00";"covenantmth",#N/A,TRUE,"forecast00"}</definedName>
    <definedName name="___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___fds1" hidden="1">{"incomemth",#N/A,TRUE,"forecast01";"incpercentmth",#N/A,TRUE,"forecast01";"balancemth",#N/A,TRUE,"forecast01";"cashmth",#N/A,TRUE,"forecast01";"cov2mth",#N/A,TRUE,"forecast01";"prbexp",#N/A,TRUE,"forecast01";"prbcap",#N/A,TRUE,"forecast01";"coalconsultants",#N/A,TRUE,"forecast01";"prbsum",#N/A,TRUE,"forecast01"}</definedName>
    <definedName name="_____gf1" localSheetId="10" hidden="1">{"incomemth",#N/A,TRUE,"forecast00";"incomepercentmth",#N/A,TRUE,"forecast00";"balancemth",#N/A,TRUE,"forecast00";"cashmth",#N/A,TRUE,"forecast00";"covenantmth",#N/A,TRUE,"forecast00"}</definedName>
    <definedName name="_____gf1" hidden="1">{"incomemth",#N/A,TRUE,"forecast00";"incomepercentmth",#N/A,TRUE,"forecast00";"balancemth",#N/A,TRUE,"forecast00";"cashmth",#N/A,TRUE,"forecast00";"covenantmth",#N/A,TRUE,"forecast00"}</definedName>
    <definedName name="_____GRP1">OFFSET(#REF!,0,0,COUNTA(#REF!),1)</definedName>
    <definedName name="_____GRP2">OFFSET(#REF!,0,0,COUNTA(#REF!),1)</definedName>
    <definedName name="_____hod2" localSheetId="10" hidden="1">{#N/A,#N/A,FALSE,"TS";#N/A,#N/A,FALSE,"Combo";#N/A,#N/A,FALSE,"FAIR";#N/A,#N/A,FALSE,"RBC";#N/A,#N/A,FALSE,"xxxx";#N/A,#N/A,FALSE,"A_D";#N/A,#N/A,FALSE,"WACC";#N/A,#N/A,FALSE,"DCF";#N/A,#N/A,FALSE,"LBO";#N/A,#N/A,FALSE,"AcqMults";#N/A,#N/A,FALSE,"CompMults"}</definedName>
    <definedName name="_____hod2" hidden="1">{#N/A,#N/A,FALSE,"TS";#N/A,#N/A,FALSE,"Combo";#N/A,#N/A,FALSE,"FAIR";#N/A,#N/A,FALSE,"RBC";#N/A,#N/A,FALSE,"xxxx";#N/A,#N/A,FALSE,"A_D";#N/A,#N/A,FALSE,"WACC";#N/A,#N/A,FALSE,"DCF";#N/A,#N/A,FALSE,"LBO";#N/A,#N/A,FALSE,"AcqMults";#N/A,#N/A,FALSE,"CompMults"}</definedName>
    <definedName name="_____I2" localSheetId="10" hidden="1">{"PVGraph2",#N/A,FALSE,"PV Data"}</definedName>
    <definedName name="_____I2" hidden="1">{"PVGraph2",#N/A,FALSE,"PV Data"}</definedName>
    <definedName name="_____I3" localSheetId="10" hidden="1">{"PVGraph2",#N/A,FALSE,"PV Data"}</definedName>
    <definedName name="_____I3" hidden="1">{"PVGraph2",#N/A,FALSE,"PV Data"}</definedName>
    <definedName name="_____ibo2" localSheetId="10" hidden="1">{#N/A,#N/A,FALSE,"Summary";#N/A,#N/A,FALSE,"Projections";#N/A,#N/A,FALSE,"Mkt Mults";#N/A,#N/A,FALSE,"DCF";#N/A,#N/A,FALSE,"Accr Dil";#N/A,#N/A,FALSE,"PIC LBO";#N/A,#N/A,FALSE,"MULT10_4";#N/A,#N/A,FALSE,"CBI LBO"}</definedName>
    <definedName name="_____ibo2" hidden="1">{#N/A,#N/A,FALSE,"Summary";#N/A,#N/A,FALSE,"Projections";#N/A,#N/A,FALSE,"Mkt Mults";#N/A,#N/A,FALSE,"DCF";#N/A,#N/A,FALSE,"Accr Dil";#N/A,#N/A,FALSE,"PIC LBO";#N/A,#N/A,FALSE,"MULT10_4";#N/A,#N/A,FALSE,"CBI LBO"}</definedName>
    <definedName name="_____ISV4" localSheetId="10" hidden="1">{"Material",#N/A,TRUE,"Summary";"Mfg",#N/A,TRUE,"Summary";"mfgbymo",#N/A,TRUE,"By Month";"Mtlbymo",#N/A,TRUE,"By Month"}</definedName>
    <definedName name="_____ISV4" hidden="1">{"Material",#N/A,TRUE,"Summary";"Mfg",#N/A,TRUE,"Summary";"mfgbymo",#N/A,TRUE,"By Month";"Mtlbymo",#N/A,TRUE,"By Month"}</definedName>
    <definedName name="_____ISV4_1" localSheetId="10" hidden="1">{"Material",#N/A,TRUE,"Summary";"Mfg",#N/A,TRUE,"Summary";"mfgbymo",#N/A,TRUE,"By Month";"Mtlbymo",#N/A,TRUE,"By Month"}</definedName>
    <definedName name="_____ISV4_1" hidden="1">{"Material",#N/A,TRUE,"Summary";"Mfg",#N/A,TRUE,"Summary";"mfgbymo",#N/A,TRUE,"By Month";"Mtlbymo",#N/A,TRUE,"By Month"}</definedName>
    <definedName name="_____ISV4_1_1" localSheetId="10" hidden="1">{"Material",#N/A,TRUE,"Summary";"Mfg",#N/A,TRUE,"Summary";"mfgbymo",#N/A,TRUE,"By Month";"Mtlbymo",#N/A,TRUE,"By Month"}</definedName>
    <definedName name="_____ISV4_1_1" hidden="1">{"Material",#N/A,TRUE,"Summary";"Mfg",#N/A,TRUE,"Summary";"mfgbymo",#N/A,TRUE,"By Month";"Mtlbymo",#N/A,TRUE,"By Month"}</definedName>
    <definedName name="_____ISV4_2" localSheetId="10" hidden="1">{"Material",#N/A,TRUE,"Summary";"Mfg",#N/A,TRUE,"Summary";"mfgbymo",#N/A,TRUE,"By Month";"Mtlbymo",#N/A,TRUE,"By Month"}</definedName>
    <definedName name="_____ISV4_2" hidden="1">{"Material",#N/A,TRUE,"Summary";"Mfg",#N/A,TRUE,"Summary";"mfgbymo",#N/A,TRUE,"By Month";"Mtlbymo",#N/A,TRUE,"By Month"}</definedName>
    <definedName name="_____key1" localSheetId="10" hidden="1">#REF!</definedName>
    <definedName name="_____key1" hidden="1">#REF!</definedName>
    <definedName name="_____key2" hidden="1">#REF!</definedName>
    <definedName name="____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mty1" localSheetId="10" hidden="1">{#N/A,#N/A,TRUE,"2432"}</definedName>
    <definedName name="_____mty1" hidden="1">{#N/A,#N/A,TRUE,"2432"}</definedName>
    <definedName name="_____q1" localSheetId="10" hidden="1">{"inflated_pl",#N/A,FALSE,"P&amp;L"}</definedName>
    <definedName name="_____q1" hidden="1">{"inflated_pl",#N/A,FALSE,"P&amp;L"}</definedName>
    <definedName name="_____q2" localSheetId="10" hidden="1">{"PL_no_inflated",#N/A,FALSE,"P&amp;L"}</definedName>
    <definedName name="_____q2" hidden="1">{"PL_no_inflated",#N/A,FALSE,"P&amp;L"}</definedName>
    <definedName name="_____R" localSheetId="10" hidden="1">{#N/A,#N/A,FALSE,"Minors";#N/A,#N/A,FALSE,"96CAPREV"}</definedName>
    <definedName name="_____R" hidden="1">{#N/A,#N/A,FALSE,"Minors";#N/A,#N/A,FALSE,"96CAPREV"}</definedName>
    <definedName name="_____rod1" localSheetId="10"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RSE2">#REF!</definedName>
    <definedName name="_____stopthis">#N/A</definedName>
    <definedName name="_____t1" localSheetId="10" hidden="1">{"bs",#N/A,FALSE,"SCF"}</definedName>
    <definedName name="_____t1" hidden="1">{"bs",#N/A,FALSE,"SCF"}</definedName>
    <definedName name="_____tax1">#REF!</definedName>
    <definedName name="_____tax2">#REF!</definedName>
    <definedName name="_____tax3">#REF!</definedName>
    <definedName name="_____tax4">#REF!</definedName>
    <definedName name="_____var3" localSheetId="10" hidden="1">{"'777'!$A$1:$H$41"}</definedName>
    <definedName name="_____var3" localSheetId="15" hidden="1">{"'777'!$A$1:$H$41"}</definedName>
    <definedName name="_____var3" hidden="1">{"'777'!$A$1:$H$41"}</definedName>
    <definedName name="_____w1" localSheetId="10" hidden="1">{"PVGraph2",#N/A,FALSE,"PV Data"}</definedName>
    <definedName name="_____w1" hidden="1">{"PVGraph2",#N/A,FALSE,"PV Data"}</definedName>
    <definedName name="_____w2" localSheetId="10" hidden="1">{"PVGraph2",#N/A,FALSE,"PV Data"}</definedName>
    <definedName name="_____w2" hidden="1">{"PVGraph2",#N/A,FALSE,"PV Data"}</definedName>
    <definedName name="_____w3" localSheetId="10" hidden="1">{"PVGraph2",#N/A,FALSE,"PV Data"}</definedName>
    <definedName name="_____w3" hidden="1">{"PVGraph2",#N/A,FALSE,"PV Data"}</definedName>
    <definedName name="_____wrn2" localSheetId="10" hidden="1">{#N/A,#N/A,TRUE,"Notes";#N/A,#N/A,TRUE,"Cap Struct";#N/A,#N/A,TRUE,"OBS";#N/A,#N/A,TRUE,"bal Sheet";#N/A,#N/A,TRUE,"Inc stmt";#N/A,#N/A,TRUE,"csh flw";#N/A,#N/A,TRUE,"debt";#N/A,#N/A,TRUE,"detail 96,97";#N/A,#N/A,TRUE,"Covenants"}</definedName>
    <definedName name="_____wrn2" localSheetId="15" hidden="1">{#N/A,#N/A,TRUE,"Notes";#N/A,#N/A,TRUE,"Cap Struct";#N/A,#N/A,TRUE,"OBS";#N/A,#N/A,TRUE,"bal Sheet";#N/A,#N/A,TRUE,"Inc stmt";#N/A,#N/A,TRUE,"csh flw";#N/A,#N/A,TRUE,"debt";#N/A,#N/A,TRUE,"detail 96,97";#N/A,#N/A,TRUE,"Covenants"}</definedName>
    <definedName name="_____wrn2" hidden="1">{#N/A,#N/A,TRUE,"Notes";#N/A,#N/A,TRUE,"Cap Struct";#N/A,#N/A,TRUE,"OBS";#N/A,#N/A,TRUE,"bal Sheet";#N/A,#N/A,TRUE,"Inc stmt";#N/A,#N/A,TRUE,"csh flw";#N/A,#N/A,TRUE,"debt";#N/A,#N/A,TRUE,"detail 96,97";#N/A,#N/A,TRUE,"Covenants"}</definedName>
    <definedName name="_____wrn3" localSheetId="10" hidden="1">{#N/A,#N/A,TRUE,"Notes";#N/A,#N/A,TRUE,"Cap Struct";#N/A,#N/A,TRUE,"OBS";#N/A,#N/A,TRUE,"bal Sheet";#N/A,#N/A,TRUE,"Inc stmt";#N/A,#N/A,TRUE,"csh flw";#N/A,#N/A,TRUE,"debt";#N/A,#N/A,TRUE,"detail 96,97";#N/A,#N/A,TRUE,"Covenants"}</definedName>
    <definedName name="_____wrn3" localSheetId="15" hidden="1">{#N/A,#N/A,TRUE,"Notes";#N/A,#N/A,TRUE,"Cap Struct";#N/A,#N/A,TRUE,"OBS";#N/A,#N/A,TRUE,"bal Sheet";#N/A,#N/A,TRUE,"Inc stmt";#N/A,#N/A,TRUE,"csh flw";#N/A,#N/A,TRUE,"debt";#N/A,#N/A,TRUE,"detail 96,97";#N/A,#N/A,TRUE,"Covenants"}</definedName>
    <definedName name="_____wrn3" hidden="1">{#N/A,#N/A,TRUE,"Notes";#N/A,#N/A,TRUE,"Cap Struct";#N/A,#N/A,TRUE,"OBS";#N/A,#N/A,TRUE,"bal Sheet";#N/A,#N/A,TRUE,"Inc stmt";#N/A,#N/A,TRUE,"csh flw";#N/A,#N/A,TRUE,"debt";#N/A,#N/A,TRUE,"detail 96,97";#N/A,#N/A,TRUE,"Covenants"}</definedName>
    <definedName name="_____ww2" localSheetId="10" hidden="1">{#N/A,#N/A,FALSE,"Admin";#N/A,#N/A,FALSE,"Other"}</definedName>
    <definedName name="_____ww2" localSheetId="15" hidden="1">{#N/A,#N/A,FALSE,"Admin";#N/A,#N/A,FALSE,"Other"}</definedName>
    <definedName name="_____ww2" hidden="1">{#N/A,#N/A,FALSE,"Admin";#N/A,#N/A,FALSE,"Other"}</definedName>
    <definedName name="_____y2" localSheetId="10" hidden="1">{"PVGraph2",#N/A,FALSE,"PV Data"}</definedName>
    <definedName name="_____y2" hidden="1">{"PVGraph2",#N/A,FALSE,"PV Data"}</definedName>
    <definedName name="_____z12" localSheetId="10" hidden="1">{"pro_view",#N/A,FALSE,"EEFSNAP2";"rep_view",#N/A,FALSE,"EEFSNAP2"}</definedName>
    <definedName name="_____z12" hidden="1">{"pro_view",#N/A,FALSE,"EEFSNAP2";"rep_view",#N/A,FALSE,"EEFSNAP2"}</definedName>
    <definedName name="_____z22" localSheetId="10"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10" hidden="1">{"detail",#N/A,FALSE,"mfg";"summary",#N/A,FALSE,"mfg"}</definedName>
    <definedName name="_____z25" hidden="1">{"detail",#N/A,FALSE,"mfg";"summary",#N/A,FALSE,"mfg"}</definedName>
    <definedName name="____1______123Graph_ACHART_1" hidden="1">#REF!</definedName>
    <definedName name="____10______123Graph_ACHART_18" hidden="1">#REF!</definedName>
    <definedName name="____100_____123Graph_BCHART_3" hidden="1">#REF!</definedName>
    <definedName name="____101_____123Graph_BCHART_4" hidden="1">#REF!</definedName>
    <definedName name="____102_____123Graph_BCHART_5" hidden="1">#REF!</definedName>
    <definedName name="____103_____123Graph_BCHART_6" hidden="1">#REF!</definedName>
    <definedName name="____104_____123Graph_BCHART_7" hidden="1">#REF!</definedName>
    <definedName name="____105_____123Graph_BCHART_8" hidden="1">#REF!</definedName>
    <definedName name="____106_____123Graph_CCHART_1" hidden="1">#REF!</definedName>
    <definedName name="____107_____123Graph_CCHART_2" hidden="1">#REF!</definedName>
    <definedName name="____108_____123Graph_CCHART_3" hidden="1">#REF!</definedName>
    <definedName name="____109_____123Graph_CCHART_4" hidden="1">#REF!</definedName>
    <definedName name="____11______123Graph_ACHART_2" hidden="1">#REF!</definedName>
    <definedName name="____110_____123Graph_CCHART_5" hidden="1">#REF!</definedName>
    <definedName name="____111_____123Graph_CCHART_6" hidden="1">#REF!</definedName>
    <definedName name="____112_____123Graph_CCHART_7" hidden="1">#REF!</definedName>
    <definedName name="____113_____123Graph_CCHART_8" hidden="1">#REF!</definedName>
    <definedName name="____114_____123Graph_DCHART_1" hidden="1">#REF!</definedName>
    <definedName name="____115_____123Graph_DCHART_2" hidden="1">#REF!</definedName>
    <definedName name="____116_____123Graph_DCHART_3" hidden="1">#REF!</definedName>
    <definedName name="____117_____123Graph_DCHART_4" hidden="1">#REF!</definedName>
    <definedName name="____118_____123Graph_DCHART_5" hidden="1">#REF!</definedName>
    <definedName name="____119_____123Graph_DCHART_6" hidden="1">#REF!</definedName>
    <definedName name="____12______123Graph_ACHART_3" hidden="1">#REF!</definedName>
    <definedName name="____120_____123Graph_DCHART_7" hidden="1">#REF!</definedName>
    <definedName name="____121_____123Graph_DCHART_8" hidden="1">#REF!</definedName>
    <definedName name="____122_____123Graph_ECHART_1" hidden="1">#REF!</definedName>
    <definedName name="____123_____123Graph_ECHART_2" hidden="1">#REF!</definedName>
    <definedName name="____124_____123Graph_ECHART_3" hidden="1">#REF!</definedName>
    <definedName name="____125_____123Graph_ECHART_4" hidden="1">#REF!</definedName>
    <definedName name="____126_____123Graph_ECHART_5" hidden="1">#REF!</definedName>
    <definedName name="____127_____123Graph_ECHART_6" hidden="1">#REF!</definedName>
    <definedName name="____128_____123Graph_ECHART_7" hidden="1">#REF!</definedName>
    <definedName name="____129_____123Graph_ECHART_8" hidden="1">#REF!</definedName>
    <definedName name="____13______123Graph_ACHART_4" hidden="1">#REF!</definedName>
    <definedName name="____130_____123Graph_FCHART_1" hidden="1">#REF!</definedName>
    <definedName name="____131_____123Graph_FCHART_2" hidden="1">#REF!</definedName>
    <definedName name="____132_____123Graph_FCHART_3" hidden="1">#REF!</definedName>
    <definedName name="____133_____123Graph_FCHART_4" hidden="1">#REF!</definedName>
    <definedName name="____134_____123Graph_FCHART_6" hidden="1">#REF!</definedName>
    <definedName name="____135_____123Graph_FCHART_7" hidden="1">#REF!</definedName>
    <definedName name="____136_____123Graph_FCHART_8" hidden="1">#REF!</definedName>
    <definedName name="____137_____123Graph_XCHART_1" hidden="1">#REF!</definedName>
    <definedName name="____138_____123Graph_XCHART_10" hidden="1">#REF!</definedName>
    <definedName name="____139_____123Graph_XCHART_11" hidden="1">#REF!</definedName>
    <definedName name="____14______123Graph_ACHART_5" hidden="1">#REF!</definedName>
    <definedName name="____140_____123Graph_XCHART_12" hidden="1">#REF!</definedName>
    <definedName name="____141_____123Graph_XCHART_13" hidden="1">#REF!</definedName>
    <definedName name="____142_____123Graph_XCHART_14" hidden="1">#REF!</definedName>
    <definedName name="____143_____123Graph_XCHART_15" hidden="1">#REF!</definedName>
    <definedName name="____144_____123Graph_XCHART_16" hidden="1">#REF!</definedName>
    <definedName name="____145_____123Graph_XCHART_17" hidden="1">#REF!</definedName>
    <definedName name="____146_____123Graph_XCHART_18" hidden="1">#REF!</definedName>
    <definedName name="____147_____123Graph_XCHART_2" hidden="1">#REF!</definedName>
    <definedName name="____148_____123Graph_XCHART_3" hidden="1">#REF!</definedName>
    <definedName name="____149_____123Graph_XCHART_4" hidden="1">#REF!</definedName>
    <definedName name="____15______123Graph_ACHART_6" hidden="1">#REF!</definedName>
    <definedName name="____150_____123Graph_XCHART_5" hidden="1">#REF!</definedName>
    <definedName name="____151_____123Graph_XCHART_6" hidden="1">#REF!</definedName>
    <definedName name="____152_____123Graph_XCHART_7" hidden="1">#REF!</definedName>
    <definedName name="____153_____123Graph_XCHART_8" hidden="1">#REF!</definedName>
    <definedName name="____154_____123Graph_XCHART_9" hidden="1">#REF!</definedName>
    <definedName name="____155____123Graph_ACHART_1" hidden="1">#REF!</definedName>
    <definedName name="____156____123Graph_ACHART_10" hidden="1">#REF!</definedName>
    <definedName name="____157____123Graph_ACHART_11" hidden="1">#REF!</definedName>
    <definedName name="____158____123Graph_ACHART_12" hidden="1">#REF!</definedName>
    <definedName name="____159____123Graph_ACHART_13" hidden="1">#REF!</definedName>
    <definedName name="____16______123Graph_ACHART_7" hidden="1">#REF!</definedName>
    <definedName name="____160____123Graph_ACHART_14" hidden="1">#REF!</definedName>
    <definedName name="____161____123Graph_ACHART_15" hidden="1">#REF!</definedName>
    <definedName name="____162____123Graph_ACHART_16" hidden="1">#REF!</definedName>
    <definedName name="____163____123Graph_ACHART_17" hidden="1">#REF!</definedName>
    <definedName name="____164____123Graph_ACHART_18" hidden="1">#REF!</definedName>
    <definedName name="____165____123Graph_ACHART_2" hidden="1">#REF!</definedName>
    <definedName name="____166____123Graph_ACHART_3" hidden="1">#REF!</definedName>
    <definedName name="____167____123Graph_ACHART_4" hidden="1">#REF!</definedName>
    <definedName name="____168____123Graph_ACHART_5" hidden="1">#REF!</definedName>
    <definedName name="____169____123Graph_ACHART_6" hidden="1">#REF!</definedName>
    <definedName name="____17______123Graph_ACHART_8" hidden="1">#REF!</definedName>
    <definedName name="____170____123Graph_ACHART_7" hidden="1">#REF!</definedName>
    <definedName name="____171____123Graph_ACHART_8" hidden="1">#REF!</definedName>
    <definedName name="____172____123Graph_ACHART_9" hidden="1">#REF!</definedName>
    <definedName name="____173____123Graph_BCHART_1" hidden="1">#REF!</definedName>
    <definedName name="____174____123Graph_BCHART_17" hidden="1">#REF!</definedName>
    <definedName name="____175____123Graph_BCHART_18" hidden="1">#REF!</definedName>
    <definedName name="____176____123Graph_BCHART_2" hidden="1">#REF!</definedName>
    <definedName name="____177____123Graph_BCHART_3" hidden="1">#REF!</definedName>
    <definedName name="____178____123Graph_BCHART_4" hidden="1">#REF!</definedName>
    <definedName name="____179____123Graph_BCHART_5" hidden="1">#REF!</definedName>
    <definedName name="____18______123Graph_ACHART_9" hidden="1">#REF!</definedName>
    <definedName name="____180____123Graph_BCHART_6" hidden="1">#REF!</definedName>
    <definedName name="____181____123Graph_BCHART_7" hidden="1">#REF!</definedName>
    <definedName name="____182____123Graph_BCHART_8" hidden="1">#REF!</definedName>
    <definedName name="____183____123Graph_CCHART_1" hidden="1">#REF!</definedName>
    <definedName name="____184____123Graph_CCHART_2" hidden="1">#REF!</definedName>
    <definedName name="____185____123Graph_CCHART_3" hidden="1">#REF!</definedName>
    <definedName name="____186____123Graph_CCHART_4" hidden="1">#REF!</definedName>
    <definedName name="____187____123Graph_CCHART_5" hidden="1">#REF!</definedName>
    <definedName name="____188____123Graph_CCHART_6" hidden="1">#REF!</definedName>
    <definedName name="____189____123Graph_CCHART_7" hidden="1">#REF!</definedName>
    <definedName name="____19______123Graph_BCHART_1" hidden="1">#REF!</definedName>
    <definedName name="____190____123Graph_CCHART_8" hidden="1">#REF!</definedName>
    <definedName name="____191____123Graph_DCHART_1" hidden="1">#REF!</definedName>
    <definedName name="____192____123Graph_DCHART_2" hidden="1">#REF!</definedName>
    <definedName name="____193____123Graph_DCHART_3" hidden="1">#REF!</definedName>
    <definedName name="____194____123Graph_DCHART_4" hidden="1">#REF!</definedName>
    <definedName name="____195____123Graph_DCHART_5" hidden="1">#REF!</definedName>
    <definedName name="____196____123Graph_DCHART_6" hidden="1">#REF!</definedName>
    <definedName name="____197____123Graph_DCHART_7" hidden="1">#REF!</definedName>
    <definedName name="____198____123Graph_DCHART_8" hidden="1">#REF!</definedName>
    <definedName name="____199____123Graph_ECHART_1" hidden="1">#REF!</definedName>
    <definedName name="____2______123Graph_ACHART_10" hidden="1">#REF!</definedName>
    <definedName name="____20______123Graph_BCHART_17" hidden="1">#REF!</definedName>
    <definedName name="____200____123Graph_ECHART_2" hidden="1">#REF!</definedName>
    <definedName name="____201____123Graph_ECHART_3" hidden="1">#REF!</definedName>
    <definedName name="____202____123Graph_ECHART_4" hidden="1">#REF!</definedName>
    <definedName name="____203____123Graph_ECHART_5" hidden="1">#REF!</definedName>
    <definedName name="____204____123Graph_ECHART_6" hidden="1">#REF!</definedName>
    <definedName name="____205____123Graph_ECHART_7" hidden="1">#REF!</definedName>
    <definedName name="____206____123Graph_ECHART_8" hidden="1">#REF!</definedName>
    <definedName name="____207____123Graph_FCHART_1" hidden="1">#REF!</definedName>
    <definedName name="____208____123Graph_FCHART_2" hidden="1">#REF!</definedName>
    <definedName name="____209____123Graph_FCHART_3" hidden="1">#REF!</definedName>
    <definedName name="____21______123Graph_BCHART_18" hidden="1">#REF!</definedName>
    <definedName name="____210____123Graph_FCHART_4" hidden="1">#REF!</definedName>
    <definedName name="____211____123Graph_FCHART_6" hidden="1">#REF!</definedName>
    <definedName name="____212____123Graph_FCHART_7" hidden="1">#REF!</definedName>
    <definedName name="____213____123Graph_FCHART_8" hidden="1">#REF!</definedName>
    <definedName name="____214____123Graph_XCHART_1" hidden="1">#REF!</definedName>
    <definedName name="____215____123Graph_XCHART_10" hidden="1">#REF!</definedName>
    <definedName name="____216____123Graph_XCHART_11" hidden="1">#REF!</definedName>
    <definedName name="____217____123Graph_XCHART_12" hidden="1">#REF!</definedName>
    <definedName name="____218____123Graph_XCHART_13" hidden="1">#REF!</definedName>
    <definedName name="____219____123Graph_XCHART_14" hidden="1">#REF!</definedName>
    <definedName name="____22______123Graph_BCHART_2" hidden="1">#REF!</definedName>
    <definedName name="____220____123Graph_XCHART_15" hidden="1">#REF!</definedName>
    <definedName name="____221____123Graph_XCHART_16" hidden="1">#REF!</definedName>
    <definedName name="____222____123Graph_XCHART_17" hidden="1">#REF!</definedName>
    <definedName name="____223____123Graph_XCHART_18" hidden="1">#REF!</definedName>
    <definedName name="____224____123Graph_XCHART_2" hidden="1">#REF!</definedName>
    <definedName name="____225____123Graph_XCHART_3" hidden="1">#REF!</definedName>
    <definedName name="____226____123Graph_XCHART_4" hidden="1">#REF!</definedName>
    <definedName name="____227____123Graph_XCHART_5" hidden="1">#REF!</definedName>
    <definedName name="____228____123Graph_XCHART_6" hidden="1">#REF!</definedName>
    <definedName name="____229____123Graph_XCHART_7" hidden="1">#REF!</definedName>
    <definedName name="____23______123Graph_BCHART_3" hidden="1">#REF!</definedName>
    <definedName name="____230____123Graph_XCHART_8" hidden="1">#REF!</definedName>
    <definedName name="____231____123Graph_XCHART_9" hidden="1">#REF!</definedName>
    <definedName name="____232___123Graph_ACHART_1" hidden="1">#REF!</definedName>
    <definedName name="____233___123Graph_ACHART_10" hidden="1">#REF!</definedName>
    <definedName name="____234___123Graph_ACHART_11" hidden="1">#REF!</definedName>
    <definedName name="____235___123Graph_ACHART_12" hidden="1">#REF!</definedName>
    <definedName name="____236___123Graph_ACHART_13" hidden="1">#REF!</definedName>
    <definedName name="____237___123Graph_ACHART_14" hidden="1">#REF!</definedName>
    <definedName name="____238___123Graph_ACHART_15" hidden="1">#REF!</definedName>
    <definedName name="____239___123Graph_ACHART_16" hidden="1">#REF!</definedName>
    <definedName name="____24______123Graph_BCHART_4" hidden="1">#REF!</definedName>
    <definedName name="____240___123Graph_ACHART_17" hidden="1">#REF!</definedName>
    <definedName name="____241___123Graph_ACHART_18" hidden="1">#REF!</definedName>
    <definedName name="____242___123Graph_ACHART_2" hidden="1">#REF!</definedName>
    <definedName name="____243___123Graph_ACHART_3" hidden="1">#REF!</definedName>
    <definedName name="____244___123Graph_ACHART_4" hidden="1">#REF!</definedName>
    <definedName name="____245___123Graph_ACHART_5" hidden="1">#REF!</definedName>
    <definedName name="____246___123Graph_ACHART_6" hidden="1">#REF!</definedName>
    <definedName name="____247___123Graph_ACHART_7" hidden="1">#REF!</definedName>
    <definedName name="____248___123Graph_ACHART_8" hidden="1">#REF!</definedName>
    <definedName name="____249___123Graph_ACHART_9" hidden="1">#REF!</definedName>
    <definedName name="____25______123Graph_BCHART_5" hidden="1">#REF!</definedName>
    <definedName name="____250___123Graph_BCHART_1" hidden="1">#REF!</definedName>
    <definedName name="____251___123Graph_BCHART_17" hidden="1">#REF!</definedName>
    <definedName name="____252___123Graph_BCHART_18" hidden="1">#REF!</definedName>
    <definedName name="____253___123Graph_BCHART_2" hidden="1">#REF!</definedName>
    <definedName name="____254___123Graph_BCHART_3" hidden="1">#REF!</definedName>
    <definedName name="____255___123Graph_BCHART_4" hidden="1">#REF!</definedName>
    <definedName name="____256___123Graph_BCHART_5" hidden="1">#REF!</definedName>
    <definedName name="____257___123Graph_BCHART_6" hidden="1">#REF!</definedName>
    <definedName name="____258___123Graph_BCHART_7" hidden="1">#REF!</definedName>
    <definedName name="____259___123Graph_BCHART_8" hidden="1">#REF!</definedName>
    <definedName name="____26______123Graph_BCHART_6" hidden="1">#REF!</definedName>
    <definedName name="____260___123Graph_CCHART_1" hidden="1">#REF!</definedName>
    <definedName name="____261___123Graph_CCHART_2" hidden="1">#REF!</definedName>
    <definedName name="____262___123Graph_CCHART_3" hidden="1">#REF!</definedName>
    <definedName name="____263___123Graph_CCHART_4" hidden="1">#REF!</definedName>
    <definedName name="____264___123Graph_CCHART_5" hidden="1">#REF!</definedName>
    <definedName name="____265___123Graph_CCHART_6" hidden="1">#REF!</definedName>
    <definedName name="____266___123Graph_CCHART_7" hidden="1">#REF!</definedName>
    <definedName name="____267___123Graph_CCHART_8" hidden="1">#REF!</definedName>
    <definedName name="____268___123Graph_DCHART_1" hidden="1">#REF!</definedName>
    <definedName name="____269___123Graph_DCHART_2" hidden="1">#REF!</definedName>
    <definedName name="____27______123Graph_BCHART_7" hidden="1">#REF!</definedName>
    <definedName name="____270___123Graph_DCHART_3" hidden="1">#REF!</definedName>
    <definedName name="____271___123Graph_DCHART_4" hidden="1">#REF!</definedName>
    <definedName name="____272___123Graph_DCHART_5" hidden="1">#REF!</definedName>
    <definedName name="____273___123Graph_DCHART_6" hidden="1">#REF!</definedName>
    <definedName name="____274___123Graph_DCHART_7" hidden="1">#REF!</definedName>
    <definedName name="____275___123Graph_DCHART_8" hidden="1">#REF!</definedName>
    <definedName name="____276___123Graph_ECHART_1" hidden="1">#REF!</definedName>
    <definedName name="____277___123Graph_ECHART_2" hidden="1">#REF!</definedName>
    <definedName name="____278___123Graph_ECHART_3" hidden="1">#REF!</definedName>
    <definedName name="____279___123Graph_ECHART_4" hidden="1">#REF!</definedName>
    <definedName name="____28______123Graph_BCHART_8" hidden="1">#REF!</definedName>
    <definedName name="____280___123Graph_ECHART_5" hidden="1">#REF!</definedName>
    <definedName name="____281___123Graph_ECHART_6" hidden="1">#REF!</definedName>
    <definedName name="____282___123Graph_ECHART_7" hidden="1">#REF!</definedName>
    <definedName name="____283___123Graph_ECHART_8" hidden="1">#REF!</definedName>
    <definedName name="____284___123Graph_FCHART_1" hidden="1">#REF!</definedName>
    <definedName name="____285___123Graph_FCHART_2" hidden="1">#REF!</definedName>
    <definedName name="____286___123Graph_FCHART_3" hidden="1">#REF!</definedName>
    <definedName name="____287___123Graph_FCHART_4" hidden="1">#REF!</definedName>
    <definedName name="____288___123Graph_FCHART_6" hidden="1">#REF!</definedName>
    <definedName name="____289___123Graph_FCHART_7" hidden="1">#REF!</definedName>
    <definedName name="____29______123Graph_CCHART_1" hidden="1">#REF!</definedName>
    <definedName name="____290___123Graph_FCHART_8" hidden="1">#REF!</definedName>
    <definedName name="____291___123Graph_XCHART_1" hidden="1">#REF!</definedName>
    <definedName name="____292___123Graph_XCHART_10" hidden="1">#REF!</definedName>
    <definedName name="____293___123Graph_XCHART_11" hidden="1">#REF!</definedName>
    <definedName name="____294___123Graph_XCHART_12" hidden="1">#REF!</definedName>
    <definedName name="____295___123Graph_XCHART_13" hidden="1">#REF!</definedName>
    <definedName name="____296___123Graph_XCHART_14" hidden="1">#REF!</definedName>
    <definedName name="____297___123Graph_XCHART_15" hidden="1">#REF!</definedName>
    <definedName name="____298___123Graph_XCHART_16" hidden="1">#REF!</definedName>
    <definedName name="____299___123Graph_XCHART_17" hidden="1">#REF!</definedName>
    <definedName name="____3______123Graph_ACHART_11" hidden="1">#REF!</definedName>
    <definedName name="____30______123Graph_CCHART_2" hidden="1">#REF!</definedName>
    <definedName name="____300___123Graph_XCHART_18" hidden="1">#REF!</definedName>
    <definedName name="____301___123Graph_XCHART_2" hidden="1">#REF!</definedName>
    <definedName name="____302___123Graph_XCHART_3" hidden="1">#REF!</definedName>
    <definedName name="____303___123Graph_XCHART_4" hidden="1">#REF!</definedName>
    <definedName name="____304___123Graph_XCHART_5" hidden="1">#REF!</definedName>
    <definedName name="____305___123Graph_XCHART_6" hidden="1">#REF!</definedName>
    <definedName name="____306___123Graph_XCHART_7" hidden="1">#REF!</definedName>
    <definedName name="____307___123Graph_XCHART_8" hidden="1">#REF!</definedName>
    <definedName name="____308___123Graph_XCHART_9" hidden="1">#REF!</definedName>
    <definedName name="____31______123Graph_CCHART_3" hidden="1">#REF!</definedName>
    <definedName name="____32______123Graph_CCHART_4" hidden="1">#REF!</definedName>
    <definedName name="____33______123Graph_CCHART_5" hidden="1">#REF!</definedName>
    <definedName name="____34______123Graph_CCHART_6" hidden="1">#REF!</definedName>
    <definedName name="____35______123Graph_CCHART_7" hidden="1">#REF!</definedName>
    <definedName name="____36______123Graph_CCHART_8" hidden="1">#REF!</definedName>
    <definedName name="____37______123Graph_DCHART_1" hidden="1">#REF!</definedName>
    <definedName name="____38______123Graph_DCHART_2" hidden="1">#REF!</definedName>
    <definedName name="____39______123Graph_DCHART_3" hidden="1">#REF!</definedName>
    <definedName name="____4______123Graph_ACHART_12" hidden="1">#REF!</definedName>
    <definedName name="____40______123Graph_DCHART_4" hidden="1">#REF!</definedName>
    <definedName name="____41______123Graph_DCHART_5" hidden="1">#REF!</definedName>
    <definedName name="____42______123Graph_DCHART_6" hidden="1">#REF!</definedName>
    <definedName name="____43______123Graph_DCHART_7" hidden="1">#REF!</definedName>
    <definedName name="____44______123Graph_DCHART_8" hidden="1">#REF!</definedName>
    <definedName name="____45______123Graph_ECHART_1" hidden="1">#REF!</definedName>
    <definedName name="____46______123Graph_ECHART_2" hidden="1">#REF!</definedName>
    <definedName name="____47______123Graph_ECHART_3" hidden="1">#REF!</definedName>
    <definedName name="____48______123Graph_ECHART_4" hidden="1">#REF!</definedName>
    <definedName name="____49______123Graph_ECHART_5" hidden="1">#REF!</definedName>
    <definedName name="____5______123Graph_ACHART_13" hidden="1">#REF!</definedName>
    <definedName name="____50______123Graph_ECHART_6" hidden="1">#REF!</definedName>
    <definedName name="____51______123Graph_ECHART_7" hidden="1">#REF!</definedName>
    <definedName name="____52______123Graph_ECHART_8" hidden="1">#REF!</definedName>
    <definedName name="____53______123Graph_FCHART_1" hidden="1">#REF!</definedName>
    <definedName name="____54______123Graph_FCHART_2" hidden="1">#REF!</definedName>
    <definedName name="____55______123Graph_FCHART_3" hidden="1">#REF!</definedName>
    <definedName name="____56______123Graph_FCHART_4" hidden="1">#REF!</definedName>
    <definedName name="____57______123Graph_FCHART_6" hidden="1">#REF!</definedName>
    <definedName name="____58______123Graph_FCHART_7" hidden="1">#REF!</definedName>
    <definedName name="____59______123Graph_FCHART_8" hidden="1">#REF!</definedName>
    <definedName name="____6______123Graph_ACHART_14" hidden="1">#REF!</definedName>
    <definedName name="____60______123Graph_XCHART_1" hidden="1">#REF!</definedName>
    <definedName name="____61______123Graph_XCHART_10" hidden="1">#REF!</definedName>
    <definedName name="____62______123Graph_XCHART_11" hidden="1">#REF!</definedName>
    <definedName name="____63______123Graph_XCHART_12" hidden="1">#REF!</definedName>
    <definedName name="____64______123Graph_XCHART_13" hidden="1">#REF!</definedName>
    <definedName name="____65______123Graph_XCHART_14" hidden="1">#REF!</definedName>
    <definedName name="____66______123Graph_XCHART_15" hidden="1">#REF!</definedName>
    <definedName name="____67______123Graph_XCHART_16" hidden="1">#REF!</definedName>
    <definedName name="____68______123Graph_XCHART_17" hidden="1">#REF!</definedName>
    <definedName name="____69______123Graph_XCHART_18" hidden="1">#REF!</definedName>
    <definedName name="____7______123Graph_ACHART_15" hidden="1">#REF!</definedName>
    <definedName name="____70______123Graph_XCHART_2" hidden="1">#REF!</definedName>
    <definedName name="____71______123Graph_XCHART_3" hidden="1">#REF!</definedName>
    <definedName name="____72______123Graph_XCHART_4" hidden="1">#REF!</definedName>
    <definedName name="____73______123Graph_XCHART_5" hidden="1">#REF!</definedName>
    <definedName name="____74______123Graph_XCHART_6" hidden="1">#REF!</definedName>
    <definedName name="____75______123Graph_XCHART_7" hidden="1">#REF!</definedName>
    <definedName name="____76______123Graph_XCHART_8" hidden="1">#REF!</definedName>
    <definedName name="____77______123Graph_XCHART_9" hidden="1">#REF!</definedName>
    <definedName name="____78_____123Graph_ACHART_1" hidden="1">#REF!</definedName>
    <definedName name="____79_____123Graph_ACHART_10" hidden="1">#REF!</definedName>
    <definedName name="____8______123Graph_ACHART_16" hidden="1">#REF!</definedName>
    <definedName name="____80_____123Graph_ACHART_11" hidden="1">#REF!</definedName>
    <definedName name="____81_____123Graph_ACHART_12" hidden="1">#REF!</definedName>
    <definedName name="____82_____123Graph_ACHART_13" hidden="1">#REF!</definedName>
    <definedName name="____83_____123Graph_ACHART_14" hidden="1">#REF!</definedName>
    <definedName name="____84_____123Graph_ACHART_15" hidden="1">#REF!</definedName>
    <definedName name="____85_____123Graph_ACHART_16" hidden="1">#REF!</definedName>
    <definedName name="____86_____123Graph_ACHART_17" hidden="1">#REF!</definedName>
    <definedName name="____87_____123Graph_ACHART_18" hidden="1">#REF!</definedName>
    <definedName name="____88_____123Graph_ACHART_2" hidden="1">#REF!</definedName>
    <definedName name="____89_____123Graph_ACHART_3" hidden="1">#REF!</definedName>
    <definedName name="____9______123Graph_ACHART_17" hidden="1">#REF!</definedName>
    <definedName name="____90_____123Graph_ACHART_4" hidden="1">#REF!</definedName>
    <definedName name="____91_____123Graph_ACHART_5" hidden="1">#REF!</definedName>
    <definedName name="____92_____123Graph_ACHART_6" hidden="1">#REF!</definedName>
    <definedName name="____93_____123Graph_ACHART_7" hidden="1">#REF!</definedName>
    <definedName name="____94_____123Graph_ACHART_8" hidden="1">#REF!</definedName>
    <definedName name="____95_____123Graph_ACHART_9" hidden="1">#REF!</definedName>
    <definedName name="____96_____123Graph_BCHART_1" hidden="1">#REF!</definedName>
    <definedName name="____97_____123Graph_BCHART_17" hidden="1">#REF!</definedName>
    <definedName name="____98_____123Graph_BCHART_18" hidden="1">#REF!</definedName>
    <definedName name="____99_____123Graph_BCHART_2" hidden="1">#REF!</definedName>
    <definedName name="____A11" localSheetId="10" hidden="1">{#N/A,#N/A,FALSE,"Umsatz 99";#N/A,#N/A,FALSE,"ER 99 "}</definedName>
    <definedName name="____A11" hidden="1">{#N/A,#N/A,FALSE,"Umsatz 99";#N/A,#N/A,FALSE,"ER 99 "}</definedName>
    <definedName name="____A2" localSheetId="10" hidden="1">{"PAGE1",#N/A,FALSE,"BID (3)";"PAGE2",#N/A,FALSE,"BID (3)"}</definedName>
    <definedName name="____A2" hidden="1">{"PAGE1",#N/A,FALSE,"BID (3)";"PAGE2",#N/A,FALSE,"BID (3)"}</definedName>
    <definedName name="____A4" localSheetId="10" hidden="1">{"PAGE1",#N/A,FALSE,"BID (3)";"PAGE2",#N/A,FALSE,"BID (3)"}</definedName>
    <definedName name="____A4" hidden="1">{"PAGE1",#N/A,FALSE,"BID (3)";"PAGE2",#N/A,FALSE,"BID (3)"}</definedName>
    <definedName name="____abc1" localSheetId="10" hidden="1">{"detail",#N/A,FALSE,"mfg";"summary",#N/A,FALSE,"mfg"}</definedName>
    <definedName name="____abc1" hidden="1">{"detail",#N/A,FALSE,"mfg";"summary",#N/A,FALSE,"mfg"}</definedName>
    <definedName name="____abc2" localSheetId="10" hidden="1">{"detail",#N/A,FALSE,"mfg";"summary",#N/A,FALSE,"mfg"}</definedName>
    <definedName name="____abc2" hidden="1">{"detail",#N/A,FALSE,"mfg";"summary",#N/A,FALSE,"mfg"}</definedName>
    <definedName name="__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c" localSheetId="10" hidden="1">{"Fiesta Facer Page",#N/A,FALSE,"Q_C_S";"Fiesta Main Page",#N/A,FALSE,"V_L";"Fiesta 95BP Struct",#N/A,FALSE,"StructBP";"Fiesta Post 95BP Struct",#N/A,FALSE,"AdjStructBP"}</definedName>
    <definedName name="____c" hidden="1">{"Fiesta Facer Page",#N/A,FALSE,"Q_C_S";"Fiesta Main Page",#N/A,FALSE,"V_L";"Fiesta 95BP Struct",#N/A,FALSE,"StructBP";"Fiesta Post 95BP Struct",#N/A,FALSE,"AdjStructBP"}</definedName>
    <definedName name="__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RE0700" localSheetId="10" hidden="1">{"'PXR_6500'!$A$1:$I$124"}</definedName>
    <definedName name="____DRE0700" hidden="1">{"'PXR_6500'!$A$1:$I$124"}</definedName>
    <definedName name="____EX137" localSheetId="10" hidden="1">{#N/A,"1",FALSE,"FORM";#N/A,"2",FALSE,"FORM";#N/A,"3",FALSE,"FORM"}</definedName>
    <definedName name="____EX137" hidden="1">{#N/A,"1",FALSE,"FORM";#N/A,"2",FALSE,"FORM";#N/A,"3",FALSE,"FORM"}</definedName>
    <definedName name="____GRP1">OFFSET(#REF!,0,0,COUNTA(#REF!),1)</definedName>
    <definedName name="____GRP2">OFFSET(#REF!,0,0,COUNTA(#REF!),1)</definedName>
    <definedName name="____hod2" localSheetId="10" hidden="1">{#N/A,#N/A,FALSE,"TS";#N/A,#N/A,FALSE,"Combo";#N/A,#N/A,FALSE,"FAIR";#N/A,#N/A,FALSE,"RBC";#N/A,#N/A,FALSE,"xxxx";#N/A,#N/A,FALSE,"A_D";#N/A,#N/A,FALSE,"WACC";#N/A,#N/A,FALSE,"DCF";#N/A,#N/A,FALSE,"LBO";#N/A,#N/A,FALSE,"AcqMults";#N/A,#N/A,FALSE,"CompMults"}</definedName>
    <definedName name="____hod2" hidden="1">{#N/A,#N/A,FALSE,"TS";#N/A,#N/A,FALSE,"Combo";#N/A,#N/A,FALSE,"FAIR";#N/A,#N/A,FALSE,"RBC";#N/A,#N/A,FALSE,"xxxx";#N/A,#N/A,FALSE,"A_D";#N/A,#N/A,FALSE,"WACC";#N/A,#N/A,FALSE,"DCF";#N/A,#N/A,FALSE,"LBO";#N/A,#N/A,FALSE,"AcqMults";#N/A,#N/A,FALSE,"CompMults"}</definedName>
    <definedName name="____ibo2" localSheetId="10"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ISV4" localSheetId="10" hidden="1">{"Material",#N/A,TRUE,"Summary";"Mfg",#N/A,TRUE,"Summary";"mfgbymo",#N/A,TRUE,"By Month";"Mtlbymo",#N/A,TRUE,"By Month"}</definedName>
    <definedName name="____ISV4" hidden="1">{"Material",#N/A,TRUE,"Summary";"Mfg",#N/A,TRUE,"Summary";"mfgbymo",#N/A,TRUE,"By Month";"Mtlbymo",#N/A,TRUE,"By Month"}</definedName>
    <definedName name="____ISV4_1" localSheetId="10" hidden="1">{"Material",#N/A,TRUE,"Summary";"Mfg",#N/A,TRUE,"Summary";"mfgbymo",#N/A,TRUE,"By Month";"Mtlbymo",#N/A,TRUE,"By Month"}</definedName>
    <definedName name="____ISV4_1" hidden="1">{"Material",#N/A,TRUE,"Summary";"Mfg",#N/A,TRUE,"Summary";"mfgbymo",#N/A,TRUE,"By Month";"Mtlbymo",#N/A,TRUE,"By Month"}</definedName>
    <definedName name="____ISV4_1_1" localSheetId="10" hidden="1">{"Material",#N/A,TRUE,"Summary";"Mfg",#N/A,TRUE,"Summary";"mfgbymo",#N/A,TRUE,"By Month";"Mtlbymo",#N/A,TRUE,"By Month"}</definedName>
    <definedName name="____ISV4_1_1" hidden="1">{"Material",#N/A,TRUE,"Summary";"Mfg",#N/A,TRUE,"Summary";"mfgbymo",#N/A,TRUE,"By Month";"Mtlbymo",#N/A,TRUE,"By Month"}</definedName>
    <definedName name="____ISV4_2" localSheetId="10" hidden="1">{"Material",#N/A,TRUE,"Summary";"Mfg",#N/A,TRUE,"Summary";"mfgbymo",#N/A,TRUE,"By Month";"Mtlbymo",#N/A,TRUE,"By Month"}</definedName>
    <definedName name="____ISV4_2" hidden="1">{"Material",#N/A,TRUE,"Summary";"Mfg",#N/A,TRUE,"Summary";"mfgbymo",#N/A,TRUE,"By Month";"Mtlbymo",#N/A,TRUE,"By Month"}</definedName>
    <definedName name="____key1" localSheetId="10" hidden="1">#REF!</definedName>
    <definedName name="____key1" hidden="1">#REF!</definedName>
    <definedName name="____key2" hidden="1">#REF!</definedName>
    <definedName name="____mty1" localSheetId="10" hidden="1">{#N/A,#N/A,TRUE,"2432"}</definedName>
    <definedName name="____mty1" hidden="1">{#N/A,#N/A,TRUE,"2432"}</definedName>
    <definedName name="____New2" localSheetId="10" hidden="1">{"TOTAL",#N/A,FALSE,"A";"FISCAL94",#N/A,FALSE,"A";"FISCAL95",#N/A,FALSE,"A";"FISCAL96",#N/A,FALSE,"A";"misc page",#N/A,FALSE,"A"}</definedName>
    <definedName name="____New2" localSheetId="15" hidden="1">{"TOTAL",#N/A,FALSE,"A";"FISCAL94",#N/A,FALSE,"A";"FISCAL95",#N/A,FALSE,"A";"FISCAL96",#N/A,FALSE,"A";"misc page",#N/A,FALSE,"A"}</definedName>
    <definedName name="____New2" hidden="1">{"TOTAL",#N/A,FALSE,"A";"FISCAL94",#N/A,FALSE,"A";"FISCAL95",#N/A,FALSE,"A";"FISCAL96",#N/A,FALSE,"A";"misc page",#N/A,FALSE,"A"}</definedName>
    <definedName name="____new3" localSheetId="10" hidden="1">{#N/A,#N/A,FALSE,"YTD"}</definedName>
    <definedName name="____new3" hidden="1">{#N/A,#N/A,FALSE,"YTD"}</definedName>
    <definedName name="____NEW6" localSheetId="10" hidden="1">{#N/A,#N/A,FALSE,"YTD"}</definedName>
    <definedName name="____NEW6" hidden="1">{#N/A,#N/A,FALSE,"YTD"}</definedName>
    <definedName name="____o1" localSheetId="10" hidden="1">{#N/A,#N/A,FALSE,"SUMMARY";#N/A,#N/A,FALSE,"mcsh";#N/A,#N/A,FALSE,"vol&amp;rev";#N/A,#N/A,FALSE,"wkgcap";#N/A,#N/A,FALSE,"DEPR&amp;DT";#N/A,#N/A,FALSE,"ASSETS";#N/A,#N/A,FALSE,"NI&amp;OTH&amp;DIV";#N/A,#N/A,FALSE,"CASHFLOW";#N/A,#N/A,FALSE,"CAPEMPL";#N/A,#N/A,FALSE,"ROCE"}</definedName>
    <definedName name="____o1" localSheetId="15"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_q1" localSheetId="10" hidden="1">{"inflated_pl",#N/A,FALSE,"P&amp;L"}</definedName>
    <definedName name="____q1" hidden="1">{"inflated_pl",#N/A,FALSE,"P&amp;L"}</definedName>
    <definedName name="____q2" localSheetId="10" hidden="1">{"PL_no_inflated",#N/A,FALSE,"P&amp;L"}</definedName>
    <definedName name="____q2" hidden="1">{"PL_no_inflated",#N/A,FALSE,"P&amp;L"}</definedName>
    <definedName name="____R" localSheetId="10" hidden="1">{#N/A,#N/A,FALSE,"Minors";#N/A,#N/A,FALSE,"96CAPREV"}</definedName>
    <definedName name="____R" hidden="1">{#N/A,#N/A,FALSE,"Minors";#N/A,#N/A,FALSE,"96CAPREV"}</definedName>
    <definedName name="___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d1" localSheetId="10" hidden="1">{#N/A,#N/A,FALSE,"Projections";#N/A,#N/A,FALSE,"Multiples Valuation";#N/A,#N/A,FALSE,"LBO";#N/A,#N/A,FALSE,"Multiples_Sensitivity";#N/A,#N/A,FALSE,"Summary"}</definedName>
    <definedName name="____rod1" hidden="1">{#N/A,#N/A,FALSE,"Projections";#N/A,#N/A,FALSE,"Multiples Valuation";#N/A,#N/A,FALSE,"LBO";#N/A,#N/A,FALSE,"Multiples_Sensitivity";#N/A,#N/A,FALSE,"Summary"}</definedName>
    <definedName name="____RSE2">#REF!</definedName>
    <definedName name="____tax1">#REF!</definedName>
    <definedName name="____tax2">#REF!</definedName>
    <definedName name="____tax3">#REF!</definedName>
    <definedName name="____tax4">#REF!</definedName>
    <definedName name="____var3" localSheetId="10" hidden="1">{"'777'!$A$1:$H$41"}</definedName>
    <definedName name="____var3" localSheetId="15" hidden="1">{"'777'!$A$1:$H$41"}</definedName>
    <definedName name="____var3" hidden="1">{"'777'!$A$1:$H$41"}</definedName>
    <definedName name="____wrn2" localSheetId="10" hidden="1">{#N/A,#N/A,TRUE,"Notes";#N/A,#N/A,TRUE,"Cap Struct";#N/A,#N/A,TRUE,"OBS";#N/A,#N/A,TRUE,"bal Sheet";#N/A,#N/A,TRUE,"Inc stmt";#N/A,#N/A,TRUE,"csh flw";#N/A,#N/A,TRUE,"debt";#N/A,#N/A,TRUE,"detail 96,97";#N/A,#N/A,TRUE,"Covenants"}</definedName>
    <definedName name="____wrn2" localSheetId="15" hidden="1">{#N/A,#N/A,TRUE,"Notes";#N/A,#N/A,TRUE,"Cap Struct";#N/A,#N/A,TRUE,"OBS";#N/A,#N/A,TRUE,"bal Sheet";#N/A,#N/A,TRUE,"Inc stmt";#N/A,#N/A,TRUE,"csh flw";#N/A,#N/A,TRUE,"debt";#N/A,#N/A,TRUE,"detail 96,97";#N/A,#N/A,TRUE,"Covenants"}</definedName>
    <definedName name="____wrn2" hidden="1">{#N/A,#N/A,TRUE,"Notes";#N/A,#N/A,TRUE,"Cap Struct";#N/A,#N/A,TRUE,"OBS";#N/A,#N/A,TRUE,"bal Sheet";#N/A,#N/A,TRUE,"Inc stmt";#N/A,#N/A,TRUE,"csh flw";#N/A,#N/A,TRUE,"debt";#N/A,#N/A,TRUE,"detail 96,97";#N/A,#N/A,TRUE,"Covenants"}</definedName>
    <definedName name="____wrn3" localSheetId="10" hidden="1">{#N/A,#N/A,TRUE,"Notes";#N/A,#N/A,TRUE,"Cap Struct";#N/A,#N/A,TRUE,"OBS";#N/A,#N/A,TRUE,"bal Sheet";#N/A,#N/A,TRUE,"Inc stmt";#N/A,#N/A,TRUE,"csh flw";#N/A,#N/A,TRUE,"debt";#N/A,#N/A,TRUE,"detail 96,97";#N/A,#N/A,TRUE,"Covenants"}</definedName>
    <definedName name="____wrn3" localSheetId="15" hidden="1">{#N/A,#N/A,TRUE,"Notes";#N/A,#N/A,TRUE,"Cap Struct";#N/A,#N/A,TRUE,"OBS";#N/A,#N/A,TRUE,"bal Sheet";#N/A,#N/A,TRUE,"Inc stmt";#N/A,#N/A,TRUE,"csh flw";#N/A,#N/A,TRUE,"debt";#N/A,#N/A,TRUE,"detail 96,97";#N/A,#N/A,TRUE,"Covenants"}</definedName>
    <definedName name="____wrn3" hidden="1">{#N/A,#N/A,TRUE,"Notes";#N/A,#N/A,TRUE,"Cap Struct";#N/A,#N/A,TRUE,"OBS";#N/A,#N/A,TRUE,"bal Sheet";#N/A,#N/A,TRUE,"Inc stmt";#N/A,#N/A,TRUE,"csh flw";#N/A,#N/A,TRUE,"debt";#N/A,#N/A,TRUE,"detail 96,97";#N/A,#N/A,TRUE,"Covenants"}</definedName>
    <definedName name="____ww2" localSheetId="10" hidden="1">{#N/A,#N/A,FALSE,"Admin";#N/A,#N/A,FALSE,"Other"}</definedName>
    <definedName name="____ww2" localSheetId="15" hidden="1">{#N/A,#N/A,FALSE,"Admin";#N/A,#N/A,FALSE,"Other"}</definedName>
    <definedName name="____ww2" hidden="1">{#N/A,#N/A,FALSE,"Admin";#N/A,#N/A,FALSE,"Other"}</definedName>
    <definedName name="____x1" localSheetId="10" hidden="1">{"detail",#N/A,FALSE,"mfg";"summary",#N/A,FALSE,"mfg"}</definedName>
    <definedName name="____x1" hidden="1">{"detail",#N/A,FALSE,"mfg";"summary",#N/A,FALSE,"mfg"}</definedName>
    <definedName name="____x2" localSheetId="10" hidden="1">{#N/A,"PURCHM",FALSE,"Business Analysis";#N/A,"SPADD",FALSE,"Business Analysis"}</definedName>
    <definedName name="____x2" hidden="1">{#N/A,"PURCHM",FALSE,"Business Analysis";#N/A,"SPADD",FALSE,"Business Analysis"}</definedName>
    <definedName name="____x3" localSheetId="10" hidden="1">{"detail",#N/A,FALSE,"mfg";"summary",#N/A,FALSE,"mfg"}</definedName>
    <definedName name="____x3" hidden="1">{"detail",#N/A,FALSE,"mfg";"summary",#N/A,FALSE,"mfg"}</definedName>
    <definedName name="____x4" localSheetId="10" hidden="1">{#N/A,"PURCHM",FALSE,"Business Analysis";#N/A,"SPADD",FALSE,"Business Analysis"}</definedName>
    <definedName name="____x4" hidden="1">{#N/A,"PURCHM",FALSE,"Business Analysis";#N/A,"SPADD",FALSE,"Business Analysis"}</definedName>
    <definedName name="____x5" localSheetId="10"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10" hidden="1">{#N/A,"PURCHM",FALSE,"Business Analysis";#N/A,"SPADD",FALSE,"Business Analysis"}</definedName>
    <definedName name="____xx10" hidden="1">{#N/A,"PURCHM",FALSE,"Business Analysis";#N/A,"SPADD",FALSE,"Business Analysis"}</definedName>
    <definedName name="____xx3" localSheetId="10" hidden="1">{"detail",#N/A,FALSE,"mfg";"summary",#N/A,FALSE,"mfg"}</definedName>
    <definedName name="____xx3" hidden="1">{"detail",#N/A,FALSE,"mfg";"summary",#N/A,FALSE,"mfg"}</definedName>
    <definedName name="___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10" hidden="1">{"oct_res_comm",#N/A,FALSE,"VarToBud"}</definedName>
    <definedName name="____xx7" hidden="1">{"oct_res_comm",#N/A,FALSE,"VarToBud"}</definedName>
    <definedName name="____xx8" localSheetId="10"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10" hidden="1">{"AS REP",#N/A,FALSE,"EEFSNAP2";"PROP",#N/A,FALSE,"EEFSNAP2";"RISKS",#N/A,FALSE,"EEFSNAP2";"VIEW ALL",#N/A,FALSE,"EEFSNAP2"}</definedName>
    <definedName name="____xx9" hidden="1">{"AS REP",#N/A,FALSE,"EEFSNAP2";"PROP",#N/A,FALSE,"EEFSNAP2";"RISKS",#N/A,FALSE,"EEFSNAP2";"VIEW ALL",#N/A,FALSE,"EEFSNAP2"}</definedName>
    <definedName name="____z12" localSheetId="10" hidden="1">{"pro_view",#N/A,FALSE,"EEFSNAP2";"rep_view",#N/A,FALSE,"EEFSNAP2"}</definedName>
    <definedName name="____z12" hidden="1">{"pro_view",#N/A,FALSE,"EEFSNAP2";"rep_view",#N/A,FALSE,"EEFSNAP2"}</definedName>
    <definedName name="____z22" localSheetId="10"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10" hidden="1">{"detail",#N/A,FALSE,"mfg";"summary",#N/A,FALSE,"mfg"}</definedName>
    <definedName name="____z25" hidden="1">{"detail",#N/A,FALSE,"mfg";"summary",#N/A,FALSE,"mfg"}</definedName>
    <definedName name="____zz1" localSheetId="10" hidden="1">{"pro_view",#N/A,FALSE,"EEFSNAP2";"rep_view",#N/A,FALSE,"EEFSNAP2"}</definedName>
    <definedName name="____zz1" hidden="1">{"pro_view",#N/A,FALSE,"EEFSNAP2";"rep_view",#N/A,FALSE,"EEFSNAP2"}</definedName>
    <definedName name="____zz2" localSheetId="10"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1______123Graph_ACHART_1" hidden="1">#REF!</definedName>
    <definedName name="___1__123Graph_ACHART_2" hidden="1">#REF!</definedName>
    <definedName name="___1_0__123Grap" hidden="1">#REF!</definedName>
    <definedName name="___10______123Graph_ACHART_18" hidden="1">#REF!</definedName>
    <definedName name="___10__123Graph_CCHART_3" hidden="1">#REF!</definedName>
    <definedName name="___100_____123Graph_BCHART_3" hidden="1">#REF!</definedName>
    <definedName name="___101_____123Graph_BCHART_4" hidden="1">#REF!</definedName>
    <definedName name="___102_____123Graph_BCHART_5" hidden="1">#REF!</definedName>
    <definedName name="___103_____123Graph_BCHART_6" hidden="1">#REF!</definedName>
    <definedName name="___104_____123Graph_BCHART_7" hidden="1">#REF!</definedName>
    <definedName name="___105_____123Graph_BCHART_8" hidden="1">#REF!</definedName>
    <definedName name="___106_____123Graph_CCHART_1" hidden="1">#REF!</definedName>
    <definedName name="___107_____123Graph_CCHART_2" hidden="1">#REF!</definedName>
    <definedName name="___108_____123Graph_CCHART_3" hidden="1">#REF!</definedName>
    <definedName name="___109_____123Graph_CCHART_4" hidden="1">#REF!</definedName>
    <definedName name="___11______123Graph_ACHART_2" hidden="1">#REF!</definedName>
    <definedName name="___11__123Graph_CCHART_4" hidden="1">#REF!</definedName>
    <definedName name="___110_____123Graph_CCHART_5" hidden="1">#REF!</definedName>
    <definedName name="___111_____123Graph_CCHART_6" hidden="1">#REF!</definedName>
    <definedName name="___112_____123Graph_CCHART_7" hidden="1">#REF!</definedName>
    <definedName name="___113_____123Graph_CCHART_8" hidden="1">#REF!</definedName>
    <definedName name="___114_____123Graph_DCHART_1" hidden="1">#REF!</definedName>
    <definedName name="___115_____123Graph_DCHART_2" hidden="1">#REF!</definedName>
    <definedName name="___116_____123Graph_DCHART_3" hidden="1">#REF!</definedName>
    <definedName name="___117_____123Graph_DCHART_4" hidden="1">#REF!</definedName>
    <definedName name="___118_____123Graph_DCHART_5" hidden="1">#REF!</definedName>
    <definedName name="___119_____123Graph_DCHART_6" hidden="1">#REF!</definedName>
    <definedName name="___12______123Graph_ACHART_3" hidden="1">#REF!</definedName>
    <definedName name="___12__123Graph_CCHART_5" hidden="1">#REF!</definedName>
    <definedName name="___120_____123Graph_DCHART_7" hidden="1">#REF!</definedName>
    <definedName name="___121_____123Graph_DCHART_8" hidden="1">#REF!</definedName>
    <definedName name="___122_____123Graph_ECHART_1" hidden="1">#REF!</definedName>
    <definedName name="___123_____123Graph_ECHART_2" hidden="1">#REF!</definedName>
    <definedName name="___124_____123Graph_ECHART_3" hidden="1">#REF!</definedName>
    <definedName name="___125_____123Graph_ECHART_4" hidden="1">#REF!</definedName>
    <definedName name="___126_____123Graph_ECHART_5" hidden="1">#REF!</definedName>
    <definedName name="___127_____123Graph_ECHART_6" hidden="1">#REF!</definedName>
    <definedName name="___128_____123Graph_ECHART_7" hidden="1">#REF!</definedName>
    <definedName name="___129_____123Graph_ECHART_8" hidden="1">#REF!</definedName>
    <definedName name="___13______123Graph_ACHART_4" hidden="1">#REF!</definedName>
    <definedName name="___13__123Graph_DCHART_2" hidden="1">#REF!</definedName>
    <definedName name="___130_____123Graph_FCHART_1" hidden="1">#REF!</definedName>
    <definedName name="___131_____123Graph_FCHART_2" hidden="1">#REF!</definedName>
    <definedName name="___132_____123Graph_FCHART_3" hidden="1">#REF!</definedName>
    <definedName name="___133_____123Graph_FCHART_4" hidden="1">#REF!</definedName>
    <definedName name="___134_____123Graph_FCHART_6" hidden="1">#REF!</definedName>
    <definedName name="___135_____123Graph_FCHART_7" hidden="1">#REF!</definedName>
    <definedName name="___136_____123Graph_FCHART_8" hidden="1">#REF!</definedName>
    <definedName name="___137_____123Graph_XCHART_1" hidden="1">#REF!</definedName>
    <definedName name="___138_____123Graph_XCHART_10" hidden="1">#REF!</definedName>
    <definedName name="___139_____123Graph_XCHART_11" hidden="1">#REF!</definedName>
    <definedName name="___14______123Graph_ACHART_5" hidden="1">#REF!</definedName>
    <definedName name="___14__123Graph_DCHART_3" hidden="1">#REF!</definedName>
    <definedName name="___140_____123Graph_XCHART_12" hidden="1">#REF!</definedName>
    <definedName name="___141_____123Graph_XCHART_13" hidden="1">#REF!</definedName>
    <definedName name="___142_____123Graph_XCHART_14" hidden="1">#REF!</definedName>
    <definedName name="___143_____123Graph_XCHART_15" hidden="1">#REF!</definedName>
    <definedName name="___144_____123Graph_XCHART_16" hidden="1">#REF!</definedName>
    <definedName name="___145_____123Graph_XCHART_17" hidden="1">#REF!</definedName>
    <definedName name="___146_____123Graph_XCHART_18" hidden="1">#REF!</definedName>
    <definedName name="___147_____123Graph_XCHART_2" hidden="1">#REF!</definedName>
    <definedName name="___148_____123Graph_XCHART_3" hidden="1">#REF!</definedName>
    <definedName name="___149_____123Graph_XCHART_4" hidden="1">#REF!</definedName>
    <definedName name="___15______123Graph_ACHART_6" hidden="1">#REF!</definedName>
    <definedName name="___15__123Graph_DCHART_4" hidden="1">#REF!</definedName>
    <definedName name="___150_____123Graph_XCHART_5" hidden="1">#REF!</definedName>
    <definedName name="___151_____123Graph_XCHART_6" hidden="1">#REF!</definedName>
    <definedName name="___152_____123Graph_XCHART_7" hidden="1">#REF!</definedName>
    <definedName name="___153_____123Graph_XCHART_8" hidden="1">#REF!</definedName>
    <definedName name="___154_____123Graph_XCHART_9" hidden="1">#REF!</definedName>
    <definedName name="___155____123Graph_ACHART_1" hidden="1">#REF!</definedName>
    <definedName name="___156____123Graph_ACHART_10" hidden="1">#REF!</definedName>
    <definedName name="___157____123Graph_ACHART_11" hidden="1">#REF!</definedName>
    <definedName name="___158____123Graph_ACHART_12" hidden="1">#REF!</definedName>
    <definedName name="___159____123Graph_ACHART_13" hidden="1">#REF!</definedName>
    <definedName name="___16______123Graph_ACHART_7" hidden="1">#REF!</definedName>
    <definedName name="___16__123Graph_DCHART_5" hidden="1">#REF!</definedName>
    <definedName name="___160____123Graph_ACHART_14" hidden="1">#REF!</definedName>
    <definedName name="___161____123Graph_ACHART_15" hidden="1">#REF!</definedName>
    <definedName name="___162____123Graph_ACHART_16" hidden="1">#REF!</definedName>
    <definedName name="___163____123Graph_ACHART_17" hidden="1">#REF!</definedName>
    <definedName name="___164____123Graph_ACHART_18" hidden="1">#REF!</definedName>
    <definedName name="___165____123Graph_ACHART_2" hidden="1">#REF!</definedName>
    <definedName name="___166____123Graph_ACHART_3" hidden="1">#REF!</definedName>
    <definedName name="___167____123Graph_ACHART_4" hidden="1">#REF!</definedName>
    <definedName name="___168____123Graph_ACHART_5" hidden="1">#REF!</definedName>
    <definedName name="___169____123Graph_ACHART_6" hidden="1">#REF!</definedName>
    <definedName name="___17______123Graph_ACHART_8" hidden="1">#REF!</definedName>
    <definedName name="___17__123Graph_ECHART_2" hidden="1">#REF!</definedName>
    <definedName name="___170____123Graph_ACHART_7" hidden="1">#REF!</definedName>
    <definedName name="___171____123Graph_ACHART_8" hidden="1">#REF!</definedName>
    <definedName name="___172____123Graph_ACHART_9" hidden="1">#REF!</definedName>
    <definedName name="___173____123Graph_BCHART_1" hidden="1">#REF!</definedName>
    <definedName name="___174____123Graph_BCHART_17" hidden="1">#REF!</definedName>
    <definedName name="___175____123Graph_BCHART_18" hidden="1">#REF!</definedName>
    <definedName name="___176____123Graph_BCHART_2" hidden="1">#REF!</definedName>
    <definedName name="___177____123Graph_BCHART_3" hidden="1">#REF!</definedName>
    <definedName name="___178____123Graph_BCHART_4" hidden="1">#REF!</definedName>
    <definedName name="___179____123Graph_BCHART_5" hidden="1">#REF!</definedName>
    <definedName name="___18______123Graph_ACHART_9" hidden="1">#REF!</definedName>
    <definedName name="___18__123Graph_ECHART_3" hidden="1">#REF!</definedName>
    <definedName name="___180____123Graph_BCHART_6" hidden="1">#REF!</definedName>
    <definedName name="___181____123Graph_BCHART_7" hidden="1">#REF!</definedName>
    <definedName name="___182____123Graph_BCHART_8" hidden="1">#REF!</definedName>
    <definedName name="___183____123Graph_CCHART_1" hidden="1">#REF!</definedName>
    <definedName name="___184____123Graph_CCHART_2" hidden="1">#REF!</definedName>
    <definedName name="___185____123Graph_CCHART_3" hidden="1">#REF!</definedName>
    <definedName name="___186____123Graph_CCHART_4" hidden="1">#REF!</definedName>
    <definedName name="___187____123Graph_CCHART_5" hidden="1">#REF!</definedName>
    <definedName name="___188____123Graph_CCHART_6" hidden="1">#REF!</definedName>
    <definedName name="___189____123Graph_CCHART_7" hidden="1">#REF!</definedName>
    <definedName name="___19______123Graph_BCHART_1" hidden="1">#REF!</definedName>
    <definedName name="___19__123Graph_ECHART_4" hidden="1">#REF!</definedName>
    <definedName name="___190____123Graph_CCHART_8" hidden="1">#REF!</definedName>
    <definedName name="___191____123Graph_DCHART_1" hidden="1">#REF!</definedName>
    <definedName name="___192____123Graph_DCHART_2" hidden="1">#REF!</definedName>
    <definedName name="___193____123Graph_DCHART_3" hidden="1">#REF!</definedName>
    <definedName name="___194____123Graph_DCHART_4" hidden="1">#REF!</definedName>
    <definedName name="___195____123Graph_DCHART_5" hidden="1">#REF!</definedName>
    <definedName name="___196____123Graph_DCHART_6" hidden="1">#REF!</definedName>
    <definedName name="___197____123Graph_DCHART_7" hidden="1">#REF!</definedName>
    <definedName name="___198____123Graph_DCHART_8" hidden="1">#REF!</definedName>
    <definedName name="___199____123Graph_ECHART_1" hidden="1">#REF!</definedName>
    <definedName name="___2______123Graph_ACHART_10" hidden="1">#REF!</definedName>
    <definedName name="___2__123Graph_ACHART_3" hidden="1">#REF!</definedName>
    <definedName name="___20______123Graph_BCHART_17" hidden="1">#REF!</definedName>
    <definedName name="___20__123Graph_ECHART_5" hidden="1">#REF!</definedName>
    <definedName name="___200____123Graph_ECHART_2" hidden="1">#REF!</definedName>
    <definedName name="___201____123Graph_ECHART_3" hidden="1">#REF!</definedName>
    <definedName name="___202____123Graph_ECHART_4" hidden="1">#REF!</definedName>
    <definedName name="___203____123Graph_ECHART_5" hidden="1">#REF!</definedName>
    <definedName name="___204____123Graph_ECHART_6" hidden="1">#REF!</definedName>
    <definedName name="___205____123Graph_ECHART_7" hidden="1">#REF!</definedName>
    <definedName name="___206____123Graph_ECHART_8" hidden="1">#REF!</definedName>
    <definedName name="___207____123Graph_FCHART_1" hidden="1">#REF!</definedName>
    <definedName name="___208____123Graph_FCHART_2" hidden="1">#REF!</definedName>
    <definedName name="___209____123Graph_FCHART_3" hidden="1">#REF!</definedName>
    <definedName name="___21______123Graph_BCHART_18" hidden="1">#REF!</definedName>
    <definedName name="___21__123Graph_FCHART_2" hidden="1">#REF!</definedName>
    <definedName name="___210____123Graph_FCHART_4" hidden="1">#REF!</definedName>
    <definedName name="___211____123Graph_FCHART_6" hidden="1">#REF!</definedName>
    <definedName name="___212____123Graph_FCHART_7" hidden="1">#REF!</definedName>
    <definedName name="___213____123Graph_FCHART_8" hidden="1">#REF!</definedName>
    <definedName name="___214____123Graph_XCHART_1" hidden="1">#REF!</definedName>
    <definedName name="___215____123Graph_XCHART_10" hidden="1">#REF!</definedName>
    <definedName name="___216____123Graph_XCHART_11" hidden="1">#REF!</definedName>
    <definedName name="___217____123Graph_XCHART_12" hidden="1">#REF!</definedName>
    <definedName name="___218____123Graph_XCHART_13" hidden="1">#REF!</definedName>
    <definedName name="___219____123Graph_XCHART_14" hidden="1">#REF!</definedName>
    <definedName name="___22______123Graph_BCHART_2" hidden="1">#REF!</definedName>
    <definedName name="___22__123Graph_FCHART_3" hidden="1">#REF!</definedName>
    <definedName name="___220____123Graph_XCHART_15" hidden="1">#REF!</definedName>
    <definedName name="___221____123Graph_XCHART_16" hidden="1">#REF!</definedName>
    <definedName name="___222____123Graph_XCHART_17" hidden="1">#REF!</definedName>
    <definedName name="___223____123Graph_XCHART_18" hidden="1">#REF!</definedName>
    <definedName name="___224____123Graph_XCHART_2" hidden="1">#REF!</definedName>
    <definedName name="___225____123Graph_XCHART_3" hidden="1">#REF!</definedName>
    <definedName name="___226____123Graph_XCHART_4" hidden="1">#REF!</definedName>
    <definedName name="___227____123Graph_XCHART_5" hidden="1">#REF!</definedName>
    <definedName name="___228____123Graph_XCHART_6" hidden="1">#REF!</definedName>
    <definedName name="___229____123Graph_XCHART_7" hidden="1">#REF!</definedName>
    <definedName name="___23______123Graph_BCHART_3" hidden="1">#REF!</definedName>
    <definedName name="___23__123Graph_FCHART_4" hidden="1">#REF!</definedName>
    <definedName name="___230____123Graph_XCHART_8" hidden="1">#REF!</definedName>
    <definedName name="___231____123Graph_XCHART_9" hidden="1">#REF!</definedName>
    <definedName name="___232___123Graph_ACHART_1" hidden="1">#REF!</definedName>
    <definedName name="___233___123Graph_ACHART_10" hidden="1">#REF!</definedName>
    <definedName name="___234___123Graph_ACHART_11" hidden="1">#REF!</definedName>
    <definedName name="___235___123Graph_ACHART_12" hidden="1">#REF!</definedName>
    <definedName name="___236___123Graph_ACHART_13" hidden="1">#REF!</definedName>
    <definedName name="___237___123Graph_ACHART_14" hidden="1">#REF!</definedName>
    <definedName name="___238___123Graph_ACHART_15" hidden="1">#REF!</definedName>
    <definedName name="___239___123Graph_ACHART_16" hidden="1">#REF!</definedName>
    <definedName name="___24______123Graph_BCHART_4" hidden="1">#REF!</definedName>
    <definedName name="___24__123Graph_FCHART_5" hidden="1">#REF!</definedName>
    <definedName name="___240___123Graph_ACHART_17" hidden="1">#REF!</definedName>
    <definedName name="___241___123Graph_ACHART_18" hidden="1">#REF!</definedName>
    <definedName name="___242___123Graph_ACHART_2" hidden="1">#REF!</definedName>
    <definedName name="___243___123Graph_ACHART_3" hidden="1">#REF!</definedName>
    <definedName name="___244___123Graph_ACHART_4" hidden="1">#REF!</definedName>
    <definedName name="___245___123Graph_ACHART_5" hidden="1">#REF!</definedName>
    <definedName name="___246___123Graph_ACHART_6" hidden="1">#REF!</definedName>
    <definedName name="___247___123Graph_ACHART_7" hidden="1">#REF!</definedName>
    <definedName name="___248___123Graph_ACHART_8" hidden="1">#REF!</definedName>
    <definedName name="___249___123Graph_ACHART_9" hidden="1">#REF!</definedName>
    <definedName name="___25______123Graph_BCHART_5" hidden="1">#REF!</definedName>
    <definedName name="___250___123Graph_BCHART_1" hidden="1">#REF!</definedName>
    <definedName name="___251___123Graph_BCHART_17" hidden="1">#REF!</definedName>
    <definedName name="___252___123Graph_BCHART_18" hidden="1">#REF!</definedName>
    <definedName name="___253___123Graph_BCHART_2" hidden="1">#REF!</definedName>
    <definedName name="___254___123Graph_BCHART_3" hidden="1">#REF!</definedName>
    <definedName name="___255___123Graph_BCHART_4" hidden="1">#REF!</definedName>
    <definedName name="___256___123Graph_BCHART_5" hidden="1">#REF!</definedName>
    <definedName name="___257___123Graph_BCHART_6" hidden="1">#REF!</definedName>
    <definedName name="___258___123Graph_BCHART_7" hidden="1">#REF!</definedName>
    <definedName name="___259___123Graph_BCHART_8" hidden="1">#REF!</definedName>
    <definedName name="___26______123Graph_BCHART_6" hidden="1">#REF!</definedName>
    <definedName name="___260___123Graph_CCHART_1" hidden="1">#REF!</definedName>
    <definedName name="___261___123Graph_CCHART_2" hidden="1">#REF!</definedName>
    <definedName name="___262___123Graph_CCHART_3" hidden="1">#REF!</definedName>
    <definedName name="___263___123Graph_CCHART_4" hidden="1">#REF!</definedName>
    <definedName name="___264___123Graph_CCHART_5" hidden="1">#REF!</definedName>
    <definedName name="___265___123Graph_CCHART_6" hidden="1">#REF!</definedName>
    <definedName name="___266___123Graph_CCHART_7" hidden="1">#REF!</definedName>
    <definedName name="___267___123Graph_CCHART_8" hidden="1">#REF!</definedName>
    <definedName name="___268___123Graph_DCHART_1" hidden="1">#REF!</definedName>
    <definedName name="___269___123Graph_DCHART_2" hidden="1">#REF!</definedName>
    <definedName name="___27______123Graph_BCHART_7" hidden="1">#REF!</definedName>
    <definedName name="___270___123Graph_DCHART_3" hidden="1">#REF!</definedName>
    <definedName name="___271___123Graph_DCHART_4" hidden="1">#REF!</definedName>
    <definedName name="___272___123Graph_DCHART_5" hidden="1">#REF!</definedName>
    <definedName name="___273___123Graph_DCHART_6" hidden="1">#REF!</definedName>
    <definedName name="___274___123Graph_DCHART_7" hidden="1">#REF!</definedName>
    <definedName name="___275___123Graph_DCHART_8" hidden="1">#REF!</definedName>
    <definedName name="___276___123Graph_ECHART_1" hidden="1">#REF!</definedName>
    <definedName name="___277___123Graph_ECHART_2" hidden="1">#REF!</definedName>
    <definedName name="___278___123Graph_ECHART_3" hidden="1">#REF!</definedName>
    <definedName name="___279___123Graph_ECHART_4" hidden="1">#REF!</definedName>
    <definedName name="___28______123Graph_BCHART_8" hidden="1">#REF!</definedName>
    <definedName name="___280___123Graph_ECHART_5" hidden="1">#REF!</definedName>
    <definedName name="___281___123Graph_ECHART_6" hidden="1">#REF!</definedName>
    <definedName name="___282___123Graph_ECHART_7" hidden="1">#REF!</definedName>
    <definedName name="___283___123Graph_ECHART_8" hidden="1">#REF!</definedName>
    <definedName name="___284___123Graph_FCHART_1" hidden="1">#REF!</definedName>
    <definedName name="___285___123Graph_FCHART_2" hidden="1">#REF!</definedName>
    <definedName name="___286___123Graph_FCHART_3" hidden="1">#REF!</definedName>
    <definedName name="___287___123Graph_FCHART_4" hidden="1">#REF!</definedName>
    <definedName name="___288___123Graph_FCHART_6" hidden="1">#REF!</definedName>
    <definedName name="___289___123Graph_FCHART_7" hidden="1">#REF!</definedName>
    <definedName name="___29______123Graph_CCHART_1" hidden="1">#REF!</definedName>
    <definedName name="___290___123Graph_FCHART_8" hidden="1">#REF!</definedName>
    <definedName name="___291___123Graph_XCHART_1" hidden="1">#REF!</definedName>
    <definedName name="___292___123Graph_XCHART_10" hidden="1">#REF!</definedName>
    <definedName name="___293___123Graph_XCHART_11" hidden="1">#REF!</definedName>
    <definedName name="___294___123Graph_XCHART_12" hidden="1">#REF!</definedName>
    <definedName name="___295___123Graph_XCHART_13" hidden="1">#REF!</definedName>
    <definedName name="___296___123Graph_XCHART_14" hidden="1">#REF!</definedName>
    <definedName name="___297___123Graph_XCHART_15" hidden="1">#REF!</definedName>
    <definedName name="___298___123Graph_XCHART_16" hidden="1">#REF!</definedName>
    <definedName name="___299___123Graph_XCHART_17" hidden="1">#REF!</definedName>
    <definedName name="___3______123Graph_ACHART_11" hidden="1">#REF!</definedName>
    <definedName name="___3__123Graph_ACHART_4" hidden="1">#REF!</definedName>
    <definedName name="___30______123Graph_CCHART_2" hidden="1">#REF!</definedName>
    <definedName name="___300___123Graph_XCHART_18" hidden="1">#REF!</definedName>
    <definedName name="___301___123Graph_XCHART_2" hidden="1">#REF!</definedName>
    <definedName name="___302___123Graph_XCHART_3" hidden="1">#REF!</definedName>
    <definedName name="___303___123Graph_XCHART_4" hidden="1">#REF!</definedName>
    <definedName name="___304___123Graph_XCHART_5" hidden="1">#REF!</definedName>
    <definedName name="___305___123Graph_XCHART_6" hidden="1">#REF!</definedName>
    <definedName name="___306___123Graph_XCHART_7" hidden="1">#REF!</definedName>
    <definedName name="___307___123Graph_XCHART_8" hidden="1">#REF!</definedName>
    <definedName name="___308___123Graph_XCHART_9" hidden="1">#REF!</definedName>
    <definedName name="___31______123Graph_CCHART_3" hidden="1">#REF!</definedName>
    <definedName name="___32______123Graph_CCHART_4" hidden="1">#REF!</definedName>
    <definedName name="___33______123Graph_CCHART_5" hidden="1">#REF!</definedName>
    <definedName name="___34______123Graph_CCHART_6" hidden="1">#REF!</definedName>
    <definedName name="___35______123Graph_CCHART_7" hidden="1">#REF!</definedName>
    <definedName name="___36______123Graph_CCHART_8" hidden="1">#REF!</definedName>
    <definedName name="___37______123Graph_DCHART_1" hidden="1">#REF!</definedName>
    <definedName name="___38______123Graph_DCHART_2" hidden="1">#REF!</definedName>
    <definedName name="___39______123Graph_DCHART_3" hidden="1">#REF!</definedName>
    <definedName name="___4______123Graph_ACHART_12" hidden="1">#REF!</definedName>
    <definedName name="___4__123Graph_ACHART_5" hidden="1">#REF!</definedName>
    <definedName name="___40______123Graph_DCHART_4" hidden="1">#REF!</definedName>
    <definedName name="___41______123Graph_DCHART_5" hidden="1">#REF!</definedName>
    <definedName name="___42______123Graph_DCHART_6" hidden="1">#REF!</definedName>
    <definedName name="___43______123Graph_DCHART_7" hidden="1">#REF!</definedName>
    <definedName name="___44______123Graph_DCHART_8" hidden="1">#REF!</definedName>
    <definedName name="___45______123Graph_ECHART_1" hidden="1">#REF!</definedName>
    <definedName name="___46______123Graph_ECHART_2" hidden="1">#REF!</definedName>
    <definedName name="___47______123Graph_ECHART_3" hidden="1">#REF!</definedName>
    <definedName name="___48______123Graph_ECHART_4" hidden="1">#REF!</definedName>
    <definedName name="___49______123Graph_ECHART_5" hidden="1">#REF!</definedName>
    <definedName name="___5______123Graph_ACHART_13" hidden="1">#REF!</definedName>
    <definedName name="___5__123Graph_BCHART_2" hidden="1">#REF!</definedName>
    <definedName name="___50______123Graph_ECHART_6" hidden="1">#REF!</definedName>
    <definedName name="___51______123Graph_ECHART_7" hidden="1">#REF!</definedName>
    <definedName name="___52______123Graph_ECHART_8" hidden="1">#REF!</definedName>
    <definedName name="___53______123Graph_FCHART_1" hidden="1">#REF!</definedName>
    <definedName name="___54______123Graph_FCHART_2" hidden="1">#REF!</definedName>
    <definedName name="___55______123Graph_FCHART_3" hidden="1">#REF!</definedName>
    <definedName name="___56______123Graph_FCHART_4" hidden="1">#REF!</definedName>
    <definedName name="___57______123Graph_FCHART_6" hidden="1">#REF!</definedName>
    <definedName name="___58______123Graph_FCHART_7" hidden="1">#REF!</definedName>
    <definedName name="___59______123Graph_FCHART_8" hidden="1">#REF!</definedName>
    <definedName name="___6______123Graph_ACHART_14" hidden="1">#REF!</definedName>
    <definedName name="___6__123Graph_BCHART_3" hidden="1">#REF!</definedName>
    <definedName name="___60______123Graph_XCHART_1" hidden="1">#REF!</definedName>
    <definedName name="___61______123Graph_XCHART_10" hidden="1">#REF!</definedName>
    <definedName name="___62______123Graph_XCHART_11" hidden="1">#REF!</definedName>
    <definedName name="___63______123Graph_XCHART_12" hidden="1">#REF!</definedName>
    <definedName name="___64______123Graph_XCHART_13" hidden="1">#REF!</definedName>
    <definedName name="___65______123Graph_XCHART_14" hidden="1">#REF!</definedName>
    <definedName name="___66______123Graph_XCHART_15" hidden="1">#REF!</definedName>
    <definedName name="___67______123Graph_XCHART_16" hidden="1">#REF!</definedName>
    <definedName name="___68______123Graph_XCHART_17" hidden="1">#REF!</definedName>
    <definedName name="___69______123Graph_XCHART_18" hidden="1">#REF!</definedName>
    <definedName name="___7______123Graph_ACHART_15" hidden="1">#REF!</definedName>
    <definedName name="___7__123Graph_BCHART_4" hidden="1">#REF!</definedName>
    <definedName name="___70______123Graph_XCHART_2" hidden="1">#REF!</definedName>
    <definedName name="___71______123Graph_XCHART_3" hidden="1">#REF!</definedName>
    <definedName name="___72______123Graph_XCHART_4" hidden="1">#REF!</definedName>
    <definedName name="___73______123Graph_XCHART_5" hidden="1">#REF!</definedName>
    <definedName name="___74______123Graph_XCHART_6" hidden="1">#REF!</definedName>
    <definedName name="___75______123Graph_XCHART_7" hidden="1">#REF!</definedName>
    <definedName name="___76______123Graph_XCHART_8" hidden="1">#REF!</definedName>
    <definedName name="___77______123Graph_XCHART_9" hidden="1">#REF!</definedName>
    <definedName name="___78_____123Graph_ACHART_1" hidden="1">#REF!</definedName>
    <definedName name="___79_____123Graph_ACHART_10" hidden="1">#REF!</definedName>
    <definedName name="___8______123Graph_ACHART_16" hidden="1">#REF!</definedName>
    <definedName name="___8__123Graph_BCHART_5" hidden="1">#REF!</definedName>
    <definedName name="___80_____123Graph_ACHART_11" hidden="1">#REF!</definedName>
    <definedName name="___81_____123Graph_ACHART_12" hidden="1">#REF!</definedName>
    <definedName name="___82_____123Graph_ACHART_13" hidden="1">#REF!</definedName>
    <definedName name="___83_____123Graph_ACHART_14" hidden="1">#REF!</definedName>
    <definedName name="___84_____123Graph_ACHART_15" hidden="1">#REF!</definedName>
    <definedName name="___85_____123Graph_ACHART_16" hidden="1">#REF!</definedName>
    <definedName name="___86_____123Graph_ACHART_17" hidden="1">#REF!</definedName>
    <definedName name="___87_____123Graph_ACHART_18" hidden="1">#REF!</definedName>
    <definedName name="___88_____123Graph_ACHART_2" hidden="1">#REF!</definedName>
    <definedName name="___89_____123Graph_ACHART_3" hidden="1">#REF!</definedName>
    <definedName name="___9______123Graph_ACHART_17" hidden="1">#REF!</definedName>
    <definedName name="___9__123Graph_CCHART_2" hidden="1">#REF!</definedName>
    <definedName name="___90_____123Graph_ACHART_4" hidden="1">#REF!</definedName>
    <definedName name="___91_____123Graph_ACHART_5" hidden="1">#REF!</definedName>
    <definedName name="___92_____123Graph_ACHART_6" hidden="1">#REF!</definedName>
    <definedName name="___93_____123Graph_ACHART_7" hidden="1">#REF!</definedName>
    <definedName name="___94_____123Graph_ACHART_8" hidden="1">#REF!</definedName>
    <definedName name="___95_____123Graph_ACHART_9" hidden="1">#REF!</definedName>
    <definedName name="___96_____123Graph_BCHART_1" hidden="1">#REF!</definedName>
    <definedName name="___97_____123Graph_BCHART_17" hidden="1">#REF!</definedName>
    <definedName name="___98_____123Graph_BCHART_18" hidden="1">#REF!</definedName>
    <definedName name="___99_____123Graph_BCHART_2" hidden="1">#REF!</definedName>
    <definedName name="___A11" localSheetId="10" hidden="1">{#N/A,#N/A,FALSE,"Umsatz 99";#N/A,#N/A,FALSE,"ER 99 "}</definedName>
    <definedName name="___A11" hidden="1">{#N/A,#N/A,FALSE,"Umsatz 99";#N/A,#N/A,FALSE,"ER 99 "}</definedName>
    <definedName name="___aaa1" localSheetId="10" hidden="1">{#N/A,#N/A,FALSE,"Model";#N/A,#N/A,FALSE,"Division"}</definedName>
    <definedName name="___aaa1" localSheetId="15" hidden="1">{#N/A,#N/A,FALSE,"Model";#N/A,#N/A,FALSE,"Division"}</definedName>
    <definedName name="___aaa1" hidden="1">{#N/A,#N/A,FALSE,"Model";#N/A,#N/A,FALSE,"Division"}</definedName>
    <definedName name="___abc1" localSheetId="10" hidden="1">{"detail",#N/A,FALSE,"mfg";"summary",#N/A,FALSE,"mfg"}</definedName>
    <definedName name="___abc1" hidden="1">{"detail",#N/A,FALSE,"mfg";"summary",#N/A,FALSE,"mfg"}</definedName>
    <definedName name="___abc2" localSheetId="10" hidden="1">{"detail",#N/A,FALSE,"mfg";"summary",#N/A,FALSE,"mfg"}</definedName>
    <definedName name="___abc2" hidden="1">{"detail",#N/A,FALSE,"mfg";"summary",#N/A,FALSE,"mfg"}</definedName>
    <definedName name="___c" localSheetId="10" hidden="1">{#N/A,#N/A,FALSE,"Layout Cash Flow"}</definedName>
    <definedName name="___c" localSheetId="15" hidden="1">{#N/A,#N/A,FALSE,"Layout Cash Flow"}</definedName>
    <definedName name="___c" hidden="1">{#N/A,#N/A,FALSE,"Layout Cash Flow"}</definedName>
    <definedName name="___D1" localSheetId="10" hidden="1">{#N/A,#N/A,FALSE,"DCF Summary";#N/A,#N/A,FALSE,"Casema";#N/A,#N/A,FALSE,"Casema NoTel";#N/A,#N/A,FALSE,"UK";#N/A,#N/A,FALSE,"RCF";#N/A,#N/A,FALSE,"Intercable CZ";#N/A,#N/A,FALSE,"Interkabel P"}</definedName>
    <definedName name="___D1" localSheetId="15" hidden="1">{#N/A,#N/A,FALSE,"DCF Summary";#N/A,#N/A,FALSE,"Casema";#N/A,#N/A,FALSE,"Casema NoTel";#N/A,#N/A,FALSE,"UK";#N/A,#N/A,FALSE,"RCF";#N/A,#N/A,FALSE,"Intercable CZ";#N/A,#N/A,FALSE,"Interkabel P"}</definedName>
    <definedName name="___D1" hidden="1">{#N/A,#N/A,FALSE,"DCF Summary";#N/A,#N/A,FALSE,"Casema";#N/A,#N/A,FALSE,"Casema NoTel";#N/A,#N/A,FALSE,"UK";#N/A,#N/A,FALSE,"RCF";#N/A,#N/A,FALSE,"Intercable CZ";#N/A,#N/A,FALSE,"Interkabel P"}</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CF1" localSheetId="10" hidden="1">{#N/A,#N/A,FALSE,"DCF Summary";#N/A,#N/A,FALSE,"Casema";#N/A,#N/A,FALSE,"Casema NoTel";#N/A,#N/A,FALSE,"UK";#N/A,#N/A,FALSE,"RCF";#N/A,#N/A,FALSE,"Intercable CZ";#N/A,#N/A,FALSE,"Interkabel P"}</definedName>
    <definedName name="___DCF1" localSheetId="15" hidden="1">{#N/A,#N/A,FALSE,"DCF Summary";#N/A,#N/A,FALSE,"Casema";#N/A,#N/A,FALSE,"Casema NoTel";#N/A,#N/A,FALSE,"UK";#N/A,#N/A,FALSE,"RCF";#N/A,#N/A,FALSE,"Intercable CZ";#N/A,#N/A,FALSE,"Interkabel P"}</definedName>
    <definedName name="___DCF1" hidden="1">{#N/A,#N/A,FALSE,"DCF Summary";#N/A,#N/A,FALSE,"Casema";#N/A,#N/A,FALSE,"Casema NoTel";#N/A,#N/A,FALSE,"UK";#N/A,#N/A,FALSE,"RCF";#N/A,#N/A,FALSE,"Intercable CZ";#N/A,#N/A,FALSE,"Interkabel P"}</definedName>
    <definedName name="___DCF2" localSheetId="10" hidden="1">{#N/A,#N/A,FALSE,"DCF Summary";#N/A,#N/A,FALSE,"Casema";#N/A,#N/A,FALSE,"Casema NoTel";#N/A,#N/A,FALSE,"UK";#N/A,#N/A,FALSE,"RCF";#N/A,#N/A,FALSE,"Intercable CZ";#N/A,#N/A,FALSE,"Interkabel P"}</definedName>
    <definedName name="___DCF2" localSheetId="15" hidden="1">{#N/A,#N/A,FALSE,"DCF Summary";#N/A,#N/A,FALSE,"Casema";#N/A,#N/A,FALSE,"Casema NoTel";#N/A,#N/A,FALSE,"UK";#N/A,#N/A,FALSE,"RCF";#N/A,#N/A,FALSE,"Intercable CZ";#N/A,#N/A,FALSE,"Interkabel P"}</definedName>
    <definedName name="___DCF2" hidden="1">{#N/A,#N/A,FALSE,"DCF Summary";#N/A,#N/A,FALSE,"Casema";#N/A,#N/A,FALSE,"Casema NoTel";#N/A,#N/A,FALSE,"UK";#N/A,#N/A,FALSE,"RCF";#N/A,#N/A,FALSE,"Intercable CZ";#N/A,#N/A,FALSE,"Interkabel P"}</definedName>
    <definedName name="___DCF8" localSheetId="10" hidden="1">{#N/A,#N/A,FALSE,"DCF Summary";#N/A,#N/A,FALSE,"Casema";#N/A,#N/A,FALSE,"Casema NoTel";#N/A,#N/A,FALSE,"UK";#N/A,#N/A,FALSE,"RCF";#N/A,#N/A,FALSE,"Intercable CZ";#N/A,#N/A,FALSE,"Interkabel P"}</definedName>
    <definedName name="___DCF8" localSheetId="15" hidden="1">{#N/A,#N/A,FALSE,"DCF Summary";#N/A,#N/A,FALSE,"Casema";#N/A,#N/A,FALSE,"Casema NoTel";#N/A,#N/A,FALSE,"UK";#N/A,#N/A,FALSE,"RCF";#N/A,#N/A,FALSE,"Intercable CZ";#N/A,#N/A,FALSE,"Interkabel P"}</definedName>
    <definedName name="___DCF8" hidden="1">{#N/A,#N/A,FALSE,"DCF Summary";#N/A,#N/A,FALSE,"Casema";#N/A,#N/A,FALSE,"Casema NoTel";#N/A,#N/A,FALSE,"UK";#N/A,#N/A,FALSE,"RCF";#N/A,#N/A,FALSE,"Intercable CZ";#N/A,#N/A,FALSE,"Interkabel P"}</definedName>
    <definedName name="_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_dff1" hidden="1">{"incomemth",#N/A,TRUE,"forecast01";"incpercentmth",#N/A,TRUE,"forecast01";"balancemth",#N/A,TRUE,"forecast01";"cashmth",#N/A,TRUE,"forecast01";"cov2mth",#N/A,TRUE,"forecast01";"prbexp",#N/A,TRUE,"forecast01";"prbcap",#N/A,TRUE,"forecast01";"coalconsultants",#N/A,TRUE,"forecast01";"prbsum",#N/A,TRUE,"forecast01"}</definedName>
    <definedName name="___DRE0700" localSheetId="10" hidden="1">{"'PXR_6500'!$A$1:$I$124"}</definedName>
    <definedName name="___DRE0700" hidden="1">{"'PXR_6500'!$A$1:$I$124"}</definedName>
    <definedName name="___E1" localSheetId="10" hidden="1">{#N/A,#N/A,FALSE,"DCF Summary";#N/A,#N/A,FALSE,"Casema";#N/A,#N/A,FALSE,"Casema NoTel";#N/A,#N/A,FALSE,"UK";#N/A,#N/A,FALSE,"RCF";#N/A,#N/A,FALSE,"Intercable CZ";#N/A,#N/A,FALSE,"Interkabel P"}</definedName>
    <definedName name="___E1" localSheetId="15" hidden="1">{#N/A,#N/A,FALSE,"DCF Summary";#N/A,#N/A,FALSE,"Casema";#N/A,#N/A,FALSE,"Casema NoTel";#N/A,#N/A,FALSE,"UK";#N/A,#N/A,FALSE,"RCF";#N/A,#N/A,FALSE,"Intercable CZ";#N/A,#N/A,FALSE,"Interkabel P"}</definedName>
    <definedName name="___E1" hidden="1">{#N/A,#N/A,FALSE,"DCF Summary";#N/A,#N/A,FALSE,"Casema";#N/A,#N/A,FALSE,"Casema NoTel";#N/A,#N/A,FALSE,"UK";#N/A,#N/A,FALSE,"RCF";#N/A,#N/A,FALSE,"Intercable CZ";#N/A,#N/A,FALSE,"Interkabel P"}</definedName>
    <definedName name="___EX137" localSheetId="10" hidden="1">{#N/A,"1",FALSE,"FORM";#N/A,"2",FALSE,"FORM";#N/A,"3",FALSE,"FORM"}</definedName>
    <definedName name="___EX137" hidden="1">{#N/A,"1",FALSE,"FORM";#N/A,"2",FALSE,"FORM";#N/A,"3",FALSE,"FORM"}</definedName>
    <definedName name="___fdf1" localSheetId="10" hidden="1">{"incomemth",#N/A,TRUE,"forecast00";"incomepercentmth",#N/A,TRUE,"forecast00";"balancemth",#N/A,TRUE,"forecast00";"cashmth",#N/A,TRUE,"forecast00";"covenantmth",#N/A,TRUE,"forecast00"}</definedName>
    <definedName name="___fdf1" hidden="1">{"incomemth",#N/A,TRUE,"forecast00";"incomepercentmth",#N/A,TRUE,"forecast00";"balancemth",#N/A,TRUE,"forecast00";"cashmth",#N/A,TRUE,"forecast00";"covenantmth",#N/A,TRUE,"forecast00"}</definedName>
    <definedName name="___fdg1" localSheetId="10" hidden="1">{"incomemth",#N/A,TRUE,"forecast00";"incomepercentmth",#N/A,TRUE,"forecast00";"balancemth",#N/A,TRUE,"forecast00";"cashmth",#N/A,TRUE,"forecast00";"covenantmth",#N/A,TRUE,"forecast00"}</definedName>
    <definedName name="___fdg1" hidden="1">{"incomemth",#N/A,TRUE,"forecast00";"incomepercentmth",#N/A,TRUE,"forecast00";"balancemth",#N/A,TRUE,"forecast00";"cashmth",#N/A,TRUE,"forecast00";"covenantmth",#N/A,TRUE,"forecast00"}</definedName>
    <definedName name="_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_fds1" hidden="1">{"incomemth",#N/A,TRUE,"forecast01";"incpercentmth",#N/A,TRUE,"forecast01";"balancemth",#N/A,TRUE,"forecast01";"cashmth",#N/A,TRUE,"forecast01";"cov2mth",#N/A,TRUE,"forecast01";"prbexp",#N/A,TRUE,"forecast01";"prbcap",#N/A,TRUE,"forecast01";"coalconsultants",#N/A,TRUE,"forecast01";"prbsum",#N/A,TRUE,"forecast01"}</definedName>
    <definedName name="___fy97" localSheetId="10" hidden="1">{#N/A,#N/A,FALSE,"FY97";#N/A,#N/A,FALSE,"FY98";#N/A,#N/A,FALSE,"FY99";#N/A,#N/A,FALSE,"FY00";#N/A,#N/A,FALSE,"FY01"}</definedName>
    <definedName name="___fy97" localSheetId="15" hidden="1">{#N/A,#N/A,FALSE,"FY97";#N/A,#N/A,FALSE,"FY98";#N/A,#N/A,FALSE,"FY99";#N/A,#N/A,FALSE,"FY00";#N/A,#N/A,FALSE,"FY01"}</definedName>
    <definedName name="___fy97" hidden="1">{#N/A,#N/A,FALSE,"FY97";#N/A,#N/A,FALSE,"FY98";#N/A,#N/A,FALSE,"FY99";#N/A,#N/A,FALSE,"FY00";#N/A,#N/A,FALSE,"FY01"}</definedName>
    <definedName name="___gf1" localSheetId="10" hidden="1">{"incomemth",#N/A,TRUE,"forecast00";"incomepercentmth",#N/A,TRUE,"forecast00";"balancemth",#N/A,TRUE,"forecast00";"cashmth",#N/A,TRUE,"forecast00";"covenantmth",#N/A,TRUE,"forecast00"}</definedName>
    <definedName name="___gf1" hidden="1">{"incomemth",#N/A,TRUE,"forecast00";"incomepercentmth",#N/A,TRUE,"forecast00";"balancemth",#N/A,TRUE,"forecast00";"cashmth",#N/A,TRUE,"forecast00";"covenantmth",#N/A,TRUE,"forecast00"}</definedName>
    <definedName name="___GRP1">OFFSET(#REF!,0,0,COUNTA(#REF!),1)</definedName>
    <definedName name="___GRP2">OFFSET(#REF!,0,0,COUNTA(#REF!),1)</definedName>
    <definedName name="___hod2" localSheetId="10" hidden="1">{#N/A,#N/A,FALSE,"TS";#N/A,#N/A,FALSE,"Combo";#N/A,#N/A,FALSE,"FAIR";#N/A,#N/A,FALSE,"RBC";#N/A,#N/A,FALSE,"xxxx";#N/A,#N/A,FALSE,"A_D";#N/A,#N/A,FALSE,"WACC";#N/A,#N/A,FALSE,"DCF";#N/A,#N/A,FALSE,"LBO";#N/A,#N/A,FALSE,"AcqMults";#N/A,#N/A,FALSE,"CompMults"}</definedName>
    <definedName name="___hod2" hidden="1">{#N/A,#N/A,FALSE,"TS";#N/A,#N/A,FALSE,"Combo";#N/A,#N/A,FALSE,"FAIR";#N/A,#N/A,FALSE,"RBC";#N/A,#N/A,FALSE,"xxxx";#N/A,#N/A,FALSE,"A_D";#N/A,#N/A,FALSE,"WACC";#N/A,#N/A,FALSE,"DCF";#N/A,#N/A,FALSE,"LBO";#N/A,#N/A,FALSE,"AcqMults";#N/A,#N/A,FALSE,"CompMults"}</definedName>
    <definedName name="___I2" localSheetId="10" hidden="1">{"PVGraph2",#N/A,FALSE,"PV Data"}</definedName>
    <definedName name="___I2" hidden="1">{"PVGraph2",#N/A,FALSE,"PV Data"}</definedName>
    <definedName name="___I3" localSheetId="10" hidden="1">{"PVGraph2",#N/A,FALSE,"PV Data"}</definedName>
    <definedName name="___I3" hidden="1">{"PVGraph2",#N/A,FALSE,"PV Data"}</definedName>
    <definedName name="___ibo2" localSheetId="10" hidden="1">{#N/A,#N/A,FALSE,"Summary";#N/A,#N/A,FALSE,"Projections";#N/A,#N/A,FALSE,"Mkt Mults";#N/A,#N/A,FALSE,"DCF";#N/A,#N/A,FALSE,"Accr Dil";#N/A,#N/A,FALSE,"PIC LBO";#N/A,#N/A,FALSE,"MULT10_4";#N/A,#N/A,FALSE,"CBI LBO"}</definedName>
    <definedName name="___ibo2" hidden="1">{#N/A,#N/A,FALSE,"Summary";#N/A,#N/A,FALSE,"Projections";#N/A,#N/A,FALSE,"Mkt Mults";#N/A,#N/A,FALSE,"DCF";#N/A,#N/A,FALSE,"Accr Dil";#N/A,#N/A,FALSE,"PIC LBO";#N/A,#N/A,FALSE,"MULT10_4";#N/A,#N/A,FALSE,"CBI LBO"}</definedName>
    <definedName name="___INDEX_SHEET___ASAP_Utilities">#REF!</definedName>
    <definedName name="___inv1">#REF!</definedName>
    <definedName name="___inv2">#REF!</definedName>
    <definedName name="___ISV4" localSheetId="10" hidden="1">{"Material",#N/A,TRUE,"Summary";"Mfg",#N/A,TRUE,"Summary";"mfgbymo",#N/A,TRUE,"By Month";"Mtlbymo",#N/A,TRUE,"By Month"}</definedName>
    <definedName name="___ISV4" hidden="1">{"Material",#N/A,TRUE,"Summary";"Mfg",#N/A,TRUE,"Summary";"mfgbymo",#N/A,TRUE,"By Month";"Mtlbymo",#N/A,TRUE,"By Month"}</definedName>
    <definedName name="___ISV4_1" localSheetId="10" hidden="1">{"Material",#N/A,TRUE,"Summary";"Mfg",#N/A,TRUE,"Summary";"mfgbymo",#N/A,TRUE,"By Month";"Mtlbymo",#N/A,TRUE,"By Month"}</definedName>
    <definedName name="___ISV4_1" hidden="1">{"Material",#N/A,TRUE,"Summary";"Mfg",#N/A,TRUE,"Summary";"mfgbymo",#N/A,TRUE,"By Month";"Mtlbymo",#N/A,TRUE,"By Month"}</definedName>
    <definedName name="___ISV4_1_1" localSheetId="10" hidden="1">{"Material",#N/A,TRUE,"Summary";"Mfg",#N/A,TRUE,"Summary";"mfgbymo",#N/A,TRUE,"By Month";"Mtlbymo",#N/A,TRUE,"By Month"}</definedName>
    <definedName name="___ISV4_1_1" hidden="1">{"Material",#N/A,TRUE,"Summary";"Mfg",#N/A,TRUE,"Summary";"mfgbymo",#N/A,TRUE,"By Month";"Mtlbymo",#N/A,TRUE,"By Month"}</definedName>
    <definedName name="___ISV4_2" localSheetId="10" hidden="1">{"Material",#N/A,TRUE,"Summary";"Mfg",#N/A,TRUE,"Summary";"mfgbymo",#N/A,TRUE,"By Month";"Mtlbymo",#N/A,TRUE,"By Month"}</definedName>
    <definedName name="___ISV4_2" hidden="1">{"Material",#N/A,TRUE,"Summary";"Mfg",#N/A,TRUE,"Summary";"mfgbymo",#N/A,TRUE,"By Month";"Mtlbymo",#N/A,TRUE,"By Month"}</definedName>
    <definedName name="___key1" localSheetId="10" hidden="1">#REF!</definedName>
    <definedName name="___key1" hidden="1">#REF!</definedName>
    <definedName name="___key2" hidden="1">#REF!</definedName>
    <definedName name="__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mty1" localSheetId="10" hidden="1">{#N/A,#N/A,TRUE,"2432"}</definedName>
    <definedName name="___mty1" hidden="1">{#N/A,#N/A,TRUE,"2432"}</definedName>
    <definedName name="___o1" localSheetId="10" hidden="1">{#N/A,#N/A,FALSE,"SUMMARY";#N/A,#N/A,FALSE,"mcsh";#N/A,#N/A,FALSE,"vol&amp;rev";#N/A,#N/A,FALSE,"wkgcap";#N/A,#N/A,FALSE,"DEPR&amp;DT";#N/A,#N/A,FALSE,"ASSETS";#N/A,#N/A,FALSE,"NI&amp;OTH&amp;DIV";#N/A,#N/A,FALSE,"CASHFLOW";#N/A,#N/A,FALSE,"CAPEMPL";#N/A,#N/A,FALSE,"ROCE"}</definedName>
    <definedName name="___o1" localSheetId="15"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_q1" localSheetId="10" hidden="1">{"inflated_pl",#N/A,FALSE,"P&amp;L"}</definedName>
    <definedName name="___q1" hidden="1">{"inflated_pl",#N/A,FALSE,"P&amp;L"}</definedName>
    <definedName name="___q2" localSheetId="10" hidden="1">{"PL_no_inflated",#N/A,FALSE,"P&amp;L"}</definedName>
    <definedName name="___q2" hidden="1">{"PL_no_inflated",#N/A,FALSE,"P&amp;L"}</definedName>
    <definedName name="___r" localSheetId="10" hidden="1">{"consolidated",#N/A,FALSE,"Sheet1";"cms",#N/A,FALSE,"Sheet1";"fse",#N/A,FALSE,"Sheet1"}</definedName>
    <definedName name="___r" localSheetId="15" hidden="1">{"consolidated",#N/A,FALSE,"Sheet1";"cms",#N/A,FALSE,"Sheet1";"fse",#N/A,FALSE,"Sheet1"}</definedName>
    <definedName name="___r" hidden="1">{"consolidated",#N/A,FALSE,"Sheet1";"cms",#N/A,FALSE,"Sheet1";"fse",#N/A,FALSE,"Sheet1"}</definedName>
    <definedName name="___re2" localSheetId="10" hidden="1">{"NOPCAPEVA",#N/A,FALSE,"Nopat";"FCFCSTAR",#N/A,FALSE,"FCFVAL";"EVAVL",#N/A,FALSE,"EVAVAL";"LEASE",#N/A,FALSE,"OpLease"}</definedName>
    <definedName name="___re2" hidden="1">{"NOPCAPEVA",#N/A,FALSE,"Nopat";"FCFCSTAR",#N/A,FALSE,"FCFVAL";"EVAVL",#N/A,FALSE,"EVAVAL";"LEASE",#N/A,FALSE,"OpLease"}</definedName>
    <definedName name="___re3" localSheetId="10" hidden="1">{"NOPCAPEVA",#N/A,FALSE,"Nopat";"FCFCSTAR",#N/A,FALSE,"FCFVAL";"EVAVL",#N/A,FALSE,"EVAVAL";"LEASE",#N/A,FALSE,"OpLease"}</definedName>
    <definedName name="___re3" hidden="1">{"NOPCAPEVA",#N/A,FALSE,"Nopat";"FCFCSTAR",#N/A,FALSE,"FCFVAL";"EVAVL",#N/A,FALSE,"EVAVAL";"LEASE",#N/A,FALSE,"OpLease"}</definedName>
    <definedName name="___re4" localSheetId="10" hidden="1">{"NOPCAPEVA",#N/A,FALSE,"Nopat";"FCFCSTAR",#N/A,FALSE,"FCFVAL";"EVAVL",#N/A,FALSE,"EVAVAL";"LEASE",#N/A,FALSE,"OpLease"}</definedName>
    <definedName name="___re4" hidden="1">{"NOPCAPEVA",#N/A,FALSE,"Nopat";"FCFCSTAR",#N/A,FALSE,"FCFVAL";"EVAVL",#N/A,FALSE,"EVAVAL";"LEASE",#N/A,FALSE,"OpLease"}</definedName>
    <definedName name="___re5" localSheetId="10" hidden="1">{"NOPCAPEVA",#N/A,FALSE,"Nopat";"FCFCSTAR",#N/A,FALSE,"FCFVAL";"EVAVL",#N/A,FALSE,"EVAVAL";"LEASE",#N/A,FALSE,"OpLease"}</definedName>
    <definedName name="___re5" hidden="1">{"NOPCAPEVA",#N/A,FALSE,"Nopat";"FCFCSTAR",#N/A,FALSE,"FCFVAL";"EVAVL",#N/A,FALSE,"EVAVAL";"LEASE",#N/A,FALSE,"OpLease"}</definedName>
    <definedName name="___re6" localSheetId="10" hidden="1">{"NOPCAPEVA",#N/A,FALSE,"Nopat";"FCFCSTAR",#N/A,FALSE,"FCFVAL";"EVAVL",#N/A,FALSE,"EVAVAL";"LEASE",#N/A,FALSE,"OpLease"}</definedName>
    <definedName name="___re6" hidden="1">{"NOPCAPEVA",#N/A,FALSE,"Nopat";"FCFCSTAR",#N/A,FALSE,"FCFVAL";"EVAVL",#N/A,FALSE,"EVAVAL";"LEASE",#N/A,FALSE,"OpLease"}</definedName>
    <definedName name="___re7" localSheetId="10" hidden="1">{"NOPCAPEVA",#N/A,FALSE,"Nopat";"FCFCSTAR",#N/A,FALSE,"FCFVAL";"EVAVL",#N/A,FALSE,"EVAVAL";"LEASE",#N/A,FALSE,"OpLease"}</definedName>
    <definedName name="___re7" hidden="1">{"NOPCAPEVA",#N/A,FALSE,"Nopat";"FCFCSTAR",#N/A,FALSE,"FCFVAL";"EVAVL",#N/A,FALSE,"EVAVAL";"LEASE",#N/A,FALSE,"OpLease"}</definedName>
    <definedName name="___re8" localSheetId="10" hidden="1">{"NOPCAPEVA",#N/A,FALSE,"Nopat";"FCFCSTAR",#N/A,FALSE,"FCFVAL";"EVAVL",#N/A,FALSE,"EVAVAL";"LEASE",#N/A,FALSE,"OpLease"}</definedName>
    <definedName name="___re8" hidden="1">{"NOPCAPEVA",#N/A,FALSE,"Nopat";"FCFCSTAR",#N/A,FALSE,"FCFVAL";"EVAVL",#N/A,FALSE,"EVAVAL";"LEASE",#N/A,FALSE,"OpLease"}</definedName>
    <definedName name="___rod1" localSheetId="10" hidden="1">{#N/A,#N/A,FALSE,"Projections";#N/A,#N/A,FALSE,"Multiples Valuation";#N/A,#N/A,FALSE,"LBO";#N/A,#N/A,FALSE,"Multiples_Sensitivity";#N/A,#N/A,FALSE,"Summary"}</definedName>
    <definedName name="___rod1" hidden="1">{#N/A,#N/A,FALSE,"Projections";#N/A,#N/A,FALSE,"Multiples Valuation";#N/A,#N/A,FALSE,"LBO";#N/A,#N/A,FALSE,"Multiples_Sensitivity";#N/A,#N/A,FALSE,"Summary"}</definedName>
    <definedName name="___RSE2">#REF!</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t1" localSheetId="10" hidden="1">{"bs",#N/A,FALSE,"SCF"}</definedName>
    <definedName name="___t1" hidden="1">{"bs",#N/A,FALSE,"SCF"}</definedName>
    <definedName name="___tax1">#REF!</definedName>
    <definedName name="___tax2">#REF!</definedName>
    <definedName name="___tax3">#REF!</definedName>
    <definedName name="___tax4">#REF!</definedName>
    <definedName name="___tes6" localSheetId="10" hidden="1">{"Data Worksheet",#N/A,FALSE,"CAREY97"}</definedName>
    <definedName name="___tes6" hidden="1">{"Data Worksheet",#N/A,FALSE,"CAREY97"}</definedName>
    <definedName name="___thinkcell0kUAAAAAAAAAAAAA41keTJtvmkmjSj6CFieU5g" hidden="1">#REF!</definedName>
    <definedName name="___var3" localSheetId="10" hidden="1">{"'777'!$A$1:$H$41"}</definedName>
    <definedName name="___var3" localSheetId="15" hidden="1">{"'777'!$A$1:$H$41"}</definedName>
    <definedName name="___var3" hidden="1">{"'777'!$A$1:$H$41"}</definedName>
    <definedName name="___w1" localSheetId="10" hidden="1">{"PVGraph2",#N/A,FALSE,"PV Data"}</definedName>
    <definedName name="___w1" hidden="1">{"PVGraph2",#N/A,FALSE,"PV Data"}</definedName>
    <definedName name="___w2" localSheetId="10" hidden="1">{"PVGraph2",#N/A,FALSE,"PV Data"}</definedName>
    <definedName name="___w2" hidden="1">{"PVGraph2",#N/A,FALSE,"PV Data"}</definedName>
    <definedName name="___w3" localSheetId="10" hidden="1">{"PVGraph2",#N/A,FALSE,"PV Data"}</definedName>
    <definedName name="___w3" hidden="1">{"PVGraph2",#N/A,FALSE,"PV Data"}</definedName>
    <definedName name="___wrn1" localSheetId="10" hidden="1">{#N/A,#N/A,FALSE,"DCF";#N/A,#N/A,FALSE,"WACC";#N/A,#N/A,FALSE,"Sales_EBIT";#N/A,#N/A,FALSE,"Capex_Depreciation";#N/A,#N/A,FALSE,"WC";#N/A,#N/A,FALSE,"Interest";#N/A,#N/A,FALSE,"Assumptions"}</definedName>
    <definedName name="___wrn1" localSheetId="15" hidden="1">{#N/A,#N/A,FALSE,"DCF";#N/A,#N/A,FALSE,"WACC";#N/A,#N/A,FALSE,"Sales_EBIT";#N/A,#N/A,FALSE,"Capex_Depreciation";#N/A,#N/A,FALSE,"WC";#N/A,#N/A,FALSE,"Interest";#N/A,#N/A,FALSE,"Assumptions"}</definedName>
    <definedName name="___wrn1" hidden="1">{#N/A,#N/A,FALSE,"DCF";#N/A,#N/A,FALSE,"WACC";#N/A,#N/A,FALSE,"Sales_EBIT";#N/A,#N/A,FALSE,"Capex_Depreciation";#N/A,#N/A,FALSE,"WC";#N/A,#N/A,FALSE,"Interest";#N/A,#N/A,FALSE,"Assumptions"}</definedName>
    <definedName name="___wrn2" localSheetId="10" hidden="1">{#N/A,#N/A,TRUE,"Notes";#N/A,#N/A,TRUE,"Cap Struct";#N/A,#N/A,TRUE,"OBS";#N/A,#N/A,TRUE,"bal Sheet";#N/A,#N/A,TRUE,"Inc stmt";#N/A,#N/A,TRUE,"csh flw";#N/A,#N/A,TRUE,"debt";#N/A,#N/A,TRUE,"detail 96,97";#N/A,#N/A,TRUE,"Covenants"}</definedName>
    <definedName name="___wrn2" localSheetId="15" hidden="1">{#N/A,#N/A,TRUE,"Notes";#N/A,#N/A,TRUE,"Cap Struct";#N/A,#N/A,TRUE,"OBS";#N/A,#N/A,TRUE,"bal Sheet";#N/A,#N/A,TRUE,"Inc stmt";#N/A,#N/A,TRUE,"csh flw";#N/A,#N/A,TRUE,"debt";#N/A,#N/A,TRUE,"detail 96,97";#N/A,#N/A,TRUE,"Covenants"}</definedName>
    <definedName name="___wrn2" hidden="1">{#N/A,#N/A,TRUE,"Notes";#N/A,#N/A,TRUE,"Cap Struct";#N/A,#N/A,TRUE,"OBS";#N/A,#N/A,TRUE,"bal Sheet";#N/A,#N/A,TRUE,"Inc stmt";#N/A,#N/A,TRUE,"csh flw";#N/A,#N/A,TRUE,"debt";#N/A,#N/A,TRUE,"detail 96,97";#N/A,#N/A,TRUE,"Covenants"}</definedName>
    <definedName name="___wrn3" localSheetId="10" hidden="1">{#N/A,#N/A,TRUE,"Notes";#N/A,#N/A,TRUE,"Cap Struct";#N/A,#N/A,TRUE,"OBS";#N/A,#N/A,TRUE,"bal Sheet";#N/A,#N/A,TRUE,"Inc stmt";#N/A,#N/A,TRUE,"csh flw";#N/A,#N/A,TRUE,"debt";#N/A,#N/A,TRUE,"detail 96,97";#N/A,#N/A,TRUE,"Covenants"}</definedName>
    <definedName name="___wrn3" localSheetId="15" hidden="1">{#N/A,#N/A,TRUE,"Notes";#N/A,#N/A,TRUE,"Cap Struct";#N/A,#N/A,TRUE,"OBS";#N/A,#N/A,TRUE,"bal Sheet";#N/A,#N/A,TRUE,"Inc stmt";#N/A,#N/A,TRUE,"csh flw";#N/A,#N/A,TRUE,"debt";#N/A,#N/A,TRUE,"detail 96,97";#N/A,#N/A,TRUE,"Covenants"}</definedName>
    <definedName name="___wrn3" hidden="1">{#N/A,#N/A,TRUE,"Notes";#N/A,#N/A,TRUE,"Cap Struct";#N/A,#N/A,TRUE,"OBS";#N/A,#N/A,TRUE,"bal Sheet";#N/A,#N/A,TRUE,"Inc stmt";#N/A,#N/A,TRUE,"csh flw";#N/A,#N/A,TRUE,"debt";#N/A,#N/A,TRUE,"detail 96,97";#N/A,#N/A,TRUE,"Covenants"}</definedName>
    <definedName name="___ww2" localSheetId="10" hidden="1">{#N/A,#N/A,FALSE,"Admin";#N/A,#N/A,FALSE,"Other"}</definedName>
    <definedName name="___ww2" localSheetId="15" hidden="1">{#N/A,#N/A,FALSE,"Admin";#N/A,#N/A,FALSE,"Other"}</definedName>
    <definedName name="___ww2" hidden="1">{#N/A,#N/A,FALSE,"Admin";#N/A,#N/A,FALSE,"Other"}</definedName>
    <definedName name="___xlfn.RTD" hidden="1">#NAME?</definedName>
    <definedName name="___xlfn.SUMIFS" hidden="1">#NAME?</definedName>
    <definedName name="___y2" localSheetId="10" hidden="1">{"PVGraph2",#N/A,FALSE,"PV Data"}</definedName>
    <definedName name="___y2" hidden="1">{"PVGraph2",#N/A,FALSE,"PV Data"}</definedName>
    <definedName name="___z12" localSheetId="10" hidden="1">{"pro_view",#N/A,FALSE,"EEFSNAP2";"rep_view",#N/A,FALSE,"EEFSNAP2"}</definedName>
    <definedName name="___z12" hidden="1">{"pro_view",#N/A,FALSE,"EEFSNAP2";"rep_view",#N/A,FALSE,"EEFSNAP2"}</definedName>
    <definedName name="___z22" localSheetId="10"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10" hidden="1">{"detail",#N/A,FALSE,"mfg";"summary",#N/A,FALSE,"mfg"}</definedName>
    <definedName name="___z25" hidden="1">{"detail",#N/A,FALSE,"mfg";"summary",#N/A,FALSE,"mfg"}</definedName>
    <definedName name="__1______123Graph_ACHART_1" hidden="1">#REF!</definedName>
    <definedName name="__1__123Graph_ACHART_1" hidden="1">#REF!</definedName>
    <definedName name="__1__123Graph_ACHART_2" hidden="1">#REF!</definedName>
    <definedName name="__1_0__123Grap" hidden="1">#REF!</definedName>
    <definedName name="__10______123Graph_ACHART_18" hidden="1">#REF!</definedName>
    <definedName name="__10__123Graph_ACHART_18" hidden="1">#REF!</definedName>
    <definedName name="__10__123Graph_CCHART_3" hidden="1">#REF!</definedName>
    <definedName name="__100_____123Graph_BCHART_3" hidden="1">#REF!</definedName>
    <definedName name="__101_____123Graph_BCHART_4" hidden="1">#REF!</definedName>
    <definedName name="__102_____123Graph_BCHART_5" hidden="1">#REF!</definedName>
    <definedName name="__103_____123Graph_BCHART_6" hidden="1">#REF!</definedName>
    <definedName name="__104_____123Graph_BCHART_7" hidden="1">#REF!</definedName>
    <definedName name="__105_____123Graph_BCHART_8" hidden="1">#REF!</definedName>
    <definedName name="__106_____123Graph_CCHART_1" hidden="1">#REF!</definedName>
    <definedName name="__107_____123Graph_CCHART_2" hidden="1">#REF!</definedName>
    <definedName name="__108_____123Graph_CCHART_3" hidden="1">#REF!</definedName>
    <definedName name="__109_____123Graph_CCHART_4" hidden="1">#REF!</definedName>
    <definedName name="__11______123Graph_ACHART_2" hidden="1">#REF!</definedName>
    <definedName name="__11__123Graph_ACHART_2" hidden="1">#REF!</definedName>
    <definedName name="__11__123Graph_CCHART_4" hidden="1">#REF!</definedName>
    <definedName name="__110_____123Graph_CCHART_5" hidden="1">#REF!</definedName>
    <definedName name="__111_____123Graph_CCHART_6" hidden="1">#REF!</definedName>
    <definedName name="__112_____123Graph_CCHART_7" hidden="1">#REF!</definedName>
    <definedName name="__113_____123Graph_CCHART_8" hidden="1">#REF!</definedName>
    <definedName name="__114_____123Graph_DCHART_1" hidden="1">#REF!</definedName>
    <definedName name="__115_____123Graph_DCHART_2" hidden="1">#REF!</definedName>
    <definedName name="__116_____123Graph_DCHART_3" hidden="1">#REF!</definedName>
    <definedName name="__117_____123Graph_DCHART_4" hidden="1">#REF!</definedName>
    <definedName name="__118_____123Graph_DCHART_5" hidden="1">#REF!</definedName>
    <definedName name="__119_____123Graph_DCHART_6" hidden="1">#REF!</definedName>
    <definedName name="__12______123Graph_ACHART_3" hidden="1">#REF!</definedName>
    <definedName name="__12__123Graph_ACHART_3" hidden="1">#REF!</definedName>
    <definedName name="__12__123Graph_CCHART_5" hidden="1">#REF!</definedName>
    <definedName name="__120_____123Graph_DCHART_7" hidden="1">#REF!</definedName>
    <definedName name="__121_____123Graph_DCHART_8" hidden="1">#REF!</definedName>
    <definedName name="__122_____123Graph_ECHART_1" hidden="1">#REF!</definedName>
    <definedName name="__123_____123Graph_ECHART_2" hidden="1">#REF!</definedName>
    <definedName name="__123Graph_A" localSheetId="10" hidden="1">#REF!</definedName>
    <definedName name="__123Graph_A" localSheetId="9" hidden="1">#REF!</definedName>
    <definedName name="__123Graph_A" localSheetId="8" hidden="1">#REF!</definedName>
    <definedName name="__123Graph_A" localSheetId="16" hidden="1">#REF!</definedName>
    <definedName name="__123Graph_A" hidden="1">#REF!</definedName>
    <definedName name="__123Graph_A91" hidden="1">#REF!</definedName>
    <definedName name="__123Graph_AAPPIP" localSheetId="10" hidden="1">#REF!</definedName>
    <definedName name="__123Graph_AAPPIP" localSheetId="9" hidden="1">#REF!</definedName>
    <definedName name="__123Graph_AAPPIP" localSheetId="8" hidden="1">#REF!</definedName>
    <definedName name="__123Graph_AAPPIP" localSheetId="16" hidden="1">#REF!</definedName>
    <definedName name="__123Graph_AAPPIP" hidden="1">#REF!</definedName>
    <definedName name="__123Graph_AAUSTRALIA" hidden="1">#REF!</definedName>
    <definedName name="__123Graph_ACANADA" hidden="1">#REF!</definedName>
    <definedName name="__123Graph_ACANPIP" localSheetId="10" hidden="1">#REF!</definedName>
    <definedName name="__123Graph_ACANPIP" localSheetId="9" hidden="1">#REF!</definedName>
    <definedName name="__123Graph_ACANPIP" localSheetId="8" hidden="1">#REF!</definedName>
    <definedName name="__123Graph_ACANPIP" localSheetId="16" hidden="1">#REF!</definedName>
    <definedName name="__123Graph_ACANPIP" hidden="1">#REF!</definedName>
    <definedName name="__123Graph_ACHART1" localSheetId="10" hidden="1">#REF!</definedName>
    <definedName name="__123Graph_ACHART1" localSheetId="9" hidden="1">#REF!</definedName>
    <definedName name="__123Graph_ACHART1" localSheetId="8" hidden="1">#REF!</definedName>
    <definedName name="__123Graph_ACHART1" localSheetId="16" hidden="1">#REF!</definedName>
    <definedName name="__123Graph_ACHART1" hidden="1">#REF!</definedName>
    <definedName name="__123Graph_AChart10" hidden="1">#REF!</definedName>
    <definedName name="__123Graph_AChart11" hidden="1">#REF!</definedName>
    <definedName name="__123Graph_ACHART2" localSheetId="10" hidden="1">#REF!</definedName>
    <definedName name="__123Graph_ACHART2" localSheetId="9" hidden="1">#REF!</definedName>
    <definedName name="__123Graph_ACHART2" localSheetId="8" hidden="1">#REF!</definedName>
    <definedName name="__123Graph_ACHART2" localSheetId="16"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CURRENT" localSheetId="10" hidden="1">#REF!</definedName>
    <definedName name="__123Graph_ACURRENT" localSheetId="9" hidden="1">#REF!</definedName>
    <definedName name="__123Graph_ACURRENT" localSheetId="8" hidden="1">#REF!</definedName>
    <definedName name="__123Graph_ACURRENT" localSheetId="16" hidden="1">#REF!</definedName>
    <definedName name="__123Graph_ACURRENT" hidden="1">#REF!</definedName>
    <definedName name="__123Graph_ADONAGRA" hidden="1">#REF!</definedName>
    <definedName name="__123Graph_ADONATMO" hidden="1">#REF!</definedName>
    <definedName name="__123Graph_ADS1" hidden="1">#REF!</definedName>
    <definedName name="__123Graph_ADS2" hidden="1">#REF!</definedName>
    <definedName name="__123Graph_ADS3" hidden="1">#REF!</definedName>
    <definedName name="__123Graph_ADS4" hidden="1">#REF!</definedName>
    <definedName name="__123Graph_AEURPIP" localSheetId="10" hidden="1">#REF!</definedName>
    <definedName name="__123Graph_AEURPIP" localSheetId="9" hidden="1">#REF!</definedName>
    <definedName name="__123Graph_AEURPIP" localSheetId="8" hidden="1">#REF!</definedName>
    <definedName name="__123Graph_AEURPIP" localSheetId="16" hidden="1">#REF!</definedName>
    <definedName name="__123Graph_AEURPIP" hidden="1">#REF!</definedName>
    <definedName name="__123Graph_AEXPPIP" localSheetId="10" hidden="1">#REF!</definedName>
    <definedName name="__123Graph_AEXPPIP" localSheetId="9" hidden="1">#REF!</definedName>
    <definedName name="__123Graph_AEXPPIP" localSheetId="8" hidden="1">#REF!</definedName>
    <definedName name="__123Graph_AEXPPIP" localSheetId="16" hidden="1">#REF!</definedName>
    <definedName name="__123Graph_AEXPPIP" hidden="1">#REF!</definedName>
    <definedName name="__123Graph_AFRANCE"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UILDER" hidden="1">#REF!</definedName>
    <definedName name="__123Graph_AHISTORY" hidden="1">#REF!</definedName>
    <definedName name="__123Graph_AJAPAN" hidden="1">#REF!</definedName>
    <definedName name="__123Graph_AMARK" hidden="1">#REF!</definedName>
    <definedName name="__123Graph_AMEXPIP" localSheetId="10" hidden="1">#REF!</definedName>
    <definedName name="__123Graph_AMEXPIP" localSheetId="9" hidden="1">#REF!</definedName>
    <definedName name="__123Graph_AMEXPIP" localSheetId="8" hidden="1">#REF!</definedName>
    <definedName name="__123Graph_AMEXPIP" localSheetId="16" hidden="1">#REF!</definedName>
    <definedName name="__123Graph_AMEXPIP" hidden="1">#REF!</definedName>
    <definedName name="__123Graph_ANTINCMO" hidden="1">#REF!</definedName>
    <definedName name="__123Graph_AOPNETGRA" hidden="1">#REF!</definedName>
    <definedName name="__123Graph_APESO" hidden="1">#REF!</definedName>
    <definedName name="__123Graph_APROCEEDS" hidden="1">#REF!</definedName>
    <definedName name="__123Graph_ASALES" hidden="1">#REF!</definedName>
    <definedName name="__123Graph_ASALESMO" hidden="1">#REF!</definedName>
    <definedName name="__123Graph_ASALESTREND" localSheetId="10" hidden="1">#REF!</definedName>
    <definedName name="__123Graph_ASALESTREND" localSheetId="9" hidden="1">#REF!</definedName>
    <definedName name="__123Graph_ASALESTREND" localSheetId="8" hidden="1">#REF!</definedName>
    <definedName name="__123Graph_ASALESTREND" localSheetId="16" hidden="1">#REF!</definedName>
    <definedName name="__123Graph_ASALESTREND" hidden="1">#REF!</definedName>
    <definedName name="__123Graph_ASAPIP" localSheetId="10" hidden="1">#REF!</definedName>
    <definedName name="__123Graph_ASAPIP" localSheetId="9" hidden="1">#REF!</definedName>
    <definedName name="__123Graph_ASAPIP" localSheetId="8" hidden="1">#REF!</definedName>
    <definedName name="__123Graph_ASAPIP" localSheetId="16" hidden="1">#REF!</definedName>
    <definedName name="__123Graph_ASAPIP" hidden="1">#REF!</definedName>
    <definedName name="__123Graph_ASINGAPORE" hidden="1">#REF!</definedName>
    <definedName name="__123Graph_AST92" hidden="1">#REF!</definedName>
    <definedName name="__123Graph_AST94" hidden="1">#REF!</definedName>
    <definedName name="__123Graph_ASTGLOBE" hidden="1">#REF!</definedName>
    <definedName name="__123Graph_ATOTPIP" localSheetId="10" hidden="1">#REF!</definedName>
    <definedName name="__123Graph_ATOTPIP" localSheetId="9" hidden="1">#REF!</definedName>
    <definedName name="__123Graph_ATOTPIP" localSheetId="8" hidden="1">#REF!</definedName>
    <definedName name="__123Graph_ATOTPIP" localSheetId="16" hidden="1">#REF!</definedName>
    <definedName name="__123Graph_ATOTPIP" hidden="1">#REF!</definedName>
    <definedName name="__123Graph_ATURN" hidden="1">#REF!</definedName>
    <definedName name="__123Graph_AUK" hidden="1">#REF!</definedName>
    <definedName name="__123Graph_AUSPIP" localSheetId="10" hidden="1">#REF!</definedName>
    <definedName name="__123Graph_AUSPIP" localSheetId="9" hidden="1">#REF!</definedName>
    <definedName name="__123Graph_AUSPIP" localSheetId="8" hidden="1">#REF!</definedName>
    <definedName name="__123Graph_AUSPIP" localSheetId="16" hidden="1">#REF!</definedName>
    <definedName name="__123Graph_AUSPIP" hidden="1">#REF!</definedName>
    <definedName name="__123Graph_AYTDVar" hidden="1">#REF!</definedName>
    <definedName name="__123Graph_B" hidden="1">#REF!</definedName>
    <definedName name="__123Graph_BAPPIP" localSheetId="10" hidden="1">#REF!</definedName>
    <definedName name="__123Graph_BAPPIP" localSheetId="9" hidden="1">#REF!</definedName>
    <definedName name="__123Graph_BAPPIP" localSheetId="8" hidden="1">#REF!</definedName>
    <definedName name="__123Graph_BAPPIP" localSheetId="16" hidden="1">#REF!</definedName>
    <definedName name="__123Graph_BAPPIP" hidden="1">#REF!</definedName>
    <definedName name="__123Graph_BCANPIP" localSheetId="10" hidden="1">#REF!</definedName>
    <definedName name="__123Graph_BCANPIP" localSheetId="9" hidden="1">#REF!</definedName>
    <definedName name="__123Graph_BCANPIP" localSheetId="8" hidden="1">#REF!</definedName>
    <definedName name="__123Graph_BCANPIP" localSheetId="16" hidden="1">#REF!</definedName>
    <definedName name="__123Graph_BCANPIP" hidden="1">#REF!</definedName>
    <definedName name="__123Graph_BCHART1" localSheetId="10" hidden="1">#REF!</definedName>
    <definedName name="__123Graph_BCHART1" localSheetId="9" hidden="1">#REF!</definedName>
    <definedName name="__123Graph_BCHART1" localSheetId="8" hidden="1">#REF!</definedName>
    <definedName name="__123Graph_BCHART1" localSheetId="16" hidden="1">#REF!</definedName>
    <definedName name="__123Graph_BCHART1" hidden="1">#REF!</definedName>
    <definedName name="__123Graph_BChart10" hidden="1">#REF!</definedName>
    <definedName name="__123Graph_BChart11" hidden="1">#REF!</definedName>
    <definedName name="__123Graph_BCHART2" localSheetId="10" hidden="1">#REF!</definedName>
    <definedName name="__123Graph_BCHART2" localSheetId="9" hidden="1">#REF!</definedName>
    <definedName name="__123Graph_BCHART2" localSheetId="8" hidden="1">#REF!</definedName>
    <definedName name="__123Graph_BCHART2" localSheetId="16"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CURINV" hidden="1">#REF!</definedName>
    <definedName name="__123Graph_BCURRENT" localSheetId="10" hidden="1">#REF!</definedName>
    <definedName name="__123Graph_BCURRENT" localSheetId="9" hidden="1">#REF!</definedName>
    <definedName name="__123Graph_BCURRENT" localSheetId="8" hidden="1">#REF!</definedName>
    <definedName name="__123Graph_BCURRENT" localSheetId="16" hidden="1">#REF!</definedName>
    <definedName name="__123Graph_BCURRENT" hidden="1">#REF!</definedName>
    <definedName name="__123Graph_BDONAGRA" hidden="1">#REF!</definedName>
    <definedName name="__123Graph_BDONATMO" hidden="1">#REF!</definedName>
    <definedName name="__123Graph_BDS1" hidden="1">#REF!</definedName>
    <definedName name="__123Graph_BDS2" hidden="1">#REF!</definedName>
    <definedName name="__123Graph_BDS3" hidden="1">#REF!</definedName>
    <definedName name="__123Graph_BDS4" hidden="1">#REF!</definedName>
    <definedName name="__123Graph_BEURPIP" localSheetId="10" hidden="1">#REF!</definedName>
    <definedName name="__123Graph_BEURPIP" localSheetId="9" hidden="1">#REF!</definedName>
    <definedName name="__123Graph_BEURPIP" localSheetId="8" hidden="1">#REF!</definedName>
    <definedName name="__123Graph_BEURPIP" localSheetId="16" hidden="1">#REF!</definedName>
    <definedName name="__123Graph_BEURPIP" hidden="1">#REF!</definedName>
    <definedName name="__123Graph_BEXPPIP" localSheetId="10" hidden="1">#REF!</definedName>
    <definedName name="__123Graph_BEXPPIP" localSheetId="9" hidden="1">#REF!</definedName>
    <definedName name="__123Graph_BEXPPIP" localSheetId="8" hidden="1">#REF!</definedName>
    <definedName name="__123Graph_BEXPPIP" localSheetId="16" hidden="1">#REF!</definedName>
    <definedName name="__123Graph_BEXPPIP" hidden="1">#REF!</definedName>
    <definedName name="__123Graph_BGraph8" hidden="1">#REF!</definedName>
    <definedName name="__123Graph_BMEXPIP" localSheetId="10" hidden="1">#REF!</definedName>
    <definedName name="__123Graph_BMEXPIP" localSheetId="9" hidden="1">#REF!</definedName>
    <definedName name="__123Graph_BMEXPIP" localSheetId="8" hidden="1">#REF!</definedName>
    <definedName name="__123Graph_BMEXPIP" localSheetId="16" hidden="1">#REF!</definedName>
    <definedName name="__123Graph_BMEXPIP" hidden="1">#REF!</definedName>
    <definedName name="__123Graph_BNTINCMO" hidden="1">#REF!</definedName>
    <definedName name="__123Graph_BOPNETGRA" hidden="1">#REF!</definedName>
    <definedName name="__123Graph_BPRIORINV" hidden="1">#REF!</definedName>
    <definedName name="__123Graph_BPROCEEDS" hidden="1">#REF!</definedName>
    <definedName name="__123Graph_BSALES" hidden="1">#REF!</definedName>
    <definedName name="__123Graph_BSALESMO" hidden="1">#REF!</definedName>
    <definedName name="__123Graph_BSAPIP" localSheetId="10" hidden="1">#REF!</definedName>
    <definedName name="__123Graph_BSAPIP" localSheetId="9" hidden="1">#REF!</definedName>
    <definedName name="__123Graph_BSAPIP" localSheetId="8" hidden="1">#REF!</definedName>
    <definedName name="__123Graph_BSAPIP" localSheetId="16" hidden="1">#REF!</definedName>
    <definedName name="__123Graph_BSAPIP" hidden="1">#REF!</definedName>
    <definedName name="__123Graph_BST91" hidden="1">#REF!</definedName>
    <definedName name="__123Graph_BST92" hidden="1">#REF!</definedName>
    <definedName name="__123Graph_BST94" hidden="1">#REF!</definedName>
    <definedName name="__123Graph_BSTGLOBE" hidden="1">#REF!</definedName>
    <definedName name="__123Graph_BTOTPIP" localSheetId="10" hidden="1">#REF!</definedName>
    <definedName name="__123Graph_BTOTPIP" localSheetId="9" hidden="1">#REF!</definedName>
    <definedName name="__123Graph_BTOTPIP" localSheetId="8" hidden="1">#REF!</definedName>
    <definedName name="__123Graph_BTOTPIP" localSheetId="16" hidden="1">#REF!</definedName>
    <definedName name="__123Graph_BTOTPIP" hidden="1">#REF!</definedName>
    <definedName name="__123Graph_BTURN" hidden="1">#REF!</definedName>
    <definedName name="__123Graph_BUSPIP" localSheetId="10" hidden="1">#REF!</definedName>
    <definedName name="__123Graph_BUSPIP" localSheetId="9" hidden="1">#REF!</definedName>
    <definedName name="__123Graph_BUSPIP" localSheetId="8" hidden="1">#REF!</definedName>
    <definedName name="__123Graph_BUSPIP" localSheetId="16" hidden="1">#REF!</definedName>
    <definedName name="__123Graph_BUSPIP" hidden="1">#REF!</definedName>
    <definedName name="__123Graph_BYTDVar" hidden="1">#REF!</definedName>
    <definedName name="__123Graph_C" localSheetId="10" hidden="1">#REF!</definedName>
    <definedName name="__123Graph_C" localSheetId="9" hidden="1">#REF!</definedName>
    <definedName name="__123Graph_C" localSheetId="8" hidden="1">#REF!</definedName>
    <definedName name="__123Graph_C" localSheetId="16" hidden="1">#REF!</definedName>
    <definedName name="__123Graph_C" hidden="1">#REF!</definedName>
    <definedName name="__123Graph_CAPDSO" localSheetId="10" hidden="1">#REF!</definedName>
    <definedName name="__123Graph_CAPDSO" localSheetId="9" hidden="1">#REF!</definedName>
    <definedName name="__123Graph_CAPDSO" localSheetId="8" hidden="1">#REF!</definedName>
    <definedName name="__123Graph_CAPDSO" localSheetId="16" hidden="1">#REF!</definedName>
    <definedName name="__123Graph_CAPDSO" hidden="1">#REF!</definedName>
    <definedName name="__123Graph_CCANDSO" localSheetId="10" hidden="1">#REF!</definedName>
    <definedName name="__123Graph_CCANDSO" localSheetId="9" hidden="1">#REF!</definedName>
    <definedName name="__123Graph_CCANDSO" localSheetId="8" hidden="1">#REF!</definedName>
    <definedName name="__123Graph_CCANDSO" localSheetId="16" hidden="1">#REF!</definedName>
    <definedName name="__123Graph_CCANDSO" hidden="1">#REF!</definedName>
    <definedName name="__123Graph_CCHART1" localSheetId="10" hidden="1">#REF!</definedName>
    <definedName name="__123Graph_CCHART1" localSheetId="9" hidden="1">#REF!</definedName>
    <definedName name="__123Graph_CCHART1" localSheetId="8" hidden="1">#REF!</definedName>
    <definedName name="__123Graph_CCHART1" localSheetId="16" hidden="1">#REF!</definedName>
    <definedName name="__123Graph_CCHART1" hidden="1">#REF!</definedName>
    <definedName name="__123Graph_CChart10" hidden="1">#REF!</definedName>
    <definedName name="__123Graph_CChart11" hidden="1">#REF!</definedName>
    <definedName name="__123Graph_CCHART2" localSheetId="10" hidden="1">#REF!</definedName>
    <definedName name="__123Graph_CCHART2" localSheetId="9" hidden="1">#REF!</definedName>
    <definedName name="__123Graph_CCHART2" localSheetId="8" hidden="1">#REF!</definedName>
    <definedName name="__123Graph_CCHART2" localSheetId="16"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hart9"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URRENT" localSheetId="10" hidden="1">#REF!</definedName>
    <definedName name="__123Graph_CCURRENT" localSheetId="9" hidden="1">#REF!</definedName>
    <definedName name="__123Graph_CCURRENT" localSheetId="8" hidden="1">#REF!</definedName>
    <definedName name="__123Graph_CCURRENT" localSheetId="16" hidden="1">#REF!</definedName>
    <definedName name="__123Graph_CCURRENT" hidden="1">#REF!</definedName>
    <definedName name="__123Graph_CDONAGRA" hidden="1">#REF!</definedName>
    <definedName name="__123Graph_CDONATMO" hidden="1">#REF!</definedName>
    <definedName name="__123Graph_CDS2" hidden="1">#REF!</definedName>
    <definedName name="__123Graph_CDS3" hidden="1">#REF!</definedName>
    <definedName name="__123Graph_CEURDSO" localSheetId="10" hidden="1">#REF!</definedName>
    <definedName name="__123Graph_CEURDSO" localSheetId="9" hidden="1">#REF!</definedName>
    <definedName name="__123Graph_CEURDSO" localSheetId="8" hidden="1">#REF!</definedName>
    <definedName name="__123Graph_CEURDSO" localSheetId="16" hidden="1">#REF!</definedName>
    <definedName name="__123Graph_CEURDSO" hidden="1">#REF!</definedName>
    <definedName name="__123Graph_CEXPDSO" localSheetId="10" hidden="1">#REF!</definedName>
    <definedName name="__123Graph_CEXPDSO" localSheetId="9" hidden="1">#REF!</definedName>
    <definedName name="__123Graph_CEXPDSO" localSheetId="8" hidden="1">#REF!</definedName>
    <definedName name="__123Graph_CEXPDSO" localSheetId="16" hidden="1">#REF!</definedName>
    <definedName name="__123Graph_CEXPDSO" hidden="1">#REF!</definedName>
    <definedName name="__123Graph_CGraph8" hidden="1">#REF!</definedName>
    <definedName name="__123Graph_CMEXDSO" localSheetId="10" hidden="1">#REF!</definedName>
    <definedName name="__123Graph_CMEXDSO" localSheetId="9" hidden="1">#REF!</definedName>
    <definedName name="__123Graph_CMEXDSO" localSheetId="8" hidden="1">#REF!</definedName>
    <definedName name="__123Graph_CMEXDSO" localSheetId="16" hidden="1">#REF!</definedName>
    <definedName name="__123Graph_CMEXDSO" hidden="1">#REF!</definedName>
    <definedName name="__123Graph_CNTINCMO" hidden="1">#REF!</definedName>
    <definedName name="__123Graph_COPNETGRA" hidden="1">#REF!</definedName>
    <definedName name="__123Graph_CPROCEEDS" hidden="1">#REF!</definedName>
    <definedName name="__123Graph_CSADSO" localSheetId="10" hidden="1">#REF!</definedName>
    <definedName name="__123Graph_CSADSO" localSheetId="9" hidden="1">#REF!</definedName>
    <definedName name="__123Graph_CSADSO" localSheetId="8" hidden="1">#REF!</definedName>
    <definedName name="__123Graph_CSADSO" localSheetId="16" hidden="1">#REF!</definedName>
    <definedName name="__123Graph_CSADSO" hidden="1">#REF!</definedName>
    <definedName name="__123Graph_CSALES" hidden="1">#REF!</definedName>
    <definedName name="__123Graph_CSALESMO" hidden="1">#REF!</definedName>
    <definedName name="__123Graph_CST91" hidden="1">#REF!</definedName>
    <definedName name="__123Graph_CST92" hidden="1">#REF!</definedName>
    <definedName name="__123Graph_CST94" hidden="1">#REF!</definedName>
    <definedName name="__123Graph_CSTGLOBE" hidden="1">#REF!</definedName>
    <definedName name="__123Graph_CTOTDSO" localSheetId="10" hidden="1">#REF!</definedName>
    <definedName name="__123Graph_CTOTDSO" localSheetId="9" hidden="1">#REF!</definedName>
    <definedName name="__123Graph_CTOTDSO" localSheetId="8" hidden="1">#REF!</definedName>
    <definedName name="__123Graph_CTOTDSO" localSheetId="16" hidden="1">#REF!</definedName>
    <definedName name="__123Graph_CTOTDSO" hidden="1">#REF!</definedName>
    <definedName name="__123Graph_CUSDSO" localSheetId="10" hidden="1">#REF!</definedName>
    <definedName name="__123Graph_CUSDSO" localSheetId="9" hidden="1">#REF!</definedName>
    <definedName name="__123Graph_CUSDSO" localSheetId="8" hidden="1">#REF!</definedName>
    <definedName name="__123Graph_CUSDSO" localSheetId="16" hidden="1">#REF!</definedName>
    <definedName name="__123Graph_CUSDSO" hidden="1">#REF!</definedName>
    <definedName name="__123Graph_CYTDVar" hidden="1">#REF!</definedName>
    <definedName name="__123Graph_D" localSheetId="10" hidden="1">#REF!</definedName>
    <definedName name="__123Graph_D" localSheetId="9" hidden="1">#REF!</definedName>
    <definedName name="__123Graph_D" localSheetId="8" hidden="1">#REF!</definedName>
    <definedName name="__123Graph_D" localSheetId="16" hidden="1">#REF!</definedName>
    <definedName name="__123Graph_D" hidden="1">#REF!</definedName>
    <definedName name="__123Graph_DAPDSO" localSheetId="10" hidden="1">#REF!</definedName>
    <definedName name="__123Graph_DAPDSO" localSheetId="9" hidden="1">#REF!</definedName>
    <definedName name="__123Graph_DAPDSO" localSheetId="8" hidden="1">#REF!</definedName>
    <definedName name="__123Graph_DAPDSO" localSheetId="16" hidden="1">#REF!</definedName>
    <definedName name="__123Graph_DAPDSO" hidden="1">#REF!</definedName>
    <definedName name="__123Graph_DCANDSO" localSheetId="10" hidden="1">#REF!</definedName>
    <definedName name="__123Graph_DCANDSO" localSheetId="9" hidden="1">#REF!</definedName>
    <definedName name="__123Graph_DCANDSO" localSheetId="8" hidden="1">#REF!</definedName>
    <definedName name="__123Graph_DCANDSO" localSheetId="16" hidden="1">#REF!</definedName>
    <definedName name="__123Graph_DCANDSO" hidden="1">#REF!</definedName>
    <definedName name="__123Graph_DCHART1" localSheetId="10" hidden="1">#REF!</definedName>
    <definedName name="__123Graph_DCHART1" localSheetId="9" hidden="1">#REF!</definedName>
    <definedName name="__123Graph_DCHART1" localSheetId="8" hidden="1">#REF!</definedName>
    <definedName name="__123Graph_DCHART1" localSheetId="16" hidden="1">#REF!</definedName>
    <definedName name="__123Graph_DCHART1" hidden="1">#REF!</definedName>
    <definedName name="__123Graph_DChart10" hidden="1">#REF!</definedName>
    <definedName name="__123Graph_DChart11" hidden="1">#REF!</definedName>
    <definedName name="__123Graph_DCHART2" localSheetId="10" hidden="1">#REF!</definedName>
    <definedName name="__123Graph_DCHART2" localSheetId="9" hidden="1">#REF!</definedName>
    <definedName name="__123Graph_DCHART2" localSheetId="8" hidden="1">#REF!</definedName>
    <definedName name="__123Graph_DCHART2" localSheetId="16"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hart9" hidden="1">#REF!</definedName>
    <definedName name="__123Graph_DCOMP" hidden="1">#REF!</definedName>
    <definedName name="__123Graph_DCURRENT" localSheetId="10" hidden="1">#REF!</definedName>
    <definedName name="__123Graph_DCURRENT" localSheetId="9" hidden="1">#REF!</definedName>
    <definedName name="__123Graph_DCURRENT" localSheetId="8" hidden="1">#REF!</definedName>
    <definedName name="__123Graph_DCURRENT" localSheetId="16" hidden="1">#REF!</definedName>
    <definedName name="__123Graph_DCURRENT" hidden="1">#REF!</definedName>
    <definedName name="__123Graph_DEURDSO" localSheetId="10" hidden="1">#REF!</definedName>
    <definedName name="__123Graph_DEURDSO" localSheetId="9" hidden="1">#REF!</definedName>
    <definedName name="__123Graph_DEURDSO" localSheetId="8" hidden="1">#REF!</definedName>
    <definedName name="__123Graph_DEURDSO" localSheetId="16" hidden="1">#REF!</definedName>
    <definedName name="__123Graph_DEURDSO" hidden="1">#REF!</definedName>
    <definedName name="__123Graph_DEXPDSO" localSheetId="10" hidden="1">#REF!</definedName>
    <definedName name="__123Graph_DEXPDSO" localSheetId="9" hidden="1">#REF!</definedName>
    <definedName name="__123Graph_DEXPDSO" localSheetId="8" hidden="1">#REF!</definedName>
    <definedName name="__123Graph_DEXPDSO" localSheetId="16" hidden="1">#REF!</definedName>
    <definedName name="__123Graph_DEXPDSO" hidden="1">#REF!</definedName>
    <definedName name="__123Graph_DGraph8" hidden="1">#REF!</definedName>
    <definedName name="__123Graph_DMEXDSO" localSheetId="10" hidden="1">#REF!</definedName>
    <definedName name="__123Graph_DMEXDSO" localSheetId="9" hidden="1">#REF!</definedName>
    <definedName name="__123Graph_DMEXDSO" localSheetId="8" hidden="1">#REF!</definedName>
    <definedName name="__123Graph_DMEXDSO" localSheetId="16" hidden="1">#REF!</definedName>
    <definedName name="__123Graph_DMEXDSO" hidden="1">#REF!</definedName>
    <definedName name="__123Graph_DSADSO" localSheetId="10" hidden="1">#REF!</definedName>
    <definedName name="__123Graph_DSADSO" localSheetId="9" hidden="1">#REF!</definedName>
    <definedName name="__123Graph_DSADSO" localSheetId="8" hidden="1">#REF!</definedName>
    <definedName name="__123Graph_DSADSO" localSheetId="16" hidden="1">#REF!</definedName>
    <definedName name="__123Graph_DSADSO" hidden="1">#REF!</definedName>
    <definedName name="__123Graph_DST91" hidden="1">#REF!</definedName>
    <definedName name="__123Graph_DST92" hidden="1">#REF!</definedName>
    <definedName name="__123Graph_DST94" hidden="1">#REF!</definedName>
    <definedName name="__123Graph_DTOTDSO" localSheetId="10" hidden="1">#REF!</definedName>
    <definedName name="__123Graph_DTOTDSO" localSheetId="9" hidden="1">#REF!</definedName>
    <definedName name="__123Graph_DTOTDSO" localSheetId="8" hidden="1">#REF!</definedName>
    <definedName name="__123Graph_DTOTDSO" localSheetId="16" hidden="1">#REF!</definedName>
    <definedName name="__123Graph_DTOTDSO" hidden="1">#REF!</definedName>
    <definedName name="__123Graph_DUSDSO" localSheetId="10" hidden="1">#REF!</definedName>
    <definedName name="__123Graph_DUSDSO" localSheetId="9" hidden="1">#REF!</definedName>
    <definedName name="__123Graph_DUSDSO" localSheetId="8" hidden="1">#REF!</definedName>
    <definedName name="__123Graph_DUSDSO" localSheetId="16" hidden="1">#REF!</definedName>
    <definedName name="__123Graph_DUSDSO" hidden="1">#REF!</definedName>
    <definedName name="__123Graph_DYTDVar" hidden="1">#REF!</definedName>
    <definedName name="__123Graph_E" localSheetId="10" hidden="1">#REF!</definedName>
    <definedName name="__123Graph_E" localSheetId="9" hidden="1">#REF!</definedName>
    <definedName name="__123Graph_E" localSheetId="8" hidden="1">#REF!</definedName>
    <definedName name="__123Graph_E" localSheetId="16" hidden="1">#REF!</definedName>
    <definedName name="__123Graph_E" hidden="1">#REF!</definedName>
    <definedName name="__123Graph_ECHART1" localSheetId="10" hidden="1">#REF!</definedName>
    <definedName name="__123Graph_ECHART1" localSheetId="9" hidden="1">#REF!</definedName>
    <definedName name="__123Graph_ECHART1" localSheetId="8" hidden="1">#REF!</definedName>
    <definedName name="__123Graph_ECHART1" localSheetId="16" hidden="1">#REF!</definedName>
    <definedName name="__123Graph_ECHART1" hidden="1">#REF!</definedName>
    <definedName name="__123Graph_EChart10" hidden="1">#REF!</definedName>
    <definedName name="__123Graph_EChart11" hidden="1">#REF!</definedName>
    <definedName name="__123Graph_ECHART2" localSheetId="10" hidden="1">#REF!</definedName>
    <definedName name="__123Graph_ECHART2" localSheetId="9" hidden="1">#REF!</definedName>
    <definedName name="__123Graph_ECHART2" localSheetId="8" hidden="1">#REF!</definedName>
    <definedName name="__123Graph_ECHART2" localSheetId="16"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hart8" hidden="1">#REF!</definedName>
    <definedName name="__123Graph_EChart9" hidden="1">#REF!</definedName>
    <definedName name="__123Graph_ECOMP" hidden="1">#REF!</definedName>
    <definedName name="__123Graph_ECURRENT" localSheetId="10" hidden="1">#REF!</definedName>
    <definedName name="__123Graph_ECURRENT" localSheetId="9" hidden="1">#REF!</definedName>
    <definedName name="__123Graph_ECURRENT" localSheetId="8" hidden="1">#REF!</definedName>
    <definedName name="__123Graph_ECURRENT" localSheetId="16" hidden="1">#REF!</definedName>
    <definedName name="__123Graph_ECURRENT" hidden="1">#REF!</definedName>
    <definedName name="__123Graph_EST92" hidden="1">#REF!</definedName>
    <definedName name="__123Graph_EST94" hidden="1">#REF!</definedName>
    <definedName name="__123Graph_EYTDVar" hidden="1">#REF!</definedName>
    <definedName name="__123Graph_F" localSheetId="10" hidden="1">#REF!</definedName>
    <definedName name="__123Graph_F" localSheetId="9" hidden="1">#REF!</definedName>
    <definedName name="__123Graph_F" localSheetId="8" hidden="1">#REF!</definedName>
    <definedName name="__123Graph_F" localSheetId="16" hidden="1">#REF!</definedName>
    <definedName name="__123Graph_F" hidden="1">#REF!</definedName>
    <definedName name="__123Graph_FCHART1" localSheetId="10" hidden="1">#REF!</definedName>
    <definedName name="__123Graph_FCHART1" localSheetId="9" hidden="1">#REF!</definedName>
    <definedName name="__123Graph_FCHART1" localSheetId="8" hidden="1">#REF!</definedName>
    <definedName name="__123Graph_FCHART1" localSheetId="16" hidden="1">#REF!</definedName>
    <definedName name="__123Graph_FCHART1" hidden="1">#REF!</definedName>
    <definedName name="__123Graph_FChart10" hidden="1">#REF!</definedName>
    <definedName name="__123Graph_FChart11" hidden="1">#REF!</definedName>
    <definedName name="__123Graph_FCHART2" localSheetId="10" hidden="1">#REF!</definedName>
    <definedName name="__123Graph_FCHART2" localSheetId="9" hidden="1">#REF!</definedName>
    <definedName name="__123Graph_FCHART2" localSheetId="8" hidden="1">#REF!</definedName>
    <definedName name="__123Graph_FCHART2" localSheetId="16"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hart6" hidden="1">#REF!</definedName>
    <definedName name="__123Graph_FChart7" hidden="1">#REF!</definedName>
    <definedName name="__123Graph_FChart8" hidden="1">#REF!</definedName>
    <definedName name="__123Graph_FChart9" hidden="1">#REF!</definedName>
    <definedName name="__123Graph_FCURRENT" localSheetId="10" hidden="1">#REF!</definedName>
    <definedName name="__123Graph_FCURRENT" localSheetId="9" hidden="1">#REF!</definedName>
    <definedName name="__123Graph_FCURRENT" localSheetId="8" hidden="1">#REF!</definedName>
    <definedName name="__123Graph_FCURRENT" localSheetId="16" hidden="1">#REF!</definedName>
    <definedName name="__123Graph_FCURRENT" hidden="1">#REF!</definedName>
    <definedName name="__123GRAPH_G" hidden="1">#REF!</definedName>
    <definedName name="__123Graph_LBL_A" hidden="1">#REF!</definedName>
    <definedName name="__123Graph_LBL_ACOMP" hidden="1">#REF!</definedName>
    <definedName name="__123Graph_LBL_AHISTORY" hidden="1">#REF!</definedName>
    <definedName name="__123Graph_LBL_ASALESTREND" localSheetId="10" hidden="1">#REF!</definedName>
    <definedName name="__123Graph_LBL_ASALESTREND" localSheetId="9" hidden="1">#REF!</definedName>
    <definedName name="__123Graph_LBL_ASALESTREND" localSheetId="8" hidden="1">#REF!</definedName>
    <definedName name="__123Graph_LBL_ASALESTREND" localSheetId="16" hidden="1">#REF!</definedName>
    <definedName name="__123Graph_LBL_ASALESTREND"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LBL_F" hidden="1">#REF!</definedName>
    <definedName name="__123Graph_X" hidden="1">#REF!</definedName>
    <definedName name="__123Graph_X91" hidden="1">#REF!</definedName>
    <definedName name="__123Graph_XAPDSO" localSheetId="10" hidden="1">#REF!</definedName>
    <definedName name="__123Graph_XAPDSO" localSheetId="9" hidden="1">#REF!</definedName>
    <definedName name="__123Graph_XAPDSO" localSheetId="8" hidden="1">#REF!</definedName>
    <definedName name="__123Graph_XAPDSO" localSheetId="16" hidden="1">#REF!</definedName>
    <definedName name="__123Graph_XAPDSO" hidden="1">#REF!</definedName>
    <definedName name="__123Graph_XAPPIP" localSheetId="10" hidden="1">#REF!</definedName>
    <definedName name="__123Graph_XAPPIP" localSheetId="9" hidden="1">#REF!</definedName>
    <definedName name="__123Graph_XAPPIP" localSheetId="8" hidden="1">#REF!</definedName>
    <definedName name="__123Graph_XAPPIP" localSheetId="16" hidden="1">#REF!</definedName>
    <definedName name="__123Graph_XAPPIP" hidden="1">#REF!</definedName>
    <definedName name="__123Graph_XAUSTRALIA" hidden="1">#REF!</definedName>
    <definedName name="__123Graph_XCANADA" hidden="1">#REF!</definedName>
    <definedName name="__123Graph_XCANDSO" localSheetId="10" hidden="1">#REF!</definedName>
    <definedName name="__123Graph_XCANDSO" localSheetId="9" hidden="1">#REF!</definedName>
    <definedName name="__123Graph_XCANDSO" localSheetId="8" hidden="1">#REF!</definedName>
    <definedName name="__123Graph_XCANDSO" localSheetId="16" hidden="1">#REF!</definedName>
    <definedName name="__123Graph_XCANDSO" hidden="1">#REF!</definedName>
    <definedName name="__123Graph_XCANPIP" localSheetId="10" hidden="1">#REF!</definedName>
    <definedName name="__123Graph_XCANPIP" localSheetId="9" hidden="1">#REF!</definedName>
    <definedName name="__123Graph_XCANPIP" localSheetId="8" hidden="1">#REF!</definedName>
    <definedName name="__123Graph_XCANPIP" localSheetId="16" hidden="1">#REF!</definedName>
    <definedName name="__123Graph_XCANPIP" hidden="1">#REF!</definedName>
    <definedName name="__123Graph_XCHART1" localSheetId="10" hidden="1">#REF!</definedName>
    <definedName name="__123Graph_XCHART1" localSheetId="9" hidden="1">#REF!</definedName>
    <definedName name="__123Graph_XCHART1" localSheetId="8" hidden="1">#REF!</definedName>
    <definedName name="__123Graph_XCHART1" localSheetId="16" hidden="1">#REF!</definedName>
    <definedName name="__123Graph_XCHART1" hidden="1">#REF!</definedName>
    <definedName name="__123Graph_XChart10" hidden="1">#REF!</definedName>
    <definedName name="__123Graph_XChart11" hidden="1">#REF!</definedName>
    <definedName name="__123Graph_XCHART2" localSheetId="10" hidden="1">#REF!</definedName>
    <definedName name="__123Graph_XCHART2" localSheetId="9" hidden="1">#REF!</definedName>
    <definedName name="__123Graph_XCHART2" localSheetId="8" hidden="1">#REF!</definedName>
    <definedName name="__123Graph_XCHART2" localSheetId="16"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CURINV" hidden="1">#REF!</definedName>
    <definedName name="__123Graph_XCURRENT" localSheetId="10" hidden="1">#REF!</definedName>
    <definedName name="__123Graph_XCURRENT" localSheetId="9" hidden="1">#REF!</definedName>
    <definedName name="__123Graph_XCURRENT" localSheetId="8" hidden="1">#REF!</definedName>
    <definedName name="__123Graph_XCURRENT" localSheetId="16" hidden="1">#REF!</definedName>
    <definedName name="__123Graph_XCURRENT" hidden="1">#REF!</definedName>
    <definedName name="__123Graph_XDONAGRA" hidden="1">#REF!</definedName>
    <definedName name="__123Graph_XDONATMO" hidden="1">#REF!</definedName>
    <definedName name="__123Graph_XDS1" hidden="1">#REF!</definedName>
    <definedName name="__123Graph_XDS2" hidden="1">#REF!</definedName>
    <definedName name="__123Graph_XDS3" hidden="1">#REF!</definedName>
    <definedName name="__123Graph_XDS4" hidden="1">#REF!</definedName>
    <definedName name="__123Graph_XEURDSO" localSheetId="10" hidden="1">#REF!</definedName>
    <definedName name="__123Graph_XEURDSO" localSheetId="9" hidden="1">#REF!</definedName>
    <definedName name="__123Graph_XEURDSO" localSheetId="8" hidden="1">#REF!</definedName>
    <definedName name="__123Graph_XEURDSO" localSheetId="16" hidden="1">#REF!</definedName>
    <definedName name="__123Graph_XEURDSO" hidden="1">#REF!</definedName>
    <definedName name="__123Graph_XEURPIP" localSheetId="10" hidden="1">#REF!</definedName>
    <definedName name="__123Graph_XEURPIP" localSheetId="9" hidden="1">#REF!</definedName>
    <definedName name="__123Graph_XEURPIP" localSheetId="8" hidden="1">#REF!</definedName>
    <definedName name="__123Graph_XEURPIP" localSheetId="16" hidden="1">#REF!</definedName>
    <definedName name="__123Graph_XEURPIP" hidden="1">#REF!</definedName>
    <definedName name="__123Graph_XEXPDSO" localSheetId="10" hidden="1">#REF!</definedName>
    <definedName name="__123Graph_XEXPDSO" localSheetId="9" hidden="1">#REF!</definedName>
    <definedName name="__123Graph_XEXPDSO" localSheetId="8" hidden="1">#REF!</definedName>
    <definedName name="__123Graph_XEXPDSO" localSheetId="16" hidden="1">#REF!</definedName>
    <definedName name="__123Graph_XEXPDSO" hidden="1">#REF!</definedName>
    <definedName name="__123Graph_XEXPPIP" localSheetId="10" hidden="1">#REF!</definedName>
    <definedName name="__123Graph_XEXPPIP" localSheetId="9" hidden="1">#REF!</definedName>
    <definedName name="__123Graph_XEXPPIP" localSheetId="8" hidden="1">#REF!</definedName>
    <definedName name="__123Graph_XEXPPIP" localSheetId="16" hidden="1">#REF!</definedName>
    <definedName name="__123Graph_XEXPPIP" hidden="1">#REF!</definedName>
    <definedName name="__123Graph_XFRANCE"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UILDER" hidden="1">#REF!</definedName>
    <definedName name="__123Graph_XHISTORY" hidden="1">#REF!</definedName>
    <definedName name="__123Graph_XJAPAN" hidden="1">#REF!</definedName>
    <definedName name="__123Graph_XMARK" hidden="1">#REF!</definedName>
    <definedName name="__123Graph_XMEXDSO" localSheetId="10" hidden="1">#REF!</definedName>
    <definedName name="__123Graph_XMEXDSO" localSheetId="9" hidden="1">#REF!</definedName>
    <definedName name="__123Graph_XMEXDSO" localSheetId="8" hidden="1">#REF!</definedName>
    <definedName name="__123Graph_XMEXDSO" localSheetId="16" hidden="1">#REF!</definedName>
    <definedName name="__123Graph_XMEXDSO" hidden="1">#REF!</definedName>
    <definedName name="__123Graph_XMEXPIP" localSheetId="10" hidden="1">#REF!</definedName>
    <definedName name="__123Graph_XMEXPIP" localSheetId="9" hidden="1">#REF!</definedName>
    <definedName name="__123Graph_XMEXPIP" localSheetId="8" hidden="1">#REF!</definedName>
    <definedName name="__123Graph_XMEXPIP" localSheetId="16" hidden="1">#REF!</definedName>
    <definedName name="__123Graph_XMEXPIP" hidden="1">#REF!</definedName>
    <definedName name="__123Graph_XNTINCMO" hidden="1">#REF!</definedName>
    <definedName name="__123Graph_XOPNETGRA" hidden="1">#REF!</definedName>
    <definedName name="__123Graph_XPESO" hidden="1">#REF!</definedName>
    <definedName name="__123Graph_XPRIORINV" hidden="1">#REF!</definedName>
    <definedName name="__123Graph_XPROCEEDS" hidden="1">#REF!</definedName>
    <definedName name="__123Graph_XSADSO" localSheetId="10" hidden="1">#REF!</definedName>
    <definedName name="__123Graph_XSADSO" localSheetId="9" hidden="1">#REF!</definedName>
    <definedName name="__123Graph_XSADSO" localSheetId="8" hidden="1">#REF!</definedName>
    <definedName name="__123Graph_XSADSO" localSheetId="16" hidden="1">#REF!</definedName>
    <definedName name="__123Graph_XSADSO" hidden="1">#REF!</definedName>
    <definedName name="__123Graph_XSALES" hidden="1">#REF!</definedName>
    <definedName name="__123Graph_XSALESMO" hidden="1">#REF!</definedName>
    <definedName name="__123Graph_XSALESTREND" localSheetId="10" hidden="1">#REF!</definedName>
    <definedName name="__123Graph_XSALESTREND" localSheetId="9" hidden="1">#REF!</definedName>
    <definedName name="__123Graph_XSALESTREND" localSheetId="8" hidden="1">#REF!</definedName>
    <definedName name="__123Graph_XSALESTREND" localSheetId="16" hidden="1">#REF!</definedName>
    <definedName name="__123Graph_XSALESTREND" hidden="1">#REF!</definedName>
    <definedName name="__123Graph_XSAPIP" localSheetId="10" hidden="1">#REF!</definedName>
    <definedName name="__123Graph_XSAPIP" localSheetId="9" hidden="1">#REF!</definedName>
    <definedName name="__123Graph_XSAPIP" localSheetId="8" hidden="1">#REF!</definedName>
    <definedName name="__123Graph_XSAPIP" localSheetId="16" hidden="1">#REF!</definedName>
    <definedName name="__123Graph_XSAPIP" hidden="1">#REF!</definedName>
    <definedName name="__123Graph_XSINGAPORE" hidden="1">#REF!</definedName>
    <definedName name="__123Graph_XST91" hidden="1">#REF!</definedName>
    <definedName name="__123Graph_XST92" hidden="1">#REF!</definedName>
    <definedName name="__123Graph_XST94" hidden="1">#REF!</definedName>
    <definedName name="__123Graph_XSTGLOBE" hidden="1">#REF!</definedName>
    <definedName name="__123Graph_XTOTDSO" localSheetId="10" hidden="1">#REF!</definedName>
    <definedName name="__123Graph_XTOTDSO" localSheetId="9" hidden="1">#REF!</definedName>
    <definedName name="__123Graph_XTOTDSO" localSheetId="8" hidden="1">#REF!</definedName>
    <definedName name="__123Graph_XTOTDSO" localSheetId="16" hidden="1">#REF!</definedName>
    <definedName name="__123Graph_XTOTDSO" hidden="1">#REF!</definedName>
    <definedName name="__123Graph_XTOTPIP" localSheetId="10" hidden="1">#REF!</definedName>
    <definedName name="__123Graph_XTOTPIP" localSheetId="9" hidden="1">#REF!</definedName>
    <definedName name="__123Graph_XTOTPIP" localSheetId="8" hidden="1">#REF!</definedName>
    <definedName name="__123Graph_XTOTPIP" localSheetId="16" hidden="1">#REF!</definedName>
    <definedName name="__123Graph_XTOTPIP" hidden="1">#REF!</definedName>
    <definedName name="__123Graph_XTURN" hidden="1">#REF!</definedName>
    <definedName name="__123Graph_XUK" hidden="1">#REF!</definedName>
    <definedName name="__123Graph_XUSDSO" localSheetId="10" hidden="1">#REF!</definedName>
    <definedName name="__123Graph_XUSDSO" localSheetId="9" hidden="1">#REF!</definedName>
    <definedName name="__123Graph_XUSDSO" localSheetId="8" hidden="1">#REF!</definedName>
    <definedName name="__123Graph_XUSDSO" localSheetId="16" hidden="1">#REF!</definedName>
    <definedName name="__123Graph_XUSDSO" hidden="1">#REF!</definedName>
    <definedName name="__123Graph_XUSPIP" localSheetId="10" hidden="1">#REF!</definedName>
    <definedName name="__123Graph_XUSPIP" localSheetId="9" hidden="1">#REF!</definedName>
    <definedName name="__123Graph_XUSPIP" localSheetId="8" hidden="1">#REF!</definedName>
    <definedName name="__123Graph_XUSPIP" localSheetId="16" hidden="1">#REF!</definedName>
    <definedName name="__123Graph_XUSPIP" hidden="1">#REF!</definedName>
    <definedName name="__123Graph_XYTDVar" hidden="1">#REF!</definedName>
    <definedName name="__123Grph_B" hidden="1">#REF!</definedName>
    <definedName name="__124_____123Graph_ECHART_3" hidden="1">#REF!</definedName>
    <definedName name="__125_____123Graph_ECHART_4" hidden="1">#REF!</definedName>
    <definedName name="__126_____123Graph_ECHART_5" hidden="1">#REF!</definedName>
    <definedName name="__127_____123Graph_ECHART_6" hidden="1">#REF!</definedName>
    <definedName name="__128_____123Graph_ECHART_7" hidden="1">#REF!</definedName>
    <definedName name="__129_____123Graph_ECHART_8" hidden="1">#REF!</definedName>
    <definedName name="__13______123Graph_ACHART_4" hidden="1">#REF!</definedName>
    <definedName name="__13__123Graph_ACHART_4" hidden="1">#REF!</definedName>
    <definedName name="__13__123Graph_DCHART_2" hidden="1">#REF!</definedName>
    <definedName name="__130_____123Graph_FCHART_1" hidden="1">#REF!</definedName>
    <definedName name="__131_____123Graph_FCHART_2" hidden="1">#REF!</definedName>
    <definedName name="__132_____123Graph_FCHART_3" hidden="1">#REF!</definedName>
    <definedName name="__133_____123Graph_FCHART_4" hidden="1">#REF!</definedName>
    <definedName name="__134_____123Graph_FCHART_6" hidden="1">#REF!</definedName>
    <definedName name="__135_____123Graph_FCHART_7" hidden="1">#REF!</definedName>
    <definedName name="__136_____123Graph_FCHART_8" hidden="1">#REF!</definedName>
    <definedName name="__137_____123Graph_XCHART_1" hidden="1">#REF!</definedName>
    <definedName name="__138_____123Graph_XCHART_10" hidden="1">#REF!</definedName>
    <definedName name="__139_____123Graph_XCHART_11" hidden="1">#REF!</definedName>
    <definedName name="__14______123Graph_ACHART_5" hidden="1">#REF!</definedName>
    <definedName name="__14__123Graph_ACHART_5" hidden="1">#REF!</definedName>
    <definedName name="__14__123Graph_DCHART_3" hidden="1">#REF!</definedName>
    <definedName name="__140_____123Graph_XCHART_12" hidden="1">#REF!</definedName>
    <definedName name="__141_____123Graph_XCHART_13" hidden="1">#REF!</definedName>
    <definedName name="__142_____123Graph_XCHART_14" hidden="1">#REF!</definedName>
    <definedName name="__143_____123Graph_XCHART_15" hidden="1">#REF!</definedName>
    <definedName name="__144_____123Graph_XCHART_16" hidden="1">#REF!</definedName>
    <definedName name="__145_____123Graph_XCHART_17" hidden="1">#REF!</definedName>
    <definedName name="__146_____123Graph_XCHART_18" hidden="1">#REF!</definedName>
    <definedName name="__147_____123Graph_XCHART_2" hidden="1">#REF!</definedName>
    <definedName name="__148_____123Graph_XCHART_3" hidden="1">#REF!</definedName>
    <definedName name="__149_____123Graph_XCHART_4" hidden="1">#REF!</definedName>
    <definedName name="__15______123Graph_ACHART_6" hidden="1">#REF!</definedName>
    <definedName name="__15__123Graph_ACHART_6" hidden="1">#REF!</definedName>
    <definedName name="__15__123Graph_DCHART_4" hidden="1">#REF!</definedName>
    <definedName name="__150_____123Graph_XCHART_5" hidden="1">#REF!</definedName>
    <definedName name="__151_____123Graph_XCHART_6" hidden="1">#REF!</definedName>
    <definedName name="__152_____123Graph_XCHART_7" hidden="1">#REF!</definedName>
    <definedName name="__153_____123Graph_XCHART_8" hidden="1">#REF!</definedName>
    <definedName name="__154_____123Graph_XCHART_9" hidden="1">#REF!</definedName>
    <definedName name="__155____123Graph_ACHART_1" hidden="1">#REF!</definedName>
    <definedName name="__156____123Graph_ACHART_10" hidden="1">#REF!</definedName>
    <definedName name="__157____123Graph_ACHART_11" hidden="1">#REF!</definedName>
    <definedName name="__158____123Graph_ACHART_12" hidden="1">#REF!</definedName>
    <definedName name="__159____123Graph_ACHART_13" hidden="1">#REF!</definedName>
    <definedName name="__16______123Graph_ACHART_7" hidden="1">#REF!</definedName>
    <definedName name="__16__123Graph_ACHART_7" hidden="1">#REF!</definedName>
    <definedName name="__16__123Graph_DCHART_5" hidden="1">#REF!</definedName>
    <definedName name="__160____123Graph_ACHART_14" hidden="1">#REF!</definedName>
    <definedName name="__161____123Graph_ACHART_15" hidden="1">#REF!</definedName>
    <definedName name="__162____123Graph_ACHART_16" hidden="1">#REF!</definedName>
    <definedName name="__163____123Graph_ACHART_17" hidden="1">#REF!</definedName>
    <definedName name="__164____123Graph_ACHART_18" hidden="1">#REF!</definedName>
    <definedName name="__165____123Graph_ACHART_2" hidden="1">#REF!</definedName>
    <definedName name="__166____123Graph_ACHART_3" hidden="1">#REF!</definedName>
    <definedName name="__167____123Graph_ACHART_4" hidden="1">#REF!</definedName>
    <definedName name="__168____123Graph_ACHART_5" hidden="1">#REF!</definedName>
    <definedName name="__169____123Graph_ACHART_6" hidden="1">#REF!</definedName>
    <definedName name="__17______123Graph_ACHART_8" hidden="1">#REF!</definedName>
    <definedName name="__17__123Graph_ACHART_8" hidden="1">#REF!</definedName>
    <definedName name="__17__123Graph_ECHART_2" hidden="1">#REF!</definedName>
    <definedName name="__170____123Graph_ACHART_7" hidden="1">#REF!</definedName>
    <definedName name="__171____123Graph_ACHART_8" hidden="1">#REF!</definedName>
    <definedName name="__172____123Graph_ACHART_9" hidden="1">#REF!</definedName>
    <definedName name="__173____123Graph_BCHART_1" hidden="1">#REF!</definedName>
    <definedName name="__174____123Graph_BCHART_17" hidden="1">#REF!</definedName>
    <definedName name="__175____123Graph_BCHART_18" hidden="1">#REF!</definedName>
    <definedName name="__176____123Graph_BCHART_2" hidden="1">#REF!</definedName>
    <definedName name="__177____123Graph_BCHART_3" hidden="1">#REF!</definedName>
    <definedName name="__178____123Graph_BCHART_4" hidden="1">#REF!</definedName>
    <definedName name="__179____123Graph_BCHART_5" hidden="1">#REF!</definedName>
    <definedName name="__18______123Graph_ACHART_9" hidden="1">#REF!</definedName>
    <definedName name="__18__123Graph_ACHART_9" hidden="1">#REF!</definedName>
    <definedName name="__18__123Graph_ECHART_3" hidden="1">#REF!</definedName>
    <definedName name="__180____123Graph_BCHART_6" hidden="1">#REF!</definedName>
    <definedName name="__181____123Graph_BCHART_7" hidden="1">#REF!</definedName>
    <definedName name="__182____123Graph_BCHART_8" hidden="1">#REF!</definedName>
    <definedName name="__183____123Graph_CCHART_1" hidden="1">#REF!</definedName>
    <definedName name="__184____123Graph_CCHART_2" hidden="1">#REF!</definedName>
    <definedName name="__185____123Graph_CCHART_3" hidden="1">#REF!</definedName>
    <definedName name="__186____123Graph_CCHART_4" hidden="1">#REF!</definedName>
    <definedName name="__187____123Graph_CCHART_5" hidden="1">#REF!</definedName>
    <definedName name="__188____123Graph_CCHART_6" hidden="1">#REF!</definedName>
    <definedName name="__189____123Graph_CCHART_7" hidden="1">#REF!</definedName>
    <definedName name="__19______123Graph_BCHART_1" hidden="1">#REF!</definedName>
    <definedName name="__19__123Graph_BCHART_1" hidden="1">#REF!</definedName>
    <definedName name="__19__123Graph_ECHART_4" hidden="1">#REF!</definedName>
    <definedName name="__190____123Graph_CCHART_8" hidden="1">#REF!</definedName>
    <definedName name="__191____123Graph_DCHART_1" hidden="1">#REF!</definedName>
    <definedName name="__192____123Graph_DCHART_2" hidden="1">#REF!</definedName>
    <definedName name="__193____123Graph_DCHART_3" hidden="1">#REF!</definedName>
    <definedName name="__194____123Graph_DCHART_4" hidden="1">#REF!</definedName>
    <definedName name="__195____123Graph_DCHART_5" hidden="1">#REF!</definedName>
    <definedName name="__196____123Graph_DCHART_6" hidden="1">#REF!</definedName>
    <definedName name="__197____123Graph_DCHART_7" hidden="1">#REF!</definedName>
    <definedName name="__198____123Graph_DCHART_8" hidden="1">#REF!</definedName>
    <definedName name="__199____123Graph_ECHART_1" hidden="1">#REF!</definedName>
    <definedName name="__2______123Graph_ACHART_10" hidden="1">#REF!</definedName>
    <definedName name="__2__123Graph_ACHART_10" hidden="1">#REF!</definedName>
    <definedName name="__2__123Graph_ACHART_3" hidden="1">#REF!</definedName>
    <definedName name="__20______123Graph_BCHART_17" hidden="1">#REF!</definedName>
    <definedName name="__20__123Graph_BCHART_17" hidden="1">#REF!</definedName>
    <definedName name="__20__123Graph_ECHART_5" hidden="1">#REF!</definedName>
    <definedName name="__200____123Graph_ECHART_2" hidden="1">#REF!</definedName>
    <definedName name="__201____123Graph_ECHART_3" hidden="1">#REF!</definedName>
    <definedName name="__202____123Graph_ECHART_4" hidden="1">#REF!</definedName>
    <definedName name="__203____123Graph_ECHART_5" hidden="1">#REF!</definedName>
    <definedName name="__204____123Graph_ECHART_6" hidden="1">#REF!</definedName>
    <definedName name="__205____123Graph_ECHART_7" hidden="1">#REF!</definedName>
    <definedName name="__206____123Graph_ECHART_8" hidden="1">#REF!</definedName>
    <definedName name="__207____123Graph_FCHART_1" hidden="1">#REF!</definedName>
    <definedName name="__208____123Graph_FCHART_2" hidden="1">#REF!</definedName>
    <definedName name="__209____123Graph_FCHART_3" hidden="1">#REF!</definedName>
    <definedName name="__21______123Graph_BCHART_18" hidden="1">#REF!</definedName>
    <definedName name="__21__123Graph_BCHART_18" hidden="1">#REF!</definedName>
    <definedName name="__21__123Graph_FCHART_2" hidden="1">#REF!</definedName>
    <definedName name="__210____123Graph_FCHART_4" hidden="1">#REF!</definedName>
    <definedName name="__211____123Graph_FCHART_6" hidden="1">#REF!</definedName>
    <definedName name="__212____123Graph_FCHART_7" hidden="1">#REF!</definedName>
    <definedName name="__213____123Graph_FCHART_8" hidden="1">#REF!</definedName>
    <definedName name="__214____123Graph_XCHART_1" hidden="1">#REF!</definedName>
    <definedName name="__215____123Graph_XCHART_10" hidden="1">#REF!</definedName>
    <definedName name="__216____123Graph_XCHART_11" hidden="1">#REF!</definedName>
    <definedName name="__217____123Graph_XCHART_12" hidden="1">#REF!</definedName>
    <definedName name="__218____123Graph_XCHART_13" hidden="1">#REF!</definedName>
    <definedName name="__219____123Graph_XCHART_14" hidden="1">#REF!</definedName>
    <definedName name="__22______123Graph_BCHART_2" hidden="1">#REF!</definedName>
    <definedName name="__22__123Graph_BCHART_2" hidden="1">#REF!</definedName>
    <definedName name="__22__123Graph_FCHART_3" hidden="1">#REF!</definedName>
    <definedName name="__220____123Graph_XCHART_15" hidden="1">#REF!</definedName>
    <definedName name="__221____123Graph_XCHART_16" hidden="1">#REF!</definedName>
    <definedName name="__222____123Graph_XCHART_17" hidden="1">#REF!</definedName>
    <definedName name="__223____123Graph_XCHART_18" hidden="1">#REF!</definedName>
    <definedName name="__224____123Graph_XCHART_2" hidden="1">#REF!</definedName>
    <definedName name="__225____123Graph_XCHART_3" hidden="1">#REF!</definedName>
    <definedName name="__226____123Graph_XCHART_4" hidden="1">#REF!</definedName>
    <definedName name="__227____123Graph_XCHART_5" hidden="1">#REF!</definedName>
    <definedName name="__228____123Graph_XCHART_6" hidden="1">#REF!</definedName>
    <definedName name="__229____123Graph_XCHART_7" hidden="1">#REF!</definedName>
    <definedName name="__23______123Graph_BCHART_3" hidden="1">#REF!</definedName>
    <definedName name="__23__123Graph_BCHART_3" hidden="1">#REF!</definedName>
    <definedName name="__23__123Graph_FCHART_4" hidden="1">#REF!</definedName>
    <definedName name="__230____123Graph_XCHART_8" hidden="1">#REF!</definedName>
    <definedName name="__231____123Graph_XCHART_9" hidden="1">#REF!</definedName>
    <definedName name="__232___123Graph_ACHART_1" hidden="1">#REF!</definedName>
    <definedName name="__233___123Graph_ACHART_10" hidden="1">#REF!</definedName>
    <definedName name="__234___123Graph_ACHART_11" hidden="1">#REF!</definedName>
    <definedName name="__235___123Graph_ACHART_12" hidden="1">#REF!</definedName>
    <definedName name="__236___123Graph_ACHART_13" hidden="1">#REF!</definedName>
    <definedName name="__237___123Graph_ACHART_14" hidden="1">#REF!</definedName>
    <definedName name="__238___123Graph_ACHART_15" hidden="1">#REF!</definedName>
    <definedName name="__239___123Graph_ACHART_16" hidden="1">#REF!</definedName>
    <definedName name="__24______123Graph_BCHART_4" hidden="1">#REF!</definedName>
    <definedName name="__24__123Graph_BCHART_4" hidden="1">#REF!</definedName>
    <definedName name="__24__123Graph_FCHART_5" hidden="1">#REF!</definedName>
    <definedName name="__240___123Graph_ACHART_17" hidden="1">#REF!</definedName>
    <definedName name="__241___123Graph_ACHART_18" hidden="1">#REF!</definedName>
    <definedName name="__242___123Graph_ACHART_2" hidden="1">#REF!</definedName>
    <definedName name="__243___123Graph_ACHART_3" hidden="1">#REF!</definedName>
    <definedName name="__244___123Graph_ACHART_4" hidden="1">#REF!</definedName>
    <definedName name="__245___123Graph_ACHART_5" hidden="1">#REF!</definedName>
    <definedName name="__246___123Graph_ACHART_6" hidden="1">#REF!</definedName>
    <definedName name="__247___123Graph_ACHART_7" hidden="1">#REF!</definedName>
    <definedName name="__248___123Graph_ACHART_8" hidden="1">#REF!</definedName>
    <definedName name="__249___123Graph_ACHART_9" hidden="1">#REF!</definedName>
    <definedName name="__25______123Graph_BCHART_5" hidden="1">#REF!</definedName>
    <definedName name="__25__123Graph_BCHART_5" hidden="1">#REF!</definedName>
    <definedName name="__250___123Graph_BCHART_1" hidden="1">#REF!</definedName>
    <definedName name="__251___123Graph_BCHART_17" hidden="1">#REF!</definedName>
    <definedName name="__252___123Graph_BCHART_18" hidden="1">#REF!</definedName>
    <definedName name="__253___123Graph_BCHART_2" hidden="1">#REF!</definedName>
    <definedName name="__254___123Graph_BCHART_3" hidden="1">#REF!</definedName>
    <definedName name="__255___123Graph_BCHART_4" hidden="1">#REF!</definedName>
    <definedName name="__256___123Graph_BCHART_5" hidden="1">#REF!</definedName>
    <definedName name="__257___123Graph_BCHART_6" hidden="1">#REF!</definedName>
    <definedName name="__258___123Graph_BCHART_7" hidden="1">#REF!</definedName>
    <definedName name="__259___123Graph_BCHART_8" hidden="1">#REF!</definedName>
    <definedName name="__26______123Graph_BCHART_6" hidden="1">#REF!</definedName>
    <definedName name="__26__123Graph_BCHART_6" hidden="1">#REF!</definedName>
    <definedName name="__260___123Graph_CCHART_1" hidden="1">#REF!</definedName>
    <definedName name="__261___123Graph_CCHART_2" hidden="1">#REF!</definedName>
    <definedName name="__262___123Graph_CCHART_3" hidden="1">#REF!</definedName>
    <definedName name="__263___123Graph_CCHART_4" hidden="1">#REF!</definedName>
    <definedName name="__264___123Graph_CCHART_5" hidden="1">#REF!</definedName>
    <definedName name="__265___123Graph_CCHART_6" hidden="1">#REF!</definedName>
    <definedName name="__266___123Graph_CCHART_7" hidden="1">#REF!</definedName>
    <definedName name="__267___123Graph_CCHART_8" hidden="1">#REF!</definedName>
    <definedName name="__268___123Graph_DCHART_1" hidden="1">#REF!</definedName>
    <definedName name="__269___123Graph_DCHART_2" hidden="1">#REF!</definedName>
    <definedName name="__27______123Graph_BCHART_7" hidden="1">#REF!</definedName>
    <definedName name="__27__123Graph_BCHART_7" hidden="1">#REF!</definedName>
    <definedName name="__270___123Graph_DCHART_3" hidden="1">#REF!</definedName>
    <definedName name="__271___123Graph_DCHART_4" hidden="1">#REF!</definedName>
    <definedName name="__272___123Graph_DCHART_5" hidden="1">#REF!</definedName>
    <definedName name="__273___123Graph_DCHART_6" hidden="1">#REF!</definedName>
    <definedName name="__274___123Graph_DCHART_7" hidden="1">#REF!</definedName>
    <definedName name="__275___123Graph_DCHART_8" hidden="1">#REF!</definedName>
    <definedName name="__276___123Graph_ECHART_1" hidden="1">#REF!</definedName>
    <definedName name="__277___123Graph_ECHART_2" hidden="1">#REF!</definedName>
    <definedName name="__278___123Graph_ECHART_3" hidden="1">#REF!</definedName>
    <definedName name="__279___123Graph_ECHART_4" hidden="1">#REF!</definedName>
    <definedName name="__28______123Graph_BCHART_8" hidden="1">#REF!</definedName>
    <definedName name="__28__123Graph_BCHART_8" hidden="1">#REF!</definedName>
    <definedName name="__280___123Graph_ECHART_5" hidden="1">#REF!</definedName>
    <definedName name="__281___123Graph_ECHART_6" hidden="1">#REF!</definedName>
    <definedName name="__282___123Graph_ECHART_7" hidden="1">#REF!</definedName>
    <definedName name="__283___123Graph_ECHART_8" hidden="1">#REF!</definedName>
    <definedName name="__284___123Graph_FCHART_1" hidden="1">#REF!</definedName>
    <definedName name="__285___123Graph_FCHART_2" hidden="1">#REF!</definedName>
    <definedName name="__286___123Graph_FCHART_3" hidden="1">#REF!</definedName>
    <definedName name="__287___123Graph_FCHART_4" hidden="1">#REF!</definedName>
    <definedName name="__288___123Graph_FCHART_6" hidden="1">#REF!</definedName>
    <definedName name="__289___123Graph_FCHART_7" hidden="1">#REF!</definedName>
    <definedName name="__29______123Graph_CCHART_1" hidden="1">#REF!</definedName>
    <definedName name="__29__123Graph_CCHART_1" hidden="1">#REF!</definedName>
    <definedName name="__290___123Graph_FCHART_8" hidden="1">#REF!</definedName>
    <definedName name="__291___123Graph_XCHART_1" hidden="1">#REF!</definedName>
    <definedName name="__292___123Graph_XCHART_10" hidden="1">#REF!</definedName>
    <definedName name="__293___123Graph_XCHART_11" hidden="1">#REF!</definedName>
    <definedName name="__294___123Graph_XCHART_12" hidden="1">#REF!</definedName>
    <definedName name="__295___123Graph_XCHART_13" hidden="1">#REF!</definedName>
    <definedName name="__296___123Graph_XCHART_14" hidden="1">#REF!</definedName>
    <definedName name="__297___123Graph_XCHART_15" hidden="1">#REF!</definedName>
    <definedName name="__298___123Graph_XCHART_16" hidden="1">#REF!</definedName>
    <definedName name="__299___123Graph_XCHART_17" hidden="1">#REF!</definedName>
    <definedName name="__3______123Graph_ACHART_11" hidden="1">#REF!</definedName>
    <definedName name="__3__123Graph_ACHART_11" hidden="1">#REF!</definedName>
    <definedName name="__3__123Graph_ACHART_4" hidden="1">#REF!</definedName>
    <definedName name="__30______123Graph_CCHART_2" hidden="1">#REF!</definedName>
    <definedName name="__30__123Graph_CCHART_2" hidden="1">#REF!</definedName>
    <definedName name="__300___123Graph_XCHART_18" hidden="1">#REF!</definedName>
    <definedName name="__301___123Graph_XCHART_2" hidden="1">#REF!</definedName>
    <definedName name="__302___123Graph_XCHART_3" hidden="1">#REF!</definedName>
    <definedName name="__303___123Graph_XCHART_4" hidden="1">#REF!</definedName>
    <definedName name="__304___123Graph_XCHART_5" hidden="1">#REF!</definedName>
    <definedName name="__305___123Graph_XCHART_6" hidden="1">#REF!</definedName>
    <definedName name="__306___123Graph_XCHART_7" hidden="1">#REF!</definedName>
    <definedName name="__307___123Graph_XCHART_8" hidden="1">#REF!</definedName>
    <definedName name="__308___123Graph_XCHART_9" hidden="1">#REF!</definedName>
    <definedName name="__309__123Graph_ACHART_1" hidden="1">#REF!</definedName>
    <definedName name="__31______123Graph_CCHART_3" hidden="1">#REF!</definedName>
    <definedName name="__31__123Graph_CCHART_3" hidden="1">#REF!</definedName>
    <definedName name="__310__123Graph_ACHART_10" hidden="1">#REF!</definedName>
    <definedName name="__311__123Graph_ACHART_11" hidden="1">#REF!</definedName>
    <definedName name="__312__123Graph_ACHART_12" hidden="1">#REF!</definedName>
    <definedName name="__313__123Graph_ACHART_13" hidden="1">#REF!</definedName>
    <definedName name="__314__123Graph_ACHART_14" hidden="1">#REF!</definedName>
    <definedName name="__315__123Graph_ACHART_15" hidden="1">#REF!</definedName>
    <definedName name="__316__123Graph_ACHART_16" hidden="1">#REF!</definedName>
    <definedName name="__317__123Graph_ACHART_17" hidden="1">#REF!</definedName>
    <definedName name="__318__123Graph_ACHART_18" hidden="1">#REF!</definedName>
    <definedName name="__319__123Graph_ACHART_2" hidden="1">#REF!</definedName>
    <definedName name="__32______123Graph_CCHART_4" hidden="1">#REF!</definedName>
    <definedName name="__32__123Graph_CCHART_4" hidden="1">#REF!</definedName>
    <definedName name="__320__123Graph_ACHART_3" hidden="1">#REF!</definedName>
    <definedName name="__321__123Graph_ACHART_4" hidden="1">#REF!</definedName>
    <definedName name="__322__123Graph_ACHART_5" hidden="1">#REF!</definedName>
    <definedName name="__323__123Graph_ACHART_6" hidden="1">#REF!</definedName>
    <definedName name="__324__123Graph_ACHART_7" hidden="1">#REF!</definedName>
    <definedName name="__325__123Graph_ACHART_8" hidden="1">#REF!</definedName>
    <definedName name="__326__123Graph_ACHART_9" hidden="1">#REF!</definedName>
    <definedName name="__327__123Graph_BCHART_1" hidden="1">#REF!</definedName>
    <definedName name="__328__123Graph_BCHART_17" hidden="1">#REF!</definedName>
    <definedName name="__329__123Graph_BCHART_18" hidden="1">#REF!</definedName>
    <definedName name="__33______123Graph_CCHART_5" hidden="1">#REF!</definedName>
    <definedName name="__33__123Graph_CCHART_5" hidden="1">#REF!</definedName>
    <definedName name="__330__123Graph_BCHART_2" hidden="1">#REF!</definedName>
    <definedName name="__331__123Graph_BCHART_3" hidden="1">#REF!</definedName>
    <definedName name="__332__123Graph_BCHART_4" hidden="1">#REF!</definedName>
    <definedName name="__333__123Graph_BCHART_5" hidden="1">#REF!</definedName>
    <definedName name="__334__123Graph_BCHART_6" hidden="1">#REF!</definedName>
    <definedName name="__335__123Graph_BCHART_7" hidden="1">#REF!</definedName>
    <definedName name="__336__123Graph_BCHART_8" hidden="1">#REF!</definedName>
    <definedName name="__337__123Graph_CCHART_1" hidden="1">#REF!</definedName>
    <definedName name="__338__123Graph_CCHART_2" hidden="1">#REF!</definedName>
    <definedName name="__339__123Graph_CCHART_3" hidden="1">#REF!</definedName>
    <definedName name="__34______123Graph_CCHART_6" hidden="1">#REF!</definedName>
    <definedName name="__34__123Graph_CCHART_6" hidden="1">#REF!</definedName>
    <definedName name="__340__123Graph_CCHART_4" hidden="1">#REF!</definedName>
    <definedName name="__341__123Graph_CCHART_5" hidden="1">#REF!</definedName>
    <definedName name="__342__123Graph_CCHART_6" hidden="1">#REF!</definedName>
    <definedName name="__343__123Graph_CCHART_7" hidden="1">#REF!</definedName>
    <definedName name="__344__123Graph_CCHART_8" hidden="1">#REF!</definedName>
    <definedName name="__345__123Graph_DCHART_1" hidden="1">#REF!</definedName>
    <definedName name="__346__123Graph_DCHART_2" hidden="1">#REF!</definedName>
    <definedName name="__347__123Graph_DCHART_3" hidden="1">#REF!</definedName>
    <definedName name="__348__123Graph_DCHART_4" hidden="1">#REF!</definedName>
    <definedName name="__349__123Graph_DCHART_5" hidden="1">#REF!</definedName>
    <definedName name="__35______123Graph_CCHART_7" hidden="1">#REF!</definedName>
    <definedName name="__35__123Graph_CCHART_7" hidden="1">#REF!</definedName>
    <definedName name="__350__123Graph_DCHART_6" hidden="1">#REF!</definedName>
    <definedName name="__351__123Graph_DCHART_7" hidden="1">#REF!</definedName>
    <definedName name="__352__123Graph_DCHART_8" hidden="1">#REF!</definedName>
    <definedName name="__353__123Graph_ECHART_1" hidden="1">#REF!</definedName>
    <definedName name="__354__123Graph_ECHART_2" hidden="1">#REF!</definedName>
    <definedName name="__355__123Graph_ECHART_3" hidden="1">#REF!</definedName>
    <definedName name="__356__123Graph_ECHART_4" hidden="1">#REF!</definedName>
    <definedName name="__357__123Graph_ECHART_5" hidden="1">#REF!</definedName>
    <definedName name="__358__123Graph_ECHART_6" hidden="1">#REF!</definedName>
    <definedName name="__359__123Graph_ECHART_7" hidden="1">#REF!</definedName>
    <definedName name="__36______123Graph_CCHART_8" hidden="1">#REF!</definedName>
    <definedName name="__36__123Graph_CCHART_8" hidden="1">#REF!</definedName>
    <definedName name="__360__123Graph_ECHART_8" hidden="1">#REF!</definedName>
    <definedName name="__361__123Graph_FCHART_1" hidden="1">#REF!</definedName>
    <definedName name="__362__123Graph_FCHART_2" hidden="1">#REF!</definedName>
    <definedName name="__363__123Graph_FCHART_3" hidden="1">#REF!</definedName>
    <definedName name="__364__123Graph_FCHART_4" hidden="1">#REF!</definedName>
    <definedName name="__365__123Graph_FCHART_6" hidden="1">#REF!</definedName>
    <definedName name="__366__123Graph_FCHART_7" hidden="1">#REF!</definedName>
    <definedName name="__367__123Graph_FCHART_8" hidden="1">#REF!</definedName>
    <definedName name="__368__123Graph_XCHART_1" hidden="1">#REF!</definedName>
    <definedName name="__369__123Graph_XCHART_10" hidden="1">#REF!</definedName>
    <definedName name="__37______123Graph_DCHART_1" hidden="1">#REF!</definedName>
    <definedName name="__37__123Graph_DCHART_1" hidden="1">#REF!</definedName>
    <definedName name="__370__123Graph_XCHART_11" hidden="1">#REF!</definedName>
    <definedName name="__371__123Graph_XCHART_12" hidden="1">#REF!</definedName>
    <definedName name="__372__123Graph_XCHART_13" hidden="1">#REF!</definedName>
    <definedName name="__373__123Graph_XCHART_14" hidden="1">#REF!</definedName>
    <definedName name="__374__123Graph_XCHART_15" hidden="1">#REF!</definedName>
    <definedName name="__375__123Graph_XCHART_16" hidden="1">#REF!</definedName>
    <definedName name="__376__123Graph_XCHART_17" hidden="1">#REF!</definedName>
    <definedName name="__377__123Graph_XCHART_18" hidden="1">#REF!</definedName>
    <definedName name="__378__123Graph_XCHART_2" hidden="1">#REF!</definedName>
    <definedName name="__379__123Graph_XCHART_3" hidden="1">#REF!</definedName>
    <definedName name="__38______123Graph_DCHART_2" hidden="1">#REF!</definedName>
    <definedName name="__38__123Graph_DCHART_2" hidden="1">#REF!</definedName>
    <definedName name="__380__123Graph_XCHART_4" hidden="1">#REF!</definedName>
    <definedName name="__381__123Graph_XCHART_5" hidden="1">#REF!</definedName>
    <definedName name="__382__123Graph_XCHART_6" hidden="1">#REF!</definedName>
    <definedName name="__383__123Graph_XCHART_7" hidden="1">#REF!</definedName>
    <definedName name="__384__123Graph_XCHART_8" hidden="1">#REF!</definedName>
    <definedName name="__385__123Graph_XCHART_9" hidden="1">#REF!</definedName>
    <definedName name="__39______123Graph_DCHART_3" hidden="1">#REF!</definedName>
    <definedName name="__39__123Graph_DCHART_3" hidden="1">#REF!</definedName>
    <definedName name="__4______123Graph_ACHART_12" hidden="1">#REF!</definedName>
    <definedName name="__4__123Graph_ACHART_1" localSheetId="10" hidden="1">#REF!</definedName>
    <definedName name="__4__123Graph_ACHART_1" localSheetId="9" hidden="1">#REF!</definedName>
    <definedName name="__4__123Graph_ACHART_1" localSheetId="8" hidden="1">#REF!</definedName>
    <definedName name="__4__123Graph_ACHART_1" localSheetId="16" hidden="1">#REF!</definedName>
    <definedName name="__4__123Graph_ACHART_1" hidden="1">#REF!</definedName>
    <definedName name="__4__123Graph_ACHART_12" hidden="1">#REF!</definedName>
    <definedName name="__4__123Graph_ACHART_5" hidden="1">#REF!</definedName>
    <definedName name="__40______123Graph_DCHART_4" hidden="1">#REF!</definedName>
    <definedName name="__40__123Graph_DCHART_4" hidden="1">#REF!</definedName>
    <definedName name="__41______123Graph_DCHART_5" hidden="1">#REF!</definedName>
    <definedName name="__41__123Graph_DCHART_5" hidden="1">#REF!</definedName>
    <definedName name="__42______123Graph_DCHART_6" hidden="1">#REF!</definedName>
    <definedName name="__42__123Graph_DCHART_6" hidden="1">#REF!</definedName>
    <definedName name="__43______123Graph_DCHART_7" hidden="1">#REF!</definedName>
    <definedName name="__43__123Graph_DCHART_7" hidden="1">#REF!</definedName>
    <definedName name="__44______123Graph_DCHART_8" hidden="1">#REF!</definedName>
    <definedName name="__44__123Graph_DCHART_8" hidden="1">#REF!</definedName>
    <definedName name="__45______123Graph_ECHART_1" hidden="1">#REF!</definedName>
    <definedName name="__45__123Graph_ECHART_1" hidden="1">#REF!</definedName>
    <definedName name="__46______123Graph_ECHART_2" hidden="1">#REF!</definedName>
    <definedName name="__46__123Graph_ECHART_2" hidden="1">#REF!</definedName>
    <definedName name="__47______123Graph_ECHART_3" hidden="1">#REF!</definedName>
    <definedName name="__47__123Graph_ECHART_3" hidden="1">#REF!</definedName>
    <definedName name="__48______123Graph_ECHART_4" hidden="1">#REF!</definedName>
    <definedName name="__48__123Graph_ECHART_4" hidden="1">#REF!</definedName>
    <definedName name="__49______123Graph_ECHART_5" hidden="1">#REF!</definedName>
    <definedName name="__49__123Graph_ECHART_5" hidden="1">#REF!</definedName>
    <definedName name="__5______123Graph_ACHART_13" hidden="1">#REF!</definedName>
    <definedName name="__5__123Graph_ACHART_13" hidden="1">#REF!</definedName>
    <definedName name="__5__123Graph_BCHART_2" hidden="1">#REF!</definedName>
    <definedName name="__50______123Graph_ECHART_6" hidden="1">#REF!</definedName>
    <definedName name="__50__123Graph_ECHART_6" hidden="1">#REF!</definedName>
    <definedName name="__51______123Graph_ECHART_7" hidden="1">#REF!</definedName>
    <definedName name="__51__123Graph_ECHART_7" hidden="1">#REF!</definedName>
    <definedName name="__52______123Graph_ECHART_8" hidden="1">#REF!</definedName>
    <definedName name="__52__123Graph_ECHART_8" hidden="1">#REF!</definedName>
    <definedName name="__53______123Graph_FCHART_1" hidden="1">#REF!</definedName>
    <definedName name="__53__123Graph_FCHART_1" hidden="1">#REF!</definedName>
    <definedName name="__54______123Graph_FCHART_2" hidden="1">#REF!</definedName>
    <definedName name="__54__123Graph_FCHART_2" hidden="1">#REF!</definedName>
    <definedName name="__55______123Graph_FCHART_3" hidden="1">#REF!</definedName>
    <definedName name="__55__123Graph_FCHART_3" hidden="1">#REF!</definedName>
    <definedName name="__56______123Graph_FCHART_4" hidden="1">#REF!</definedName>
    <definedName name="__56__123Graph_FCHART_4" hidden="1">#REF!</definedName>
    <definedName name="__57______123Graph_FCHART_6" hidden="1">#REF!</definedName>
    <definedName name="__57__123Graph_FCHART_6" hidden="1">#REF!</definedName>
    <definedName name="__58______123Graph_FCHART_7" hidden="1">#REF!</definedName>
    <definedName name="__58__123Graph_FCHART_7" hidden="1">#REF!</definedName>
    <definedName name="__59______123Graph_FCHART_8" hidden="1">#REF!</definedName>
    <definedName name="__59__123Graph_FCHART_8" hidden="1">#REF!</definedName>
    <definedName name="__6______123Graph_ACHART_14" hidden="1">#REF!</definedName>
    <definedName name="__6__123Graph_ACHART_14" hidden="1">#REF!</definedName>
    <definedName name="__6__123Graph_BCHART_3" hidden="1">#REF!</definedName>
    <definedName name="__60______123Graph_XCHART_1" hidden="1">#REF!</definedName>
    <definedName name="__60__123Graph_XCHART_1" hidden="1">#REF!</definedName>
    <definedName name="__61______123Graph_XCHART_10" hidden="1">#REF!</definedName>
    <definedName name="__61__123Graph_XCHART_10" hidden="1">#REF!</definedName>
    <definedName name="__62______123Graph_XCHART_11" hidden="1">#REF!</definedName>
    <definedName name="__62__123Graph_XCHART_11" hidden="1">#REF!</definedName>
    <definedName name="__63______123Graph_XCHART_12" hidden="1">#REF!</definedName>
    <definedName name="__63__123Graph_XCHART_12" hidden="1">#REF!</definedName>
    <definedName name="__64______123Graph_XCHART_13" hidden="1">#REF!</definedName>
    <definedName name="__64__123Graph_XCHART_13" hidden="1">#REF!</definedName>
    <definedName name="__65______123Graph_XCHART_14" hidden="1">#REF!</definedName>
    <definedName name="__65__123Graph_XCHART_14" hidden="1">#REF!</definedName>
    <definedName name="__66______123Graph_XCHART_15" hidden="1">#REF!</definedName>
    <definedName name="__66__123Graph_XCHART_15" hidden="1">#REF!</definedName>
    <definedName name="__67______123Graph_XCHART_16" hidden="1">#REF!</definedName>
    <definedName name="__67__123Graph_XCHART_16" hidden="1">#REF!</definedName>
    <definedName name="__68______123Graph_XCHART_17" hidden="1">#REF!</definedName>
    <definedName name="__68__123Graph_XCHART_17" hidden="1">#REF!</definedName>
    <definedName name="__69______123Graph_XCHART_18" hidden="1">#REF!</definedName>
    <definedName name="__69__123Graph_XCHART_18" hidden="1">#REF!</definedName>
    <definedName name="__7______123Graph_ACHART_15" hidden="1">#REF!</definedName>
    <definedName name="__7__123Graph_ACHART_1" localSheetId="10" hidden="1">#REF!</definedName>
    <definedName name="__7__123Graph_ACHART_1" localSheetId="9" hidden="1">#REF!</definedName>
    <definedName name="__7__123Graph_ACHART_1" localSheetId="8" hidden="1">#REF!</definedName>
    <definedName name="__7__123Graph_ACHART_1" localSheetId="16" hidden="1">#REF!</definedName>
    <definedName name="__7__123Graph_ACHART_1" hidden="1">#REF!</definedName>
    <definedName name="__7__123Graph_ACHART_15" hidden="1">#REF!</definedName>
    <definedName name="__7__123Graph_BCHART_4" hidden="1">#REF!</definedName>
    <definedName name="__70______123Graph_XCHART_2" hidden="1">#REF!</definedName>
    <definedName name="__70__123Graph_XCHART_2" hidden="1">#REF!</definedName>
    <definedName name="__71______123Graph_XCHART_3" hidden="1">#REF!</definedName>
    <definedName name="__71__123Graph_XCHART_3" hidden="1">#REF!</definedName>
    <definedName name="__72______123Graph_XCHART_4" hidden="1">#REF!</definedName>
    <definedName name="__72__123Graph_XCHART_4" hidden="1">#REF!</definedName>
    <definedName name="__73______123Graph_XCHART_5" hidden="1">#REF!</definedName>
    <definedName name="__73__123Graph_XCHART_5" hidden="1">#REF!</definedName>
    <definedName name="__74______123Graph_XCHART_6" hidden="1">#REF!</definedName>
    <definedName name="__74__123Graph_XCHART_6" hidden="1">#REF!</definedName>
    <definedName name="__75______123Graph_XCHART_7" hidden="1">#REF!</definedName>
    <definedName name="__75__123Graph_XCHART_7" hidden="1">#REF!</definedName>
    <definedName name="__76______123Graph_XCHART_8" hidden="1">#REF!</definedName>
    <definedName name="__76__123Graph_XCHART_8" hidden="1">#REF!</definedName>
    <definedName name="__77______123Graph_XCHART_9" hidden="1">#REF!</definedName>
    <definedName name="__77__123Graph_XCHART_9" hidden="1">#REF!</definedName>
    <definedName name="__78_____123Graph_ACHART_1" hidden="1">#REF!</definedName>
    <definedName name="__79_____123Graph_ACHART_10" hidden="1">#REF!</definedName>
    <definedName name="__8______123Graph_ACHART_16" hidden="1">#REF!</definedName>
    <definedName name="__8__123Graph_ACHART_16" hidden="1">#REF!</definedName>
    <definedName name="__8__123Graph_BCHART_5" hidden="1">#REF!</definedName>
    <definedName name="__80_____123Graph_ACHART_11" hidden="1">#REF!</definedName>
    <definedName name="__81_____123Graph_ACHART_12" hidden="1">#REF!</definedName>
    <definedName name="__82_____123Graph_ACHART_13" hidden="1">#REF!</definedName>
    <definedName name="__83_____123Graph_ACHART_14" hidden="1">#REF!</definedName>
    <definedName name="__84_____123Graph_ACHART_15" hidden="1">#REF!</definedName>
    <definedName name="__85_____123Graph_ACHART_16" hidden="1">#REF!</definedName>
    <definedName name="__86_____123Graph_ACHART_17" hidden="1">#REF!</definedName>
    <definedName name="__87_____123Graph_ACHART_18" hidden="1">#REF!</definedName>
    <definedName name="__88_____123Graph_ACHART_2" hidden="1">#REF!</definedName>
    <definedName name="__89_____123Graph_ACHART_3" hidden="1">#REF!</definedName>
    <definedName name="__9______123Graph_ACHART_17" hidden="1">#REF!</definedName>
    <definedName name="__9__123Graph_ACHART_17" hidden="1">#REF!</definedName>
    <definedName name="__9__123Graph_CCHART_2" hidden="1">#REF!</definedName>
    <definedName name="__90_____123Graph_ACHART_4" hidden="1">#REF!</definedName>
    <definedName name="__91_____123Graph_ACHART_5" hidden="1">#REF!</definedName>
    <definedName name="__92_____123Graph_ACHART_6" hidden="1">#REF!</definedName>
    <definedName name="__93_____123Graph_ACHART_7" hidden="1">#REF!</definedName>
    <definedName name="__94_____123Graph_ACHART_8" hidden="1">#REF!</definedName>
    <definedName name="__95_____123Graph_ACHART_9" hidden="1">#REF!</definedName>
    <definedName name="__96_____123Graph_BCHART_1" hidden="1">#REF!</definedName>
    <definedName name="__97_____123Graph_BCHART_17" hidden="1">#REF!</definedName>
    <definedName name="__98_____123Graph_BCHART_18" hidden="1">#REF!</definedName>
    <definedName name="__99_____123Graph_BCHART_2" hidden="1">#REF!</definedName>
    <definedName name="__a1" localSheetId="10" hidden="1">{#N/A,#N/A,FALSE,"Pharm";#N/A,#N/A,FALSE,"WWCM"}</definedName>
    <definedName name="__a1" hidden="1">{#N/A,#N/A,FALSE,"Pharm";#N/A,#N/A,FALSE,"WWCM"}</definedName>
    <definedName name="__A11" localSheetId="10" hidden="1">{#N/A,#N/A,FALSE,"Umsatz 99";#N/A,#N/A,FALSE,"ER 99 "}</definedName>
    <definedName name="__A11" hidden="1">{#N/A,#N/A,FALSE,"Umsatz 99";#N/A,#N/A,FALSE,"ER 99 "}</definedName>
    <definedName name="__A2" localSheetId="10" hidden="1">{"PAGE1",#N/A,FALSE,"BID (3)";"PAGE2",#N/A,FALSE,"BID (3)"}</definedName>
    <definedName name="__A2" hidden="1">{"PAGE1",#N/A,FALSE,"BID (3)";"PAGE2",#N/A,FALSE,"BID (3)"}</definedName>
    <definedName name="__A4" localSheetId="10" hidden="1">{"PAGE1",#N/A,FALSE,"BID (3)";"PAGE2",#N/A,FALSE,"BID (3)"}</definedName>
    <definedName name="__A4" hidden="1">{"PAGE1",#N/A,FALSE,"BID (3)";"PAGE2",#N/A,FALSE,"BID (3)"}</definedName>
    <definedName name="__aa1" localSheetId="10"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localSheetId="10" hidden="1">{#N/A,#N/A,FALSE,"Model";#N/A,#N/A,FALSE,"Division"}</definedName>
    <definedName name="__aaa1" localSheetId="15" hidden="1">{#N/A,#N/A,FALSE,"Model";#N/A,#N/A,FALSE,"Division"}</definedName>
    <definedName name="__aaa1" hidden="1">{#N/A,#N/A,FALSE,"Model";#N/A,#N/A,FALSE,"Division"}</definedName>
    <definedName name="__aas1" localSheetId="10" hidden="1">{#N/A,#N/A,FALSE,"REPORT"}</definedName>
    <definedName name="__aas1" hidden="1">{#N/A,#N/A,FALSE,"REPORT"}</definedName>
    <definedName name="__abc1" localSheetId="10" hidden="1">{"detail",#N/A,FALSE,"mfg";"summary",#N/A,FALSE,"mfg"}</definedName>
    <definedName name="__abc1" hidden="1">{"detail",#N/A,FALSE,"mfg";"summary",#N/A,FALSE,"mfg"}</definedName>
    <definedName name="__abc2" localSheetId="10" hidden="1">{"detail",#N/A,FALSE,"mfg";"summary",#N/A,FALSE,"mfg"}</definedName>
    <definedName name="__abc2" hidden="1">{"detail",#N/A,FALSE,"mfg";"summary",#N/A,FALSE,"mfg"}</definedName>
    <definedName name="__abc3" localSheetId="10" hidden="1">{"detail",#N/A,FALSE,"mfg";"summary",#N/A,FALSE,"mfg"}</definedName>
    <definedName name="__abc3" hidden="1">{"detail",#N/A,FALSE,"mfg";"summary",#N/A,FALSE,"mfg"}</definedName>
    <definedName name="__ACS2000" localSheetId="10" hidden="1">{#N/A,#N/A,FALSE,"REPORT"}</definedName>
    <definedName name="__ACS2000" hidden="1">{#N/A,#N/A,FALSE,"REPORT"}</definedName>
    <definedName name="__ADS1" localSheetId="10" hidden="1">{"FCB_ALL",#N/A,FALSE,"FCB"}</definedName>
    <definedName name="__ADS1" localSheetId="15" hidden="1">{"FCB_ALL",#N/A,FALSE,"FCB"}</definedName>
    <definedName name="__ADS1" hidden="1">{"FCB_ALL",#N/A,FALSE,"FCB"}</definedName>
    <definedName name="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p2" localSheetId="10" hidden="1">{"detail",#N/A,FALSE,"mfg";"summary",#N/A,FALSE,"mfg"}</definedName>
    <definedName name="__ap2" hidden="1">{"detail",#N/A,FALSE,"mfg";"summary",#N/A,FALSE,"mfg"}</definedName>
    <definedName name="__APW_RESTORE_DATA104__" localSheetId="10" hidden="1">#REF!,#REF!,#REF!,#REF!,#REF!,#REF!,#REF!,#REF!,#REF!,#REF!</definedName>
    <definedName name="__APW_RESTORE_DATA104__" hidden="1">#REF!,#REF!,#REF!,#REF!,#REF!,#REF!,#REF!,#REF!,#REF!,#REF!</definedName>
    <definedName name="__APW_RESTORE_DATA105__" hidden="1">#REF!,#REF!,#REF!,#REF!,#REF!,#REF!,#REF!,#REF!,#REF!,#REF!</definedName>
    <definedName name="__APW_RESTORE_DATA106__" hidden="1">#REF!,#REF!,#REF!,#REF!,#REF!,#REF!,#REF!,#REF!,#REF!,#REF!</definedName>
    <definedName name="__APW_RESTORE_DATA107__" hidden="1">#REF!,#REF!,#REF!,#REF!,#REF!,#REF!,#REF!,#REF!,#REF!,#REF!</definedName>
    <definedName name="__as1" localSheetId="10" hidden="1">{"FCB_ALL",#N/A,FALSE,"FCB"}</definedName>
    <definedName name="__as1" localSheetId="15" hidden="1">{"FCB_ALL",#N/A,FALSE,"FCB"}</definedName>
    <definedName name="__as1" hidden="1">{"FCB_ALL",#N/A,FALSE,"FCB"}</definedName>
    <definedName name="__AS2" localSheetId="10" hidden="1">{"FCB_ALL",#N/A,FALSE,"FCB"}</definedName>
    <definedName name="__AS2" localSheetId="15" hidden="1">{"FCB_ALL",#N/A,FALSE,"FCB"}</definedName>
    <definedName name="__AS2" hidden="1">{"FCB_ALL",#N/A,FALSE,"FCB"}</definedName>
    <definedName name="__as3" localSheetId="10" hidden="1">{"FCB_ALL",#N/A,FALSE,"FCB"}</definedName>
    <definedName name="__as3" localSheetId="15" hidden="1">{"FCB_ALL",#N/A,FALSE,"FCB"}</definedName>
    <definedName name="__as3" hidden="1">{"FCB_ALL",#N/A,FALSE,"FCB"}</definedName>
    <definedName name="__AS4" localSheetId="10" hidden="1">{"FCB_ALL",#N/A,FALSE,"FCB"}</definedName>
    <definedName name="__AS4" localSheetId="15" hidden="1">{"FCB_ALL",#N/A,FALSE,"FCB"}</definedName>
    <definedName name="__AS4" hidden="1">{"FCB_ALL",#N/A,FALSE,"FCB"}</definedName>
    <definedName name="__as6" localSheetId="10" hidden="1">{"FCB_ALL",#N/A,FALSE,"FCB"}</definedName>
    <definedName name="__as6" localSheetId="15" hidden="1">{"FCB_ALL",#N/A,FALSE,"FCB"}</definedName>
    <definedName name="__as6" hidden="1">{"FCB_ALL",#N/A,FALSE,"FCB"}</definedName>
    <definedName name="__AS7" localSheetId="10" hidden="1">{"FCB_ALL",#N/A,FALSE,"FCB"}</definedName>
    <definedName name="__AS7" localSheetId="15" hidden="1">{"FCB_ALL",#N/A,FALSE,"FCB"}</definedName>
    <definedName name="__AS7" hidden="1">{"FCB_ALL",#N/A,FALSE,"FCB"}</definedName>
    <definedName name="__b111" localSheetId="10" hidden="1">{#N/A,#N/A,FALSE,"Pharm";#N/A,#N/A,FALSE,"WWCM"}</definedName>
    <definedName name="__b111" hidden="1">{#N/A,#N/A,FALSE,"Pharm";#N/A,#N/A,FALSE,"WWCM"}</definedName>
    <definedName name="__bookmark_1">#REF!</definedName>
    <definedName name="__c" localSheetId="10" hidden="1">{#N/A,#N/A,FALSE,"Layout Cash Flow"}</definedName>
    <definedName name="__c" localSheetId="15" hidden="1">{#N/A,#N/A,FALSE,"Layout Cash Flow"}</definedName>
    <definedName name="__c" hidden="1">{#N/A,#N/A,FALSE,"Layout Cash Flow"}</definedName>
    <definedName name="__D1" localSheetId="10" hidden="1">{#N/A,#N/A,FALSE,"DCF Summary";#N/A,#N/A,FALSE,"Casema";#N/A,#N/A,FALSE,"Casema NoTel";#N/A,#N/A,FALSE,"UK";#N/A,#N/A,FALSE,"RCF";#N/A,#N/A,FALSE,"Intercable CZ";#N/A,#N/A,FALSE,"Interkabel P"}</definedName>
    <definedName name="__D1" localSheetId="15" hidden="1">{#N/A,#N/A,FALSE,"DCF Summary";#N/A,#N/A,FALSE,"Casema";#N/A,#N/A,FALSE,"Casema NoTel";#N/A,#N/A,FALSE,"UK";#N/A,#N/A,FALSE,"RCF";#N/A,#N/A,FALSE,"Intercable CZ";#N/A,#N/A,FALSE,"Interkabel P"}</definedName>
    <definedName name="__D1" hidden="1">{#N/A,#N/A,FALSE,"DCF Summary";#N/A,#N/A,FALSE,"Casema";#N/A,#N/A,FALSE,"Casema NoTel";#N/A,#N/A,FALSE,"UK";#N/A,#N/A,FALSE,"RCF";#N/A,#N/A,FALSE,"Intercable CZ";#N/A,#N/A,FALSE,"Interkabel P"}</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CF1" localSheetId="10" hidden="1">{#N/A,#N/A,FALSE,"DCF Summary";#N/A,#N/A,FALSE,"Casema";#N/A,#N/A,FALSE,"Casema NoTel";#N/A,#N/A,FALSE,"UK";#N/A,#N/A,FALSE,"RCF";#N/A,#N/A,FALSE,"Intercable CZ";#N/A,#N/A,FALSE,"Interkabel P"}</definedName>
    <definedName name="__DCF1" localSheetId="15"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10" hidden="1">{#N/A,#N/A,FALSE,"DCF Summary";#N/A,#N/A,FALSE,"Casema";#N/A,#N/A,FALSE,"Casema NoTel";#N/A,#N/A,FALSE,"UK";#N/A,#N/A,FALSE,"RCF";#N/A,#N/A,FALSE,"Intercable CZ";#N/A,#N/A,FALSE,"Interkabel P"}</definedName>
    <definedName name="__DCF2" localSheetId="15"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DCF8" localSheetId="10" hidden="1">{#N/A,#N/A,FALSE,"DCF Summary";#N/A,#N/A,FALSE,"Casema";#N/A,#N/A,FALSE,"Casema NoTel";#N/A,#N/A,FALSE,"UK";#N/A,#N/A,FALSE,"RCF";#N/A,#N/A,FALSE,"Intercable CZ";#N/A,#N/A,FALSE,"Interkabel P"}</definedName>
    <definedName name="__DCF8" localSheetId="15" hidden="1">{#N/A,#N/A,FALSE,"DCF Summary";#N/A,#N/A,FALSE,"Casema";#N/A,#N/A,FALSE,"Casema NoTel";#N/A,#N/A,FALSE,"UK";#N/A,#N/A,FALSE,"RCF";#N/A,#N/A,FALSE,"Intercable CZ";#N/A,#N/A,FALSE,"Interkabel P"}</definedName>
    <definedName name="__DCF8" hidden="1">{#N/A,#N/A,FALSE,"DCF Summary";#N/A,#N/A,FALSE,"Casema";#N/A,#N/A,FALSE,"Casema NoTel";#N/A,#N/A,FALSE,"UK";#N/A,#N/A,FALSE,"RCF";#N/A,#N/A,FALSE,"Intercable CZ";#N/A,#N/A,FALSE,"Interkabel P"}</definedName>
    <definedName name="__dfd1" localSheetId="10" hidden="1">{"FCB_ALL",#N/A,FALSE,"FCB";"GREY_ALL",#N/A,FALSE,"GREY"}</definedName>
    <definedName name="__dfd1" localSheetId="15" hidden="1">{"FCB_ALL",#N/A,FALSE,"FCB";"GREY_ALL",#N/A,FALSE,"GREY"}</definedName>
    <definedName name="__dfd1" hidden="1">{"FCB_ALL",#N/A,FALSE,"FCB";"GREY_ALL",#N/A,FALSE,"GREY"}</definedName>
    <definedName name="_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RE0700" localSheetId="10" hidden="1">{"'PXR_6500'!$A$1:$I$124"}</definedName>
    <definedName name="__DRE0700" hidden="1">{"'PXR_6500'!$A$1:$I$124"}</definedName>
    <definedName name="__dwa1" localSheetId="10" hidden="1">{#N/A,"PURCHM",FALSE,"Business Analysis";#N/A,"SPADD",FALSE,"Business Analysis"}</definedName>
    <definedName name="__dwa1" hidden="1">{#N/A,"PURCHM",FALSE,"Business Analysis";#N/A,"SPADD",FALSE,"Business Analysis"}</definedName>
    <definedName name="__E1" localSheetId="10" hidden="1">{#N/A,#N/A,FALSE,"DCF Summary";#N/A,#N/A,FALSE,"Casema";#N/A,#N/A,FALSE,"Casema NoTel";#N/A,#N/A,FALSE,"UK";#N/A,#N/A,FALSE,"RCF";#N/A,#N/A,FALSE,"Intercable CZ";#N/A,#N/A,FALSE,"Interkabel P"}</definedName>
    <definedName name="__E1" localSheetId="15" hidden="1">{#N/A,#N/A,FALSE,"DCF Summary";#N/A,#N/A,FALSE,"Casema";#N/A,#N/A,FALSE,"Casema NoTel";#N/A,#N/A,FALSE,"UK";#N/A,#N/A,FALSE,"RCF";#N/A,#N/A,FALSE,"Intercable CZ";#N/A,#N/A,FALSE,"Interkabel P"}</definedName>
    <definedName name="__E1" hidden="1">{#N/A,#N/A,FALSE,"DCF Summary";#N/A,#N/A,FALSE,"Casema";#N/A,#N/A,FALSE,"Casema NoTel";#N/A,#N/A,FALSE,"UK";#N/A,#N/A,FALSE,"RCF";#N/A,#N/A,FALSE,"Intercable CZ";#N/A,#N/A,FALSE,"Interkabel P"}</definedName>
    <definedName name="__eu93" localSheetId="10" hidden="1">{"Comp_of_Price_Effect",#N/A,FALSE,"QTRDPVAR"}</definedName>
    <definedName name="__eu93" hidden="1">{"Comp_of_Price_Effect",#N/A,FALSE,"QTRDPVAR"}</definedName>
    <definedName name="__fdf1" localSheetId="10"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10"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12194</definedName>
    <definedName name="__FDS_USED_FOR_REUSING_RANGE_IDS_RECYCLE" localSheetId="10" hidden="1">{152,168,338,189,173,195,158,390,7,11,232,378,159,175,261,183,177,129,8,155,265,394,57}</definedName>
    <definedName name="__FDS_USED_FOR_REUSING_RANGE_IDS_RECYCLE" hidden="1">{152,168,338,189,173,195,158,390,7,11,232,378,159,175,261,183,177,129,8,155,265,394,57}</definedName>
    <definedName name="_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jdk" localSheetId="10" hidden="1">#REF!</definedName>
    <definedName name="__fjdk" localSheetId="9" hidden="1">#REF!</definedName>
    <definedName name="__fjdk" localSheetId="8" hidden="1">#REF!</definedName>
    <definedName name="__fjdk" localSheetId="16" hidden="1">#REF!</definedName>
    <definedName name="__fjdk" hidden="1">#REF!</definedName>
    <definedName name="__fy97" localSheetId="10" hidden="1">{#N/A,#N/A,FALSE,"FY97";#N/A,#N/A,FALSE,"FY98";#N/A,#N/A,FALSE,"FY99";#N/A,#N/A,FALSE,"FY00";#N/A,#N/A,FALSE,"FY01"}</definedName>
    <definedName name="__fy97" localSheetId="15" hidden="1">{#N/A,#N/A,FALSE,"FY97";#N/A,#N/A,FALSE,"FY98";#N/A,#N/A,FALSE,"FY99";#N/A,#N/A,FALSE,"FY00";#N/A,#N/A,FALSE,"FY01"}</definedName>
    <definedName name="__fy97" hidden="1">{#N/A,#N/A,FALSE,"FY97";#N/A,#N/A,FALSE,"FY98";#N/A,#N/A,FALSE,"FY99";#N/A,#N/A,FALSE,"FY00";#N/A,#N/A,FALSE,"FY01"}</definedName>
    <definedName name="__gf1" localSheetId="10"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la1" localSheetId="10" hidden="1">{#N/A,#N/A,FALSE,"Inc Month";#N/A,#N/A,FALSE,"Inc YTD";#N/A,#N/A,FALSE,"Bal Sheet";#N/A,#N/A,FALSE,"Base Cert";#N/A,#N/A,FALSE,"AR-Detail";#N/A,#N/A,FALSE,"PAC Bal";#N/A,#N/A,FALSE,"PAC Cash";#N/A,#N/A,FALSE,"Equity";#N/A,#N/A,FALSE,"PEI Bal";#N/A,#N/A,FALSE,"PEI Cash"}</definedName>
    <definedName name="__gla1" hidden="1">{#N/A,#N/A,FALSE,"Inc Month";#N/A,#N/A,FALSE,"Inc YTD";#N/A,#N/A,FALSE,"Bal Sheet";#N/A,#N/A,FALSE,"Base Cert";#N/A,#N/A,FALSE,"AR-Detail";#N/A,#N/A,FALSE,"PAC Bal";#N/A,#N/A,FALSE,"PAC Cash";#N/A,#N/A,FALSE,"Equity";#N/A,#N/A,FALSE,"PEI Bal";#N/A,#N/A,FALSE,"PEI Cash"}</definedName>
    <definedName name="__gla1_1" localSheetId="10" hidden="1">{#N/A,#N/A,FALSE,"Inc Month";#N/A,#N/A,FALSE,"Inc YTD";#N/A,#N/A,FALSE,"Bal Sheet";#N/A,#N/A,FALSE,"Base Cert";#N/A,#N/A,FALSE,"AR-Detail";#N/A,#N/A,FALSE,"PAC Bal";#N/A,#N/A,FALSE,"PAC Cash";#N/A,#N/A,FALSE,"Equity";#N/A,#N/A,FALSE,"PEI Bal";#N/A,#N/A,FALSE,"PEI Cash"}</definedName>
    <definedName name="__gla1_1" hidden="1">{#N/A,#N/A,FALSE,"Inc Month";#N/A,#N/A,FALSE,"Inc YTD";#N/A,#N/A,FALSE,"Bal Sheet";#N/A,#N/A,FALSE,"Base Cert";#N/A,#N/A,FALSE,"AR-Detail";#N/A,#N/A,FALSE,"PAC Bal";#N/A,#N/A,FALSE,"PAC Cash";#N/A,#N/A,FALSE,"Equity";#N/A,#N/A,FALSE,"PEI Bal";#N/A,#N/A,FALSE,"PEI Cash"}</definedName>
    <definedName name="__gla2" localSheetId="10"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gla2_1" localSheetId="10" hidden="1">{#N/A,#N/A,FALSE,"Inc Month";#N/A,#N/A,FALSE,"Inc YTD";#N/A,#N/A,FALSE,"Bal Sheet";#N/A,#N/A,FALSE,"Base Cert";#N/A,#N/A,FALSE,"AR-Detail";#N/A,#N/A,FALSE,"PAC Bal";#N/A,#N/A,FALSE,"PAC Cash";#N/A,#N/A,FALSE,"Equity";#N/A,#N/A,FALSE,"PEI Bal";#N/A,#N/A,FALSE,"PEI Cash"}</definedName>
    <definedName name="__gla2_1" hidden="1">{#N/A,#N/A,FALSE,"Inc Month";#N/A,#N/A,FALSE,"Inc YTD";#N/A,#N/A,FALSE,"Bal Sheet";#N/A,#N/A,FALSE,"Base Cert";#N/A,#N/A,FALSE,"AR-Detail";#N/A,#N/A,FALSE,"PAC Bal";#N/A,#N/A,FALSE,"PAC Cash";#N/A,#N/A,FALSE,"Equity";#N/A,#N/A,FALSE,"PEI Bal";#N/A,#N/A,FALSE,"PEI Cash"}</definedName>
    <definedName name="__GRP1">OFFSET(#REF!,0,0,COUNTA(#REF!),1)</definedName>
    <definedName name="__GRP2">OFFSET(#REF!,0,0,COUNTA(#REF!),1)</definedName>
    <definedName name="__hod2" localSheetId="10" hidden="1">{#N/A,#N/A,FALSE,"TS";#N/A,#N/A,FALSE,"Combo";#N/A,#N/A,FALSE,"FAIR";#N/A,#N/A,FALSE,"RBC";#N/A,#N/A,FALSE,"xxxx";#N/A,#N/A,FALSE,"A_D";#N/A,#N/A,FALSE,"WACC";#N/A,#N/A,FALSE,"DCF";#N/A,#N/A,FALSE,"LBO";#N/A,#N/A,FALSE,"AcqMults";#N/A,#N/A,FALSE,"CompMults"}</definedName>
    <definedName name="__hod2" hidden="1">{#N/A,#N/A,FALSE,"TS";#N/A,#N/A,FALSE,"Combo";#N/A,#N/A,FALSE,"FAIR";#N/A,#N/A,FALSE,"RBC";#N/A,#N/A,FALSE,"xxxx";#N/A,#N/A,FALSE,"A_D";#N/A,#N/A,FALSE,"WACC";#N/A,#N/A,FALSE,"DCF";#N/A,#N/A,FALSE,"LBO";#N/A,#N/A,FALSE,"AcqMults";#N/A,#N/A,FALSE,"CompMults"}</definedName>
    <definedName name="__ibo2" localSheetId="10"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ntlFixup" hidden="1">TRUE</definedName>
    <definedName name="__IntlFixupTable" localSheetId="10" hidden="1">#REF!</definedName>
    <definedName name="__IntlFixupTable" localSheetId="9" hidden="1">#REF!</definedName>
    <definedName name="__IntlFixupTable" localSheetId="8" hidden="1">#REF!</definedName>
    <definedName name="__IntlFixupTable" localSheetId="16" hidden="1">#REF!</definedName>
    <definedName name="__IntlFixupTable" hidden="1">#REF!</definedName>
    <definedName name="__inv1">#REF!</definedName>
    <definedName name="__inv2">#REF!</definedName>
    <definedName name="__ISV4" localSheetId="10" hidden="1">{"Material",#N/A,TRUE,"Summary";"Mfg",#N/A,TRUE,"Summary";"mfgbymo",#N/A,TRUE,"By Month";"Mtlbymo",#N/A,TRUE,"By Month"}</definedName>
    <definedName name="__ISV4" hidden="1">{"Material",#N/A,TRUE,"Summary";"Mfg",#N/A,TRUE,"Summary";"mfgbymo",#N/A,TRUE,"By Month";"Mtlbymo",#N/A,TRUE,"By Month"}</definedName>
    <definedName name="__ISV4_1" localSheetId="10" hidden="1">{"Material",#N/A,TRUE,"Summary";"Mfg",#N/A,TRUE,"Summary";"mfgbymo",#N/A,TRUE,"By Month";"Mtlbymo",#N/A,TRUE,"By Month"}</definedName>
    <definedName name="__ISV4_1" hidden="1">{"Material",#N/A,TRUE,"Summary";"Mfg",#N/A,TRUE,"Summary";"mfgbymo",#N/A,TRUE,"By Month";"Mtlbymo",#N/A,TRUE,"By Month"}</definedName>
    <definedName name="__ISV4_1_1" localSheetId="10" hidden="1">{"Material",#N/A,TRUE,"Summary";"Mfg",#N/A,TRUE,"Summary";"mfgbymo",#N/A,TRUE,"By Month";"Mtlbymo",#N/A,TRUE,"By Month"}</definedName>
    <definedName name="__ISV4_1_1" hidden="1">{"Material",#N/A,TRUE,"Summary";"Mfg",#N/A,TRUE,"Summary";"mfgbymo",#N/A,TRUE,"By Month";"Mtlbymo",#N/A,TRUE,"By Month"}</definedName>
    <definedName name="__ISV4_2" localSheetId="10" hidden="1">{"Material",#N/A,TRUE,"Summary";"Mfg",#N/A,TRUE,"Summary";"mfgbymo",#N/A,TRUE,"By Month";"Mtlbymo",#N/A,TRUE,"By Month"}</definedName>
    <definedName name="__ISV4_2" hidden="1">{"Material",#N/A,TRUE,"Summary";"Mfg",#N/A,TRUE,"Summary";"mfgbymo",#N/A,TRUE,"By Month";"Mtlbymo",#N/A,TRUE,"By Month"}</definedName>
    <definedName name="__key1" localSheetId="10" hidden="1">#REF!</definedName>
    <definedName name="__key1" hidden="1">#REF!</definedName>
    <definedName name="__key2" hidden="1">#REF!</definedName>
    <definedName name="__key3" hidden="1">#REF!</definedName>
    <definedName name="__key6" hidden="1">#REF!</definedName>
    <definedName name="__mel1">#N/A</definedName>
    <definedName name="__mno9" localSheetId="10" hidden="1">{"detail",#N/A,FALSE,"mfg";"summary",#N/A,FALSE,"mfg"}</definedName>
    <definedName name="__mno9" hidden="1">{"detail",#N/A,FALSE,"mfg";"summary",#N/A,FALSE,"mfg"}</definedName>
    <definedName name="__mty1" localSheetId="10" hidden="1">{#N/A,#N/A,TRUE,"2432"}</definedName>
    <definedName name="__mty1" hidden="1">{#N/A,#N/A,TRUE,"2432"}</definedName>
    <definedName name="__MUM1" localSheetId="10" hidden="1">#REF!</definedName>
    <definedName name="__MUM1" hidden="1">#REF!</definedName>
    <definedName name="__MUM10" hidden="1">#REF!</definedName>
    <definedName name="__MUM11" hidden="1">#REF!</definedName>
    <definedName name="__MUM12" hidden="1">#REF!</definedName>
    <definedName name="__MUM13" hidden="1">#REF!</definedName>
    <definedName name="__MUM14" hidden="1">#REF!</definedName>
    <definedName name="__MUM15" hidden="1">#REF!</definedName>
    <definedName name="__MUM16" hidden="1">#REF!</definedName>
    <definedName name="__MUM17" hidden="1">#REF!</definedName>
    <definedName name="__MUM18" hidden="1">#REF!</definedName>
    <definedName name="__MUM19" hidden="1">#REF!</definedName>
    <definedName name="__MUM2" hidden="1">#REF!</definedName>
    <definedName name="__MUM20" hidden="1">#REF!</definedName>
    <definedName name="__MUM21" hidden="1">#REF!</definedName>
    <definedName name="__MUM22" hidden="1">#REF!</definedName>
    <definedName name="__MUM23" hidden="1">#REF!</definedName>
    <definedName name="__MUM24" hidden="1">#REF!</definedName>
    <definedName name="__MUM25" hidden="1">#REF!</definedName>
    <definedName name="__MUM26" hidden="1">#REF!</definedName>
    <definedName name="__MUM27" hidden="1">#REF!</definedName>
    <definedName name="__MUM28" hidden="1">#REF!</definedName>
    <definedName name="__MUM29" hidden="1">#REF!</definedName>
    <definedName name="__MUM3" hidden="1">#REF!</definedName>
    <definedName name="__MUM30" hidden="1">#REF!</definedName>
    <definedName name="__MUM31" hidden="1">#REF!</definedName>
    <definedName name="__MUM32" hidden="1">#REF!</definedName>
    <definedName name="__MUM4" hidden="1">#REF!</definedName>
    <definedName name="__MUM5" hidden="1">#REF!</definedName>
    <definedName name="__MUM6" hidden="1">#REF!</definedName>
    <definedName name="__MUM7" hidden="1">#REF!</definedName>
    <definedName name="__MUM8" hidden="1">#REF!</definedName>
    <definedName name="__MUM9" hidden="1">#REF!</definedName>
    <definedName name="__na2" hidden="1">"100"</definedName>
    <definedName name="__na3" hidden="1">"50"</definedName>
    <definedName name="__na4" hidden="1">"IQ_LTM_DATE"</definedName>
    <definedName name="__new1" localSheetId="10" hidden="1">{#N/A,#N/A,FALSE,"Pharm";#N/A,#N/A,FALSE,"WWCM"}</definedName>
    <definedName name="__new1" hidden="1">{#N/A,#N/A,FALSE,"Pharm";#N/A,#N/A,FALSE,"WWCM"}</definedName>
    <definedName name="__NEW2" localSheetId="10" hidden="1">{#N/A,#N/A,FALSE,"YTD"}</definedName>
    <definedName name="__NEW2" hidden="1">{#N/A,#N/A,FALSE,"YTD"}</definedName>
    <definedName name="__new3" localSheetId="10" hidden="1">{#N/A,#N/A,FALSE,"YTD"}</definedName>
    <definedName name="__new3" hidden="1">{#N/A,#N/A,FALSE,"YTD"}</definedName>
    <definedName name="__NEW6" localSheetId="10" hidden="1">{#N/A,#N/A,FALSE,"YTD"}</definedName>
    <definedName name="__NEW6" hidden="1">{#N/A,#N/A,FALSE,"YTD"}</definedName>
    <definedName name="__o1" localSheetId="10" hidden="1">{#N/A,#N/A,FALSE,"SUMMARY";#N/A,#N/A,FALSE,"mcsh";#N/A,#N/A,FALSE,"vol&amp;rev";#N/A,#N/A,FALSE,"wkgcap";#N/A,#N/A,FALSE,"DEPR&amp;DT";#N/A,#N/A,FALSE,"ASSETS";#N/A,#N/A,FALSE,"NI&amp;OTH&amp;DIV";#N/A,#N/A,FALSE,"CASHFLOW";#N/A,#N/A,FALSE,"CAPEMPL";#N/A,#N/A,FALSE,"ROCE"}</definedName>
    <definedName name="__o1" localSheetId="15"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q1" localSheetId="10" hidden="1">{"inflated_pl",#N/A,FALSE,"P&amp;L"}</definedName>
    <definedName name="__q1" hidden="1">{"inflated_pl",#N/A,FALSE,"P&amp;L"}</definedName>
    <definedName name="__q2" localSheetId="10" hidden="1">{"PL_no_inflated",#N/A,FALSE,"P&amp;L"}</definedName>
    <definedName name="__q2" hidden="1">{"PL_no_inflated",#N/A,FALSE,"P&amp;L"}</definedName>
    <definedName name="__q3" localSheetId="10" hidden="1">#REF!</definedName>
    <definedName name="__q3" hidden="1">#REF!</definedName>
    <definedName name="__r" localSheetId="10" hidden="1">{"consolidated",#N/A,FALSE,"Sheet1";"cms",#N/A,FALSE,"Sheet1";"fse",#N/A,FALSE,"Sheet1"}</definedName>
    <definedName name="__r" localSheetId="15" hidden="1">{"consolidated",#N/A,FALSE,"Sheet1";"cms",#N/A,FALSE,"Sheet1";"fse",#N/A,FALSE,"Sheet1"}</definedName>
    <definedName name="__r" hidden="1">{"consolidated",#N/A,FALSE,"Sheet1";"cms",#N/A,FALSE,"Sheet1";"fse",#N/A,FALSE,"Sheet1"}</definedName>
    <definedName name="_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2" localSheetId="10" hidden="1">{"NOPCAPEVA",#N/A,FALSE,"Nopat";"FCFCSTAR",#N/A,FALSE,"FCFVAL";"EVAVL",#N/A,FALSE,"EVAVAL";"LEASE",#N/A,FALSE,"OpLease"}</definedName>
    <definedName name="__re2" hidden="1">{"NOPCAPEVA",#N/A,FALSE,"Nopat";"FCFCSTAR",#N/A,FALSE,"FCFVAL";"EVAVL",#N/A,FALSE,"EVAVAL";"LEASE",#N/A,FALSE,"OpLease"}</definedName>
    <definedName name="__re3" localSheetId="10" hidden="1">{"NOPCAPEVA",#N/A,FALSE,"Nopat";"FCFCSTAR",#N/A,FALSE,"FCFVAL";"EVAVL",#N/A,FALSE,"EVAVAL";"LEASE",#N/A,FALSE,"OpLease"}</definedName>
    <definedName name="__re3" hidden="1">{"NOPCAPEVA",#N/A,FALSE,"Nopat";"FCFCSTAR",#N/A,FALSE,"FCFVAL";"EVAVL",#N/A,FALSE,"EVAVAL";"LEASE",#N/A,FALSE,"OpLease"}</definedName>
    <definedName name="__re4" localSheetId="10" hidden="1">{"NOPCAPEVA",#N/A,FALSE,"Nopat";"FCFCSTAR",#N/A,FALSE,"FCFVAL";"EVAVL",#N/A,FALSE,"EVAVAL";"LEASE",#N/A,FALSE,"OpLease"}</definedName>
    <definedName name="__re4" hidden="1">{"NOPCAPEVA",#N/A,FALSE,"Nopat";"FCFCSTAR",#N/A,FALSE,"FCFVAL";"EVAVL",#N/A,FALSE,"EVAVAL";"LEASE",#N/A,FALSE,"OpLease"}</definedName>
    <definedName name="__re5" localSheetId="10" hidden="1">{"NOPCAPEVA",#N/A,FALSE,"Nopat";"FCFCSTAR",#N/A,FALSE,"FCFVAL";"EVAVL",#N/A,FALSE,"EVAVAL";"LEASE",#N/A,FALSE,"OpLease"}</definedName>
    <definedName name="__re5" hidden="1">{"NOPCAPEVA",#N/A,FALSE,"Nopat";"FCFCSTAR",#N/A,FALSE,"FCFVAL";"EVAVL",#N/A,FALSE,"EVAVAL";"LEASE",#N/A,FALSE,"OpLease"}</definedName>
    <definedName name="__re6" localSheetId="10" hidden="1">{"NOPCAPEVA",#N/A,FALSE,"Nopat";"FCFCSTAR",#N/A,FALSE,"FCFVAL";"EVAVL",#N/A,FALSE,"EVAVAL";"LEASE",#N/A,FALSE,"OpLease"}</definedName>
    <definedName name="__re6" hidden="1">{"NOPCAPEVA",#N/A,FALSE,"Nopat";"FCFCSTAR",#N/A,FALSE,"FCFVAL";"EVAVL",#N/A,FALSE,"EVAVAL";"LEASE",#N/A,FALSE,"OpLease"}</definedName>
    <definedName name="__re7" localSheetId="10" hidden="1">{"NOPCAPEVA",#N/A,FALSE,"Nopat";"FCFCSTAR",#N/A,FALSE,"FCFVAL";"EVAVL",#N/A,FALSE,"EVAVAL";"LEASE",#N/A,FALSE,"OpLease"}</definedName>
    <definedName name="__re7" hidden="1">{"NOPCAPEVA",#N/A,FALSE,"Nopat";"FCFCSTAR",#N/A,FALSE,"FCFVAL";"EVAVL",#N/A,FALSE,"EVAVAL";"LEASE",#N/A,FALSE,"OpLease"}</definedName>
    <definedName name="__re8" localSheetId="10" hidden="1">{"NOPCAPEVA",#N/A,FALSE,"Nopat";"FCFCSTAR",#N/A,FALSE,"FCFVAL";"EVAVL",#N/A,FALSE,"EVAVAL";"LEASE",#N/A,FALSE,"OpLease"}</definedName>
    <definedName name="__re8" hidden="1">{"NOPCAPEVA",#N/A,FALSE,"Nopat";"FCFCSTAR",#N/A,FALSE,"FCFVAL";"EVAVL",#N/A,FALSE,"EVAVAL";"LEASE",#N/A,FALSE,"OpLease"}</definedName>
    <definedName name="__rod1" localSheetId="10"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RSE2">#REF!</definedName>
    <definedName name="__s1" hidden="1">#REF!</definedName>
    <definedName name="__s2" hidden="1">#REF!</definedName>
    <definedName name="__s3" hidden="1">#REF!</definedName>
    <definedName name="__s34" localSheetId="10" hidden="1">{"QTD_GENERALH2",#N/A,FALSE,"QTD"}</definedName>
    <definedName name="__s34" hidden="1">{"QTD_GENERALH2",#N/A,FALSE,"QTD"}</definedName>
    <definedName name="__s4" hidden="1">#REF!</definedName>
    <definedName name="__s5" hidden="1">#REF!</definedName>
    <definedName name="__s6" hidden="1">#REF!</definedName>
    <definedName name="__sd34" localSheetId="10" hidden="1">{"QTD",#N/A,FALSE,"SUM"}</definedName>
    <definedName name="__sd34" hidden="1">{"QTD",#N/A,FALSE,"SUM"}</definedName>
    <definedName name="__t1" localSheetId="10" hidden="1">{"bs",#N/A,FALSE,"SCF"}</definedName>
    <definedName name="__t1" hidden="1">{"bs",#N/A,FALSE,"SCF"}</definedName>
    <definedName name="_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ax1">#REF!</definedName>
    <definedName name="__tax2">#REF!</definedName>
    <definedName name="__tax3">#REF!</definedName>
    <definedName name="__tax4">#REF!</definedName>
    <definedName name="__tm1" localSheetId="10" hidden="1">{#N/A,#N/A,FALSE,"Pharm";#N/A,#N/A,FALSE,"WWCM"}</definedName>
    <definedName name="__tm1" hidden="1">{#N/A,#N/A,FALSE,"Pharm";#N/A,#N/A,FALSE,"WWCM"}</definedName>
    <definedName name="__var3" localSheetId="10" hidden="1">{"'777'!$A$1:$H$41"}</definedName>
    <definedName name="__var3" localSheetId="15" hidden="1">{"'777'!$A$1:$H$41"}</definedName>
    <definedName name="__var3" hidden="1">{"'777'!$A$1:$H$41"}</definedName>
    <definedName name="__wk01">#REF!</definedName>
    <definedName name="__wrn1" localSheetId="10" hidden="1">{#N/A,#N/A,FALSE,"DCF";#N/A,#N/A,FALSE,"WACC";#N/A,#N/A,FALSE,"Sales_EBIT";#N/A,#N/A,FALSE,"Capex_Depreciation";#N/A,#N/A,FALSE,"WC";#N/A,#N/A,FALSE,"Interest";#N/A,#N/A,FALSE,"Assumptions"}</definedName>
    <definedName name="__wrn1" localSheetId="15" hidden="1">{#N/A,#N/A,FALSE,"DCF";#N/A,#N/A,FALSE,"WACC";#N/A,#N/A,FALSE,"Sales_EBIT";#N/A,#N/A,FALSE,"Capex_Depreciation";#N/A,#N/A,FALSE,"WC";#N/A,#N/A,FALSE,"Interest";#N/A,#N/A,FALSE,"Assumptions"}</definedName>
    <definedName name="__wrn1" hidden="1">{#N/A,#N/A,FALSE,"DCF";#N/A,#N/A,FALSE,"WACC";#N/A,#N/A,FALSE,"Sales_EBIT";#N/A,#N/A,FALSE,"Capex_Depreciation";#N/A,#N/A,FALSE,"WC";#N/A,#N/A,FALSE,"Interest";#N/A,#N/A,FALSE,"Assumptions"}</definedName>
    <definedName name="__wrn2" localSheetId="10" hidden="1">{#N/A,#N/A,TRUE,"Notes";#N/A,#N/A,TRUE,"Cap Struct";#N/A,#N/A,TRUE,"OBS";#N/A,#N/A,TRUE,"bal Sheet";#N/A,#N/A,TRUE,"Inc stmt";#N/A,#N/A,TRUE,"csh flw";#N/A,#N/A,TRUE,"debt";#N/A,#N/A,TRUE,"detail 96,97";#N/A,#N/A,TRUE,"Covenants"}</definedName>
    <definedName name="__wrn2" localSheetId="15" hidden="1">{#N/A,#N/A,TRUE,"Notes";#N/A,#N/A,TRUE,"Cap Struct";#N/A,#N/A,TRUE,"OBS";#N/A,#N/A,TRUE,"bal Sheet";#N/A,#N/A,TRUE,"Inc stmt";#N/A,#N/A,TRUE,"csh flw";#N/A,#N/A,TRUE,"debt";#N/A,#N/A,TRUE,"detail 96,97";#N/A,#N/A,TRUE,"Covenants"}</definedName>
    <definedName name="__wrn2" hidden="1">{#N/A,#N/A,TRUE,"Notes";#N/A,#N/A,TRUE,"Cap Struct";#N/A,#N/A,TRUE,"OBS";#N/A,#N/A,TRUE,"bal Sheet";#N/A,#N/A,TRUE,"Inc stmt";#N/A,#N/A,TRUE,"csh flw";#N/A,#N/A,TRUE,"debt";#N/A,#N/A,TRUE,"detail 96,97";#N/A,#N/A,TRUE,"Covenants"}</definedName>
    <definedName name="__wrn3" localSheetId="10" hidden="1">{#N/A,#N/A,TRUE,"Notes";#N/A,#N/A,TRUE,"Cap Struct";#N/A,#N/A,TRUE,"OBS";#N/A,#N/A,TRUE,"bal Sheet";#N/A,#N/A,TRUE,"Inc stmt";#N/A,#N/A,TRUE,"csh flw";#N/A,#N/A,TRUE,"debt";#N/A,#N/A,TRUE,"detail 96,97";#N/A,#N/A,TRUE,"Covenants"}</definedName>
    <definedName name="__wrn3" localSheetId="15" hidden="1">{#N/A,#N/A,TRUE,"Notes";#N/A,#N/A,TRUE,"Cap Struct";#N/A,#N/A,TRUE,"OBS";#N/A,#N/A,TRUE,"bal Sheet";#N/A,#N/A,TRUE,"Inc stmt";#N/A,#N/A,TRUE,"csh flw";#N/A,#N/A,TRUE,"debt";#N/A,#N/A,TRUE,"detail 96,97";#N/A,#N/A,TRUE,"Covenants"}</definedName>
    <definedName name="__wrn3" hidden="1">{#N/A,#N/A,TRUE,"Notes";#N/A,#N/A,TRUE,"Cap Struct";#N/A,#N/A,TRUE,"OBS";#N/A,#N/A,TRUE,"bal Sheet";#N/A,#N/A,TRUE,"Inc stmt";#N/A,#N/A,TRUE,"csh flw";#N/A,#N/A,TRUE,"debt";#N/A,#N/A,TRUE,"detail 96,97";#N/A,#N/A,TRUE,"Covenants"}</definedName>
    <definedName name="__wrn4" localSheetId="10" hidden="1">{"client stats",#N/A,FALSE,"Client"}</definedName>
    <definedName name="__wrn4" localSheetId="15" hidden="1">{"client stats",#N/A,FALSE,"Client"}</definedName>
    <definedName name="__wrn4" hidden="1">{"client stats",#N/A,FALSE,"Client"}</definedName>
    <definedName name="__wrn5" localSheetId="10" hidden="1">{"internal is",#N/A,FALSE,"Model"}</definedName>
    <definedName name="__wrn5" localSheetId="15" hidden="1">{"internal is",#N/A,FALSE,"Model"}</definedName>
    <definedName name="__wrn5" hidden="1">{"internal is",#N/A,FALSE,"Model"}</definedName>
    <definedName name="__wrn6" localSheetId="10" hidden="1">{"portrait letter is",#N/A,FALSE,"Model"}</definedName>
    <definedName name="__wrn6" localSheetId="15" hidden="1">{"portrait letter is",#N/A,FALSE,"Model"}</definedName>
    <definedName name="__wrn6" hidden="1">{"portrait letter is",#N/A,FALSE,"Model"}</definedName>
    <definedName name="__wrn7" localSheetId="10" hidden="1">{#N/A,#N/A,FALSE,"Financial";#N/A,#N/A,FALSE,"Balance Sheet";#N/A,#N/A,FALSE,"Income stmt";#N/A,#N/A,FALSE,"Ratio"}</definedName>
    <definedName name="__wrn7" localSheetId="15" hidden="1">{#N/A,#N/A,FALSE,"Financial";#N/A,#N/A,FALSE,"Balance Sheet";#N/A,#N/A,FALSE,"Income stmt";#N/A,#N/A,FALSE,"Ratio"}</definedName>
    <definedName name="__wrn7" hidden="1">{#N/A,#N/A,FALSE,"Financial";#N/A,#N/A,FALSE,"Balance Sheet";#N/A,#N/A,FALSE,"Income stmt";#N/A,#N/A,FALSE,"Ratio"}</definedName>
    <definedName name="__wrn9" localSheetId="10" hidden="1">{"FCB_ALL",#N/A,FALSE,"FCB"}</definedName>
    <definedName name="__wrn9" localSheetId="15" hidden="1">{"FCB_ALL",#N/A,FALSE,"FCB"}</definedName>
    <definedName name="__wrn9" hidden="1">{"FCB_ALL",#N/A,FALSE,"FCB"}</definedName>
    <definedName name="__ww2" localSheetId="10" hidden="1">{#N/A,#N/A,FALSE,"Admin";#N/A,#N/A,FALSE,"Other"}</definedName>
    <definedName name="__ww2" localSheetId="15" hidden="1">{#N/A,#N/A,FALSE,"Admin";#N/A,#N/A,FALSE,"Other"}</definedName>
    <definedName name="__ww2" hidden="1">{#N/A,#N/A,FALSE,"Admin";#N/A,#N/A,FALSE,"Other"}</definedName>
    <definedName name="__x1" localSheetId="10" hidden="1">{"detail",#N/A,FALSE,"mfg";"summary",#N/A,FALSE,"mfg"}</definedName>
    <definedName name="__x1" hidden="1">{"detail",#N/A,FALSE,"mfg";"summary",#N/A,FALSE,"mfg"}</definedName>
    <definedName name="__X2" localSheetId="10" hidden="1">{#N/A,#N/A,FALSE,"Other";#N/A,#N/A,FALSE,"Ace";#N/A,#N/A,FALSE,"Derm"}</definedName>
    <definedName name="__X2" hidden="1">{#N/A,#N/A,FALSE,"Other";#N/A,#N/A,FALSE,"Ace";#N/A,#N/A,FALSE,"Derm"}</definedName>
    <definedName name="__X2002" localSheetId="10" hidden="1">{"Weekly",#N/A,FALSE,"Cash Projection";"Months",#N/A,FALSE,"Cash Projection"}</definedName>
    <definedName name="__X2002" hidden="1">{"Weekly",#N/A,FALSE,"Cash Projection";"Months",#N/A,FALSE,"Cash Projection"}</definedName>
    <definedName name="__x3" localSheetId="10" hidden="1">{"detail",#N/A,FALSE,"mfg";"summary",#N/A,FALSE,"mfg"}</definedName>
    <definedName name="__x3" hidden="1">{"detail",#N/A,FALSE,"mfg";"summary",#N/A,FALSE,"mfg"}</definedName>
    <definedName name="__x4" localSheetId="10" hidden="1">{#N/A,"PURCHM",FALSE,"Business Analysis";#N/A,"SPADD",FALSE,"Business Analysis"}</definedName>
    <definedName name="__x4" hidden="1">{#N/A,"PURCHM",FALSE,"Business Analysis";#N/A,"SPADD",FALSE,"Business Analysis"}</definedName>
    <definedName name="__x5" localSheetId="10"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BAHTTEXT" hidden="1">#NAME?</definedName>
    <definedName name="__xlfn.IFERROR" hidden="1">#NAME?</definedName>
    <definedName name="__xlfn.RTD" hidden="1">#NAME?</definedName>
    <definedName name="__xlfn.SUMIFS" hidden="1">#NAME?</definedName>
    <definedName name="__xx10" localSheetId="10" hidden="1">{#N/A,"PURCHM",FALSE,"Business Analysis";#N/A,"SPADD",FALSE,"Business Analysis"}</definedName>
    <definedName name="__xx10" hidden="1">{#N/A,"PURCHM",FALSE,"Business Analysis";#N/A,"SPADD",FALSE,"Business Analysis"}</definedName>
    <definedName name="__xx3" localSheetId="10" hidden="1">{"detail",#N/A,FALSE,"mfg";"summary",#N/A,FALSE,"mfg"}</definedName>
    <definedName name="__xx3" hidden="1">{"detail",#N/A,FALSE,"mfg";"summary",#N/A,FALSE,"mfg"}</definedName>
    <definedName name="_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10" hidden="1">{"oct_res_comm",#N/A,FALSE,"VarToBud"}</definedName>
    <definedName name="__xx7" hidden="1">{"oct_res_comm",#N/A,FALSE,"VarToBud"}</definedName>
    <definedName name="__xx8" localSheetId="10"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10" hidden="1">{"AS REP",#N/A,FALSE,"EEFSNAP2";"PROP",#N/A,FALSE,"EEFSNAP2";"RISKS",#N/A,FALSE,"EEFSNAP2";"VIEW ALL",#N/A,FALSE,"EEFSNAP2"}</definedName>
    <definedName name="__xx9" hidden="1">{"AS REP",#N/A,FALSE,"EEFSNAP2";"PROP",#N/A,FALSE,"EEFSNAP2";"RISKS",#N/A,FALSE,"EEFSNAP2";"VIEW ALL",#N/A,FALSE,"EEFSNAP2"}</definedName>
    <definedName name="__z12" localSheetId="10" hidden="1">{"pro_view",#N/A,FALSE,"EEFSNAP2";"rep_view",#N/A,FALSE,"EEFSNAP2"}</definedName>
    <definedName name="__z12" hidden="1">{"pro_view",#N/A,FALSE,"EEFSNAP2";"rep_view",#N/A,FALSE,"EEFSNAP2"}</definedName>
    <definedName name="__z22" localSheetId="10"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10" hidden="1">{"detail",#N/A,FALSE,"mfg";"summary",#N/A,FALSE,"mfg"}</definedName>
    <definedName name="__z25" hidden="1">{"detail",#N/A,FALSE,"mfg";"summary",#N/A,FALSE,"mfg"}</definedName>
    <definedName name="__zz1" localSheetId="10" hidden="1">{"pro_view",#N/A,FALSE,"EEFSNAP2";"rep_view",#N/A,FALSE,"EEFSNAP2"}</definedName>
    <definedName name="__zz1" hidden="1">{"pro_view",#N/A,FALSE,"EEFSNAP2";"rep_view",#N/A,FALSE,"EEFSNAP2"}</definedName>
    <definedName name="__zz2" localSheetId="10"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0_Fixed_Price__1_Cost_Recovery__2_Merchant_Sales">"Equity"</definedName>
    <definedName name="_01_Oct_96">#REF!</definedName>
    <definedName name="_1" localSheetId="10">#REF!</definedName>
    <definedName name="_1">#REF!</definedName>
    <definedName name="_1_____________________123Graph_ACHART_1" localSheetId="10" hidden="1">#REF!</definedName>
    <definedName name="_1_____________________123Graph_ACHART_1" hidden="1">#REF!</definedName>
    <definedName name="_1__________________123Graph_ACHART_1" hidden="1">#REF!</definedName>
    <definedName name="_1______123Graph_ACHART_1" hidden="1">#REF!</definedName>
    <definedName name="_1___123Graph_ACHART_2" hidden="1">#REF!</definedName>
    <definedName name="_1__123Graph_ACHART_1" localSheetId="10" hidden="1">#REF!</definedName>
    <definedName name="_1__123Graph_ACHART_1" localSheetId="3" hidden="1">#REF!</definedName>
    <definedName name="_1__123Graph_ACHART_1" localSheetId="9" hidden="1">#REF!</definedName>
    <definedName name="_1__123Graph_ACHART_1" localSheetId="8" hidden="1">#REF!</definedName>
    <definedName name="_1__123Graph_ACHART_1" localSheetId="11" hidden="1">#REF!</definedName>
    <definedName name="_1__123Graph_ACHART_1" hidden="1">#REF!</definedName>
    <definedName name="_1__123Graph_ACHART_10" hidden="1">#REF!</definedName>
    <definedName name="_1__123Graph_ACHART_11" hidden="1">#REF!</definedName>
    <definedName name="_1__123Graph_ACHART_2" hidden="1">#REF!</definedName>
    <definedName name="_1__FDSAUDITLINK__" localSheetId="10"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0__123Grap" hidden="1">#REF!</definedName>
    <definedName name="_1_0_S" hidden="1">#REF!</definedName>
    <definedName name="_1_8">#REF!</definedName>
    <definedName name="_10">#REF!</definedName>
    <definedName name="_10_____________________123Graph_ACHART_18" hidden="1">#REF!</definedName>
    <definedName name="_10__________________123Graph_ACHART_18" hidden="1">#REF!</definedName>
    <definedName name="_10______123Graph_ACHART_17" hidden="1">#REF!</definedName>
    <definedName name="_10______123Graph_ACHART_18" hidden="1">#REF!</definedName>
    <definedName name="_10___123Graph_CCHART_3" hidden="1">#REF!</definedName>
    <definedName name="_10__123Graph_ACHART_13" hidden="1">#REF!</definedName>
    <definedName name="_10__123Graph_ACHART_18" hidden="1">#REF!</definedName>
    <definedName name="_10__123Graph_ACHART_2" hidden="1">#REF!</definedName>
    <definedName name="_10__123Graph_ACHART_4" hidden="1">#REF!</definedName>
    <definedName name="_10__123Graph_ACHART_7" hidden="1">#REF!</definedName>
    <definedName name="_10__123Graph_BCHART_3" localSheetId="10" hidden="1">#REF!</definedName>
    <definedName name="_10__123Graph_BCHART_3" localSheetId="9" hidden="1">#REF!</definedName>
    <definedName name="_10__123Graph_BCHART_3" localSheetId="8" hidden="1">#REF!</definedName>
    <definedName name="_10__123Graph_BCHART_3" localSheetId="16" hidden="1">#REF!</definedName>
    <definedName name="_10__123Graph_BCHART_3" hidden="1">#REF!</definedName>
    <definedName name="_10__123Graph_BCHART_8" localSheetId="10" hidden="1">#REF!</definedName>
    <definedName name="_10__123Graph_BCHART_8" localSheetId="9" hidden="1">#REF!</definedName>
    <definedName name="_10__123Graph_BCHART_8" localSheetId="8" hidden="1">#REF!</definedName>
    <definedName name="_10__123Graph_BCHART_8" localSheetId="16" hidden="1">#REF!</definedName>
    <definedName name="_10__123Graph_BCHART_8" hidden="1">#REF!</definedName>
    <definedName name="_10__123Graph_CCHART_3" localSheetId="10" hidden="1">#REF!</definedName>
    <definedName name="_10__123Graph_CCHART_3" localSheetId="9" hidden="1">#REF!</definedName>
    <definedName name="_10__123Graph_CCHART_3" localSheetId="8" hidden="1">#REF!</definedName>
    <definedName name="_10__123Graph_CCHART_3" localSheetId="16" hidden="1">#REF!</definedName>
    <definedName name="_10__123Graph_CCHART_3" hidden="1">#REF!</definedName>
    <definedName name="_10__123Graph_LBL_ACHART_3" hidden="1">#REF!</definedName>
    <definedName name="_10__123Graph_LBL_ACHART_4" hidden="1">#REF!</definedName>
    <definedName name="_10__123Graph_LBL_BCHART_3" hidden="1">#REF!</definedName>
    <definedName name="_10__123Graph_LBL_DCHART_1" hidden="1">#REF!</definedName>
    <definedName name="_10__FDSAUDITLINK__" localSheetId="10"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0__123Grap" hidden="1">#N/A</definedName>
    <definedName name="_10_0ACwvu.Pag" hidden="1">#REF!</definedName>
    <definedName name="_10_11_96">#REF!</definedName>
    <definedName name="_10_18_96">#REF!</definedName>
    <definedName name="_10_2">#REF!</definedName>
    <definedName name="_10_25_96">#REF!</definedName>
    <definedName name="_10_4_96">#REF!</definedName>
    <definedName name="_100____________________123Graph_BCHART_4" hidden="1">#REF!</definedName>
    <definedName name="_100_________________123Graph_BCHART_3" hidden="1">#REF!</definedName>
    <definedName name="_100_____123Graph_ACHART_2" hidden="1">#REF!</definedName>
    <definedName name="_100_____123Graph_BCHART_2" hidden="1">#REF!</definedName>
    <definedName name="_100_____123Graph_BCHART_3" hidden="1">#REF!</definedName>
    <definedName name="_100__123Graph_ECHART_6" hidden="1">#REF!</definedName>
    <definedName name="_1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1________123Graph_ACHART_1" hidden="1">#REF!</definedName>
    <definedName name="_10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2________123Graph_ACHART_10" hidden="1">#REF!</definedName>
    <definedName name="_10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3________123Graph_ACHART_11" hidden="1">#REF!</definedName>
    <definedName name="_10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4________123Graph_ACHART_12" hidden="1">#REF!</definedName>
    <definedName name="_10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5________123Graph_ACHART_13" hidden="1">#REF!</definedName>
    <definedName name="_10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6________123Graph_ACHART_14" hidden="1">#REF!</definedName>
    <definedName name="_10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7________123Graph_ACHART_15" hidden="1">#REF!</definedName>
    <definedName name="_10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8________123Graph_ACHART_16" hidden="1">#REF!</definedName>
    <definedName name="_10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09________123Graph_ACHART_17" hidden="1">#REF!</definedName>
    <definedName name="_10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____________________123Graph_BCHART_5" hidden="1">#REF!</definedName>
    <definedName name="_101_________________123Graph_BCHART_4" hidden="1">#REF!</definedName>
    <definedName name="_101_____123Graph_BCHART_3" hidden="1">#REF!</definedName>
    <definedName name="_101_____123Graph_BCHART_4" hidden="1">#REF!</definedName>
    <definedName name="_1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0________123Graph_ACHART_18" hidden="1">#REF!</definedName>
    <definedName name="_10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1________123Graph_ACHART_2" hidden="1">#REF!</definedName>
    <definedName name="_10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2________123Graph_ACHART_3" hidden="1">#REF!</definedName>
    <definedName name="_10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3________123Graph_ACHART_4" hidden="1">#REF!</definedName>
    <definedName name="_10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4________123Graph_ACHART_5" hidden="1">#REF!</definedName>
    <definedName name="_10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5________123Graph_ACHART_6" hidden="1">#REF!</definedName>
    <definedName name="_10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6________123Graph_ACHART_7" hidden="1">#REF!</definedName>
    <definedName name="_10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7________123Graph_ACHART_8" hidden="1">#REF!</definedName>
    <definedName name="_10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8________123Graph_ACHART_9" hidden="1">#REF!</definedName>
    <definedName name="_10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19________123Graph_BCHART_1" hidden="1">#REF!</definedName>
    <definedName name="_10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____________________123Graph_BCHART_6" hidden="1">#REF!</definedName>
    <definedName name="_102_________________123Graph_BCHART_5" hidden="1">#REF!</definedName>
    <definedName name="_102_____123Graph_ACHART_3" hidden="1">#REF!</definedName>
    <definedName name="_102_____123Graph_BCHART_4" hidden="1">#REF!</definedName>
    <definedName name="_102_____123Graph_BCHART_5" hidden="1">#REF!</definedName>
    <definedName name="_102__123Graph_ECHART_7" hidden="1">#REF!</definedName>
    <definedName name="_1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0________123Graph_BCHART_17" hidden="1">#REF!</definedName>
    <definedName name="_10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1________123Graph_BCHART_18" hidden="1">#REF!</definedName>
    <definedName name="_10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2________123Graph_BCHART_2" hidden="1">#REF!</definedName>
    <definedName name="_10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3________123Graph_BCHART_3" hidden="1">#REF!</definedName>
    <definedName name="_10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4________123Graph_BCHART_4" hidden="1">#REF!</definedName>
    <definedName name="_10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5________123Graph_BCHART_5" hidden="1">#REF!</definedName>
    <definedName name="_10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6________123Graph_BCHART_6" hidden="1">#REF!</definedName>
    <definedName name="_10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7________123Graph_BCHART_7" hidden="1">#REF!</definedName>
    <definedName name="_10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8________123Graph_BCHART_8" hidden="1">#REF!</definedName>
    <definedName name="_10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29________123Graph_CCHART_1" hidden="1">#REF!</definedName>
    <definedName name="_10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____________________123Graph_BCHART_7" hidden="1">#REF!</definedName>
    <definedName name="_103_________________123Graph_BCHART_6" hidden="1">#REF!</definedName>
    <definedName name="_103_____123Graph_BCHART_5" hidden="1">#REF!</definedName>
    <definedName name="_103_____123Graph_BCHART_6" hidden="1">#REF!</definedName>
    <definedName name="_1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0________123Graph_CCHART_2" hidden="1">#REF!</definedName>
    <definedName name="_10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1________123Graph_CCHART_3" hidden="1">#REF!</definedName>
    <definedName name="_10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2________123Graph_CCHART_4" hidden="1">#REF!</definedName>
    <definedName name="_10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3________123Graph_CCHART_5" hidden="1">#REF!</definedName>
    <definedName name="_10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4________123Graph_CCHART_6" hidden="1">#REF!</definedName>
    <definedName name="_10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5________123Graph_CCHART_7" hidden="1">#REF!</definedName>
    <definedName name="_10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6________123Graph_CCHART_8" hidden="1">#REF!</definedName>
    <definedName name="_10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7________123Graph_DCHART_1" hidden="1">#REF!</definedName>
    <definedName name="_10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8________123Graph_DCHART_2" hidden="1">#REF!</definedName>
    <definedName name="_10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39________123Graph_DCHART_3" hidden="1">#REF!</definedName>
    <definedName name="_10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____________________123Graph_BCHART_8" hidden="1">#REF!</definedName>
    <definedName name="_104_________________123Graph_BCHART_7" hidden="1">#REF!</definedName>
    <definedName name="_104_____123Graph_ACHART_4" hidden="1">#REF!</definedName>
    <definedName name="_104_____123Graph_BCHART_6" hidden="1">#REF!</definedName>
    <definedName name="_104_____123Graph_BCHART_7" hidden="1">#REF!</definedName>
    <definedName name="_104__123Graph_ECHART_8" hidden="1">#REF!</definedName>
    <definedName name="_1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0________123Graph_DCHART_4" hidden="1">#REF!</definedName>
    <definedName name="_10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1________123Graph_DCHART_5" hidden="1">#REF!</definedName>
    <definedName name="_10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2________123Graph_DCHART_6" hidden="1">#REF!</definedName>
    <definedName name="_10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3________123Graph_DCHART_7" hidden="1">#REF!</definedName>
    <definedName name="_10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4________123Graph_DCHART_8" hidden="1">#REF!</definedName>
    <definedName name="_10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5________123Graph_ECHART_1" hidden="1">#REF!</definedName>
    <definedName name="_10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6________123Graph_ECHART_2" hidden="1">#REF!</definedName>
    <definedName name="_10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7________123Graph_ECHART_3" hidden="1">#REF!</definedName>
    <definedName name="_10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8________123Graph_ECHART_4" hidden="1">#REF!</definedName>
    <definedName name="_10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49________123Graph_ECHART_5" hidden="1">#REF!</definedName>
    <definedName name="_10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____________________123Graph_CCHART_1" hidden="1">#REF!</definedName>
    <definedName name="_105_________________123Graph_BCHART_8" hidden="1">#REF!</definedName>
    <definedName name="_105_____123Graph_BCHART_7" hidden="1">#REF!</definedName>
    <definedName name="_105_____123Graph_BCHART_8" hidden="1">#REF!</definedName>
    <definedName name="_1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0________123Graph_ECHART_6" hidden="1">#REF!</definedName>
    <definedName name="_10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1________123Graph_ECHART_7" hidden="1">#REF!</definedName>
    <definedName name="_10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2________123Graph_ECHART_8" hidden="1">#REF!</definedName>
    <definedName name="_10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3________123Graph_FCHART_1" hidden="1">#REF!</definedName>
    <definedName name="_10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4________123Graph_FCHART_2" hidden="1">#REF!</definedName>
    <definedName name="_10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5________123Graph_FCHART_3" hidden="1">#REF!</definedName>
    <definedName name="_10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6________123Graph_FCHART_4" hidden="1">#REF!</definedName>
    <definedName name="_10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7________123Graph_FCHART_6" hidden="1">#REF!</definedName>
    <definedName name="_10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8________123Graph_FCHART_7" hidden="1">#REF!</definedName>
    <definedName name="_10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59________123Graph_FCHART_8" hidden="1">#REF!</definedName>
    <definedName name="_10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____________________123Graph_CCHART_2" hidden="1">#REF!</definedName>
    <definedName name="_106_________________123Graph_CCHART_1" hidden="1">#REF!</definedName>
    <definedName name="_106_____123Graph_ACHART_5" hidden="1">#REF!</definedName>
    <definedName name="_106_____123Graph_BCHART_8" hidden="1">#REF!</definedName>
    <definedName name="_106_____123Graph_CCHART_1" hidden="1">#REF!</definedName>
    <definedName name="_106__123Graph_FCHART_1" hidden="1">#REF!</definedName>
    <definedName name="_1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0________123Graph_XCHART_1" hidden="1">#REF!</definedName>
    <definedName name="_10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1________123Graph_XCHART_10" hidden="1">#REF!</definedName>
    <definedName name="_10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2________123Graph_XCHART_11" hidden="1">#REF!</definedName>
    <definedName name="_10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3________123Graph_XCHART_12" hidden="1">#REF!</definedName>
    <definedName name="_10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4________123Graph_XCHART_13" hidden="1">#REF!</definedName>
    <definedName name="_10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5________123Graph_XCHART_14" hidden="1">#REF!</definedName>
    <definedName name="_10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6________123Graph_XCHART_15" hidden="1">#REF!</definedName>
    <definedName name="_10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7________123Graph_XCHART_16" hidden="1">#REF!</definedName>
    <definedName name="_10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8________123Graph_XCHART_17" hidden="1">#REF!</definedName>
    <definedName name="_10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69________123Graph_XCHART_18" hidden="1">#REF!</definedName>
    <definedName name="_10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____________________123Graph_CCHART_3" hidden="1">#REF!</definedName>
    <definedName name="_107_________________123Graph_CCHART_2" hidden="1">#REF!</definedName>
    <definedName name="_107_____123Graph_CCHART_1" hidden="1">#REF!</definedName>
    <definedName name="_107_____123Graph_CCHART_2" hidden="1">#REF!</definedName>
    <definedName name="_1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0________123Graph_XCHART_2" hidden="1">#REF!</definedName>
    <definedName name="_10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1________123Graph_XCHART_3" hidden="1">#REF!</definedName>
    <definedName name="_10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2________123Graph_XCHART_4" hidden="1">#REF!</definedName>
    <definedName name="_10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3________123Graph_XCHART_5" hidden="1">#REF!</definedName>
    <definedName name="_10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4________123Graph_XCHART_6" hidden="1">#REF!</definedName>
    <definedName name="_10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5________123Graph_XCHART_7" hidden="1">#REF!</definedName>
    <definedName name="_10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6________123Graph_XCHART_8" hidden="1">#REF!</definedName>
    <definedName name="_10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7________123Graph_XCHART_9" hidden="1">#REF!</definedName>
    <definedName name="_10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____________________123Graph_CCHART_4" hidden="1">#REF!</definedName>
    <definedName name="_108_________________123Graph_CCHART_3" hidden="1">#REF!</definedName>
    <definedName name="_108_____123Graph_ACHART_6" hidden="1">#REF!</definedName>
    <definedName name="_108_____123Graph_CCHART_2" hidden="1">#REF!</definedName>
    <definedName name="_108_____123Graph_CCHART_3" hidden="1">#REF!</definedName>
    <definedName name="_108__123Graph_FCHART_2" hidden="1">#REF!</definedName>
    <definedName name="_1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____________________123Graph_CCHART_5" hidden="1">#REF!</definedName>
    <definedName name="_109_________________123Graph_CCHART_4" hidden="1">#REF!</definedName>
    <definedName name="_109_____123Graph_CCHART_3" hidden="1">#REF!</definedName>
    <definedName name="_109_____123Graph_CCHART_4" hidden="1">#REF!</definedName>
    <definedName name="_1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0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092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3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4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5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6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7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8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9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IQ_FHLB_DUE_CY" hidden="1">"c2082"</definedName>
    <definedName name="_11" localSheetId="10">#REF!</definedName>
    <definedName name="_11">#REF!</definedName>
    <definedName name="_11_____________________123Graph_ACHART_2" localSheetId="10" hidden="1">#REF!</definedName>
    <definedName name="_11_____________________123Graph_ACHART_2" hidden="1">#REF!</definedName>
    <definedName name="_11__________________123Graph_ACHART_2" localSheetId="10" hidden="1">#REF!</definedName>
    <definedName name="_11__________________123Graph_ACHART_2" hidden="1">#REF!</definedName>
    <definedName name="_11______123Graph_ACHART_18" hidden="1">#REF!</definedName>
    <definedName name="_11______123Graph_ACHART_2" hidden="1">#REF!</definedName>
    <definedName name="_11___123Graph_CCHART_4" hidden="1">#REF!</definedName>
    <definedName name="_11__123Graph_ACHART_2" hidden="1">#REF!</definedName>
    <definedName name="_11__123Graph_ACHART_3" hidden="1">#REF!</definedName>
    <definedName name="_11__123Graph_ACHART_5" hidden="1">#REF!</definedName>
    <definedName name="_11__123Graph_ACHART_8" hidden="1">#REF!</definedName>
    <definedName name="_11__123Graph_BCHART_10" hidden="1">#REF!</definedName>
    <definedName name="_11__123Graph_CCHART_1" localSheetId="10" hidden="1">#REF!</definedName>
    <definedName name="_11__123Graph_CCHART_1" localSheetId="9" hidden="1">#REF!</definedName>
    <definedName name="_11__123Graph_CCHART_1" localSheetId="8" hidden="1">#REF!</definedName>
    <definedName name="_11__123Graph_CCHART_1" localSheetId="16" hidden="1">#REF!</definedName>
    <definedName name="_11__123Graph_CCHART_1" hidden="1">#REF!</definedName>
    <definedName name="_11__123Graph_CCHART_4" hidden="1">#REF!</definedName>
    <definedName name="_11__123Graph_CCHART_8" localSheetId="10" hidden="1">#REF!</definedName>
    <definedName name="_11__123Graph_CCHART_8" localSheetId="9" hidden="1">#REF!</definedName>
    <definedName name="_11__123Graph_CCHART_8" localSheetId="8" hidden="1">#REF!</definedName>
    <definedName name="_11__123Graph_CCHART_8" localSheetId="16" hidden="1">#REF!</definedName>
    <definedName name="_11__123Graph_CCHART_8" hidden="1">#REF!</definedName>
    <definedName name="_11__123Graph_DCHART_1" localSheetId="10" hidden="1">#REF!</definedName>
    <definedName name="_11__123Graph_DCHART_1" localSheetId="9" hidden="1">#REF!</definedName>
    <definedName name="_11__123Graph_DCHART_1" localSheetId="8" hidden="1">#REF!</definedName>
    <definedName name="_11__123Graph_DCHART_1" localSheetId="16" hidden="1">#REF!</definedName>
    <definedName name="_11__123Graph_DCHART_1" hidden="1">#REF!</definedName>
    <definedName name="_11__123Graph_LBL_ACHART_4" hidden="1">#REF!</definedName>
    <definedName name="_11__123Graph_LBL_BCHART_3" hidden="1">#REF!</definedName>
    <definedName name="_11__123Graph_LBL_ECHART_1" hidden="1">#REF!</definedName>
    <definedName name="_11__FDSAUDITLINK__" localSheetId="10"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0__123Grap" hidden="1">#N/A</definedName>
    <definedName name="_11_3" localSheetId="10">#REF!</definedName>
    <definedName name="_11_3">#REF!</definedName>
    <definedName name="_110____________________123Graph_CCHART_6" localSheetId="10" hidden="1">#REF!</definedName>
    <definedName name="_110____________________123Graph_CCHART_6" hidden="1">#REF!</definedName>
    <definedName name="_110_________________123Graph_CCHART_5" localSheetId="10" hidden="1">#REF!</definedName>
    <definedName name="_110_________________123Graph_CCHART_5" hidden="1">#REF!</definedName>
    <definedName name="_110_____123Graph_ACHART_7" hidden="1">#REF!</definedName>
    <definedName name="_110_____123Graph_CCHART_4" hidden="1">#REF!</definedName>
    <definedName name="_110_____123Graph_CCHART_5" hidden="1">#REF!</definedName>
    <definedName name="_110__123Graph_CCHART_3" hidden="1">#REF!</definedName>
    <definedName name="_110__123Graph_FCHART_3" hidden="1">#REF!</definedName>
    <definedName name="_1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00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1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2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3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4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5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6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7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8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9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1____________________123Graph_CCHART_7" hidden="1">#REF!</definedName>
    <definedName name="_111_________________123Graph_CCHART_6" hidden="1">#REF!</definedName>
    <definedName name="_111_____123Graph_CCHART_5" hidden="1">#REF!</definedName>
    <definedName name="_111_____123Graph_CCHART_6" hidden="1">#REF!</definedName>
    <definedName name="_1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10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1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2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4__FDSAUDITLINK__" localSheetId="1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_1" localSheetId="1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_1"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5__FDSAUDITLINK__" localSheetId="1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_1" localSheetId="1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_1" hidden="1">{"fdsup:app=SCRIPT&amp;creator=factset&amp;CMD=INSTRUCTION&amp;WINDOW=NEW&amp;TARGET_APP=EDGAR\Search by Symbol&amp;INSTRUCTION_NAME=VIEW_DOCUMENT&amp;display_string=View Document&amp;IDENTIFIER=GM&amp;START_DATE=20070315&amp;END_DATE=20070315&amp;FILING=10-K"}</definedName>
    <definedName name="_1116__FDSAUDITLINK__" localSheetId="1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_1" localSheetId="1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_1"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7__FDSAUDITLINK__" localSheetId="1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_1" localSheetId="1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_1"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8__FDSAUDITLINK__" localSheetId="1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_1" localSheetId="1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_1"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9__FDSAUDITLINK__" localSheetId="1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_1" localSheetId="1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_1"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2">#N/A</definedName>
    <definedName name="_112____________________123Graph_CCHART_8" hidden="1">#REF!</definedName>
    <definedName name="_112_________________123Graph_CCHART_7" hidden="1">#REF!</definedName>
    <definedName name="_112_____123Graph_ACHART_8" hidden="1">#REF!</definedName>
    <definedName name="_112_____123Graph_CCHART_6" hidden="1">#REF!</definedName>
    <definedName name="_112_____123Graph_CCHART_7" hidden="1">#REF!</definedName>
    <definedName name="_112__123Graph_FCHART_4" hidden="1">#REF!</definedName>
    <definedName name="_112__FDSAUDITLINK__" localSheetId="1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20__FDSAUDITLINK__" localSheetId="1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_1" localSheetId="1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_1"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1__FDSAUDITLINK__" localSheetId="1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_1" localSheetId="1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_1"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2__FDSAUDITLINK__" localSheetId="1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_1" localSheetId="1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_1"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3__FDSAUDITLINK__" localSheetId="1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_1" localSheetId="1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_1"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4__FDSAUDITLINK__" localSheetId="1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_1" localSheetId="1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_1"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5__FDSAUDITLINK__" localSheetId="1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_1" localSheetId="1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_1"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6__FDSAUDITLINK__" localSheetId="1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_1" localSheetId="1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_1"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7__FDSAUDITLINK__" localSheetId="1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_1" localSheetId="1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_1"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8__FDSAUDITLINK__" localSheetId="1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_1" localSheetId="1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_1"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9__FDSAUDITLINK__" localSheetId="1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_1" localSheetId="1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_1"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3____________________123Graph_DCHART_1" hidden="1">#REF!</definedName>
    <definedName name="_113_________________123Graph_CCHART_8" hidden="1">#REF!</definedName>
    <definedName name="_113_____123Graph_CCHART_7" hidden="1">#REF!</definedName>
    <definedName name="_113_____123Graph_CCHART_8" hidden="1">#REF!</definedName>
    <definedName name="_1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30__FDSAUDITLINK__" localSheetId="1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_1" localSheetId="1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_1"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1__FDSAUDITLINK__" localSheetId="1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_1" localSheetId="1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_1"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2__FDSAUDITLINK__" localSheetId="1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_1" localSheetId="1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_1"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3__FDSAUDITLINK__" localSheetId="1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_1" localSheetId="1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_1"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4__FDSAUDITLINK__" localSheetId="1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_1" localSheetId="1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_1"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5__FDSAUDITLINK__" localSheetId="1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_1" localSheetId="1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_1"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6__FDSAUDITLINK__" localSheetId="1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_1" localSheetId="1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_1"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1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_1" localSheetId="1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_1"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8__FDSAUDITLINK__" localSheetId="1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_1" localSheetId="1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_1"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9__FDSAUDITLINK__" localSheetId="1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_1" localSheetId="1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_1"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4____________________123Graph_DCHART_2" hidden="1">#REF!</definedName>
    <definedName name="_114_________________123Graph_DCHART_1" hidden="1">#REF!</definedName>
    <definedName name="_114_____123Graph_ACHART_9" hidden="1">#REF!</definedName>
    <definedName name="_114_____123Graph_CCHART_8" hidden="1">#REF!</definedName>
    <definedName name="_114_____123Graph_DCHART_1" hidden="1">#REF!</definedName>
    <definedName name="_114__123Graph_FCHART_6" hidden="1">#REF!</definedName>
    <definedName name="_1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40__FDSAUDITLINK__" localSheetId="1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_1" localSheetId="1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_1"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1__FDSAUDITLINK__" localSheetId="1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_1" localSheetId="1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_1"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5____________________123Graph_DCHART_3" hidden="1">#REF!</definedName>
    <definedName name="_115_________________123Graph_DCHART_2" hidden="1">#REF!</definedName>
    <definedName name="_115_____123Graph_DCHART_1" hidden="1">#REF!</definedName>
    <definedName name="_115_____123Graph_DCHART_2" hidden="1">#REF!</definedName>
    <definedName name="_1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6____________________123Graph_DCHART_4" hidden="1">#REF!</definedName>
    <definedName name="_116_________________123Graph_DCHART_3" hidden="1">#REF!</definedName>
    <definedName name="_116_____123Graph_BCHART_1" hidden="1">#REF!</definedName>
    <definedName name="_116_____123Graph_DCHART_2" hidden="1">#REF!</definedName>
    <definedName name="_116_____123Graph_DCHART_3" hidden="1">#REF!</definedName>
    <definedName name="_116__123Graph_FCHART_7" hidden="1">#REF!</definedName>
    <definedName name="_1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7____________________123Graph_DCHART_5" hidden="1">#REF!</definedName>
    <definedName name="_117_________________123Graph_DCHART_4" hidden="1">#REF!</definedName>
    <definedName name="_117_____123Graph_DCHART_3" hidden="1">#REF!</definedName>
    <definedName name="_117_____123Graph_DCHART_4" hidden="1">#REF!</definedName>
    <definedName name="_1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8____________________123Graph_DCHART_6" hidden="1">#REF!</definedName>
    <definedName name="_118_________________123Graph_DCHART_5" hidden="1">#REF!</definedName>
    <definedName name="_118_____123Graph_BCHART_17" hidden="1">#REF!</definedName>
    <definedName name="_118_____123Graph_DCHART_4" hidden="1">#REF!</definedName>
    <definedName name="_118_____123Graph_DCHART_5" hidden="1">#REF!</definedName>
    <definedName name="_118__123Graph_FCHART_8" hidden="1">#REF!</definedName>
    <definedName name="_1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9____________________123Graph_DCHART_7" hidden="1">#REF!</definedName>
    <definedName name="_119_________________123Graph_DCHART_6" hidden="1">#REF!</definedName>
    <definedName name="_119_____123Graph_DCHART_5" hidden="1">#REF!</definedName>
    <definedName name="_119_____123Graph_DCHART_6" hidden="1">#REF!</definedName>
    <definedName name="_1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1Table2_" hidden="1">#REF!</definedName>
    <definedName name="_12">#REF!</definedName>
    <definedName name="_12.5_x_12.5">#REF!</definedName>
    <definedName name="_12_____________________123Graph_ACHART_3" hidden="1">#REF!</definedName>
    <definedName name="_12__________________123Graph_ACHART_3" hidden="1">#REF!</definedName>
    <definedName name="_12______123Graph_ACHART_2" hidden="1">#REF!</definedName>
    <definedName name="_12______123Graph_ACHART_3" hidden="1">#REF!</definedName>
    <definedName name="_12___123Graph_CCHART_5" hidden="1">#REF!</definedName>
    <definedName name="_12__123Graph_ACHART_14" hidden="1">#REF!</definedName>
    <definedName name="_12__123Graph_ACHART_3" hidden="1">#REF!</definedName>
    <definedName name="_12__123Graph_ACHART_5" hidden="1">#REF!</definedName>
    <definedName name="_12__123Graph_ACHART_8" hidden="1">#REF!</definedName>
    <definedName name="_12__123Graph_ACHART_9" hidden="1">#REF!</definedName>
    <definedName name="_12__123Graph_BCHART_15" hidden="1">#REF!</definedName>
    <definedName name="_12__123Graph_CCHART_3" localSheetId="10" hidden="1">#REF!</definedName>
    <definedName name="_12__123Graph_CCHART_3" localSheetId="9" hidden="1">#REF!</definedName>
    <definedName name="_12__123Graph_CCHART_3" localSheetId="8" hidden="1">#REF!</definedName>
    <definedName name="_12__123Graph_CCHART_3" localSheetId="16" hidden="1">#REF!</definedName>
    <definedName name="_12__123Graph_CCHART_3" hidden="1">#REF!</definedName>
    <definedName name="_12__123Graph_CCHART_5" hidden="1">#REF!</definedName>
    <definedName name="_12__123Graph_DCHART_1" localSheetId="10" hidden="1">#REF!</definedName>
    <definedName name="_12__123Graph_DCHART_1" localSheetId="9" hidden="1">#REF!</definedName>
    <definedName name="_12__123Graph_DCHART_1" localSheetId="8" hidden="1">#REF!</definedName>
    <definedName name="_12__123Graph_DCHART_1" localSheetId="16" hidden="1">#REF!</definedName>
    <definedName name="_12__123Graph_DCHART_1" hidden="1">#REF!</definedName>
    <definedName name="_12__123Graph_LBL_ACHART_1" localSheetId="10" hidden="1">#REF!</definedName>
    <definedName name="_12__123Graph_LBL_ACHART_1" localSheetId="9" hidden="1">#REF!</definedName>
    <definedName name="_12__123Graph_LBL_ACHART_1" localSheetId="8" hidden="1">#REF!</definedName>
    <definedName name="_12__123Graph_LBL_ACHART_1" localSheetId="16" hidden="1">#REF!</definedName>
    <definedName name="_12__123Graph_LBL_ACHART_1" hidden="1">#REF!</definedName>
    <definedName name="_12__123Graph_LBL_BCHART_1" hidden="1">#REF!</definedName>
    <definedName name="_12__123Graph_LBL_BCHART_4" hidden="1">#REF!</definedName>
    <definedName name="_12__123Graph_LBL_ECHART_4" hidden="1">#REF!</definedName>
    <definedName name="_12__FDSAUDITLINK__" localSheetId="10"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0Swvu.Pag" hidden="1">#REF!</definedName>
    <definedName name="_12_4">#REF!</definedName>
    <definedName name="_120____________________123Graph_DCHART_8" hidden="1">#REF!</definedName>
    <definedName name="_120_________________123Graph_DCHART_7" hidden="1">#REF!</definedName>
    <definedName name="_120_____123Graph_BCHART_18" hidden="1">#REF!</definedName>
    <definedName name="_120_____123Graph_DCHART_6" hidden="1">#REF!</definedName>
    <definedName name="_120_____123Graph_DCHART_7" hidden="1">#REF!</definedName>
    <definedName name="_120__123Graph_XCHART_1" hidden="1">#REF!</definedName>
    <definedName name="_120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1____________________123Graph_ECHART_1" hidden="1">#REF!</definedName>
    <definedName name="_121_________________123Graph_DCHART_8" hidden="1">#REF!</definedName>
    <definedName name="_121_____123Graph_DCHART_7" hidden="1">#REF!</definedName>
    <definedName name="_121_____123Graph_DCHART_8" hidden="1">#REF!</definedName>
    <definedName name="_121__123Graph_CCHART_4" hidden="1">#REF!</definedName>
    <definedName name="_1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2____________________123Graph_ECHART_2" hidden="1">#REF!</definedName>
    <definedName name="_122_________________123Graph_ECHART_1" hidden="1">#REF!</definedName>
    <definedName name="_122_____123Graph_BCHART_2" hidden="1">#REF!</definedName>
    <definedName name="_122_____123Graph_DCHART_8" hidden="1">#REF!</definedName>
    <definedName name="_122_____123Graph_ECHART_1" hidden="1">#REF!</definedName>
    <definedName name="_122__123Graph_XCHART_10" hidden="1">#REF!</definedName>
    <definedName name="_1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3" hidden="1">#REF!</definedName>
    <definedName name="_123____________________123Graph_ECHART_3" hidden="1">#REF!</definedName>
    <definedName name="_123_________________123Graph_ECHART_2" hidden="1">#REF!</definedName>
    <definedName name="_123_____123Graph_ECHART_1" hidden="1">#REF!</definedName>
    <definedName name="_123_____123Graph_ECHART_2" hidden="1">#REF!</definedName>
    <definedName name="_1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3Graph_A" hidden="1">#REF!</definedName>
    <definedName name="_123Graph_b" hidden="1">#REF!</definedName>
    <definedName name="_123Graph_BCD" hidden="1">#REF!</definedName>
    <definedName name="_123Graph_D1" hidden="1">#REF!</definedName>
    <definedName name="_123Graph_E1" hidden="1">#REF!</definedName>
    <definedName name="_124____________________123Graph_ECHART_4" hidden="1">#REF!</definedName>
    <definedName name="_124_________________123Graph_ECHART_3" hidden="1">#REF!</definedName>
    <definedName name="_124_____123Graph_BCHART_3" hidden="1">#REF!</definedName>
    <definedName name="_124_____123Graph_ECHART_2" hidden="1">#REF!</definedName>
    <definedName name="_124_____123Graph_ECHART_3" hidden="1">#REF!</definedName>
    <definedName name="_124__123Graph_XCHART_11" hidden="1">#REF!</definedName>
    <definedName name="_1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5____________________123Graph_ECHART_5" hidden="1">#REF!</definedName>
    <definedName name="_125_________________123Graph_ECHART_4" hidden="1">#REF!</definedName>
    <definedName name="_125_____123Graph_ECHART_3" hidden="1">#REF!</definedName>
    <definedName name="_125_____123Graph_ECHART_4" hidden="1">#REF!</definedName>
    <definedName name="_1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6____________________123Graph_ECHART_6" hidden="1">#REF!</definedName>
    <definedName name="_126_________________123Graph_ECHART_5" hidden="1">#REF!</definedName>
    <definedName name="_126_____123Graph_BCHART_4" hidden="1">#REF!</definedName>
    <definedName name="_126_____123Graph_ECHART_4" hidden="1">#REF!</definedName>
    <definedName name="_126_____123Graph_ECHART_5" hidden="1">#REF!</definedName>
    <definedName name="_126__123Graph_XCHART_12" hidden="1">#REF!</definedName>
    <definedName name="_1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7____________________123Graph_ECHART_7" hidden="1">#REF!</definedName>
    <definedName name="_127_________________123Graph_ECHART_6" hidden="1">#REF!</definedName>
    <definedName name="_127_____123Graph_ECHART_5" hidden="1">#REF!</definedName>
    <definedName name="_127_____123Graph_ECHART_6" hidden="1">#REF!</definedName>
    <definedName name="_1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8____________________123Graph_ECHART_8" hidden="1">#REF!</definedName>
    <definedName name="_128_________________123Graph_ECHART_7" hidden="1">#REF!</definedName>
    <definedName name="_128_____123Graph_BCHART_5" hidden="1">#REF!</definedName>
    <definedName name="_128_____123Graph_ECHART_6" hidden="1">#REF!</definedName>
    <definedName name="_128_____123Graph_ECHART_7" hidden="1">#REF!</definedName>
    <definedName name="_128__123Graph_XCHART_13" hidden="1">#REF!</definedName>
    <definedName name="_1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29____________________123Graph_FCHART_1" hidden="1">#REF!</definedName>
    <definedName name="_129_________________123Graph_ECHART_8" hidden="1">#REF!</definedName>
    <definedName name="_129_____123Graph_ECHART_7" hidden="1">#REF!</definedName>
    <definedName name="_129_____123Graph_ECHART_8" hidden="1">#REF!</definedName>
    <definedName name="_1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#REF!</definedName>
    <definedName name="_13_____________________123Graph_ACHART_4" hidden="1">#REF!</definedName>
    <definedName name="_13__________________123Graph_ACHART_4" hidden="1">#REF!</definedName>
    <definedName name="_13______123Graph_ACHART_3" hidden="1">#REF!</definedName>
    <definedName name="_13______123Graph_ACHART_4" hidden="1">#REF!</definedName>
    <definedName name="_13___123Graph_DCHART_2" hidden="1">#REF!</definedName>
    <definedName name="_13__123Graph_ACHART_1" localSheetId="10" hidden="1">#REF!</definedName>
    <definedName name="_13__123Graph_ACHART_1" localSheetId="9" hidden="1">#REF!</definedName>
    <definedName name="_13__123Graph_ACHART_1" localSheetId="8" hidden="1">#REF!</definedName>
    <definedName name="_13__123Graph_ACHART_1" localSheetId="16" hidden="1">#REF!</definedName>
    <definedName name="_13__123Graph_ACHART_1" hidden="1">#REF!</definedName>
    <definedName name="_13__123Graph_ACHART_4" hidden="1">#REF!</definedName>
    <definedName name="_13__123Graph_ACHART_9" hidden="1">#REF!</definedName>
    <definedName name="_13__123Graph_BCHART_13" hidden="1">#REF!</definedName>
    <definedName name="_13__123Graph_BCHART_17" hidden="1">#REF!</definedName>
    <definedName name="_13__123Graph_CCHART_8" localSheetId="10" hidden="1">#REF!</definedName>
    <definedName name="_13__123Graph_CCHART_8" localSheetId="9" hidden="1">#REF!</definedName>
    <definedName name="_13__123Graph_CCHART_8" localSheetId="8" hidden="1">#REF!</definedName>
    <definedName name="_13__123Graph_CCHART_8" localSheetId="16" hidden="1">#REF!</definedName>
    <definedName name="_13__123Graph_CCHART_8" hidden="1">#REF!</definedName>
    <definedName name="_13__123Graph_DCHART_2" hidden="1">#REF!</definedName>
    <definedName name="_13__123Graph_DCHART_8" localSheetId="10" hidden="1">#REF!</definedName>
    <definedName name="_13__123Graph_DCHART_8" localSheetId="9" hidden="1">#REF!</definedName>
    <definedName name="_13__123Graph_DCHART_8" localSheetId="8" hidden="1">#REF!</definedName>
    <definedName name="_13__123Graph_DCHART_8" localSheetId="16" hidden="1">#REF!</definedName>
    <definedName name="_13__123Graph_DCHART_8" hidden="1">#REF!</definedName>
    <definedName name="_13__123Graph_LBL_ACHART_3" localSheetId="10" hidden="1">#REF!</definedName>
    <definedName name="_13__123Graph_LBL_ACHART_3" localSheetId="9" hidden="1">#REF!</definedName>
    <definedName name="_13__123Graph_LBL_ACHART_3" localSheetId="8" hidden="1">#REF!</definedName>
    <definedName name="_13__123Graph_LBL_ACHART_3" localSheetId="16" hidden="1">#REF!</definedName>
    <definedName name="_13__123Graph_LBL_ACHART_3" hidden="1">#REF!</definedName>
    <definedName name="_13__123Graph_LBL_BCHART_2" hidden="1">#REF!</definedName>
    <definedName name="_13__123Graph_LBL_FCHART_1" hidden="1">#REF!</definedName>
    <definedName name="_13__123Graph_XCHART_2" hidden="1">#REF!</definedName>
    <definedName name="_13__FDSAUDITLINK__" localSheetId="10"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5" localSheetId="10">#REF!</definedName>
    <definedName name="_13_5">#REF!</definedName>
    <definedName name="_130____________________123Graph_FCHART_2" localSheetId="10" hidden="1">#REF!</definedName>
    <definedName name="_130____________________123Graph_FCHART_2" hidden="1">#REF!</definedName>
    <definedName name="_130_________________123Graph_FCHART_1" localSheetId="10" hidden="1">#REF!</definedName>
    <definedName name="_130_________________123Graph_FCHART_1" hidden="1">#REF!</definedName>
    <definedName name="_130_____123Graph_BCHART_6" hidden="1">#REF!</definedName>
    <definedName name="_130_____123Graph_ECHART_8" hidden="1">#REF!</definedName>
    <definedName name="_130_____123Graph_FCHART_1" hidden="1">#REF!</definedName>
    <definedName name="_130__123Graph_XCHART_14" hidden="1">#REF!</definedName>
    <definedName name="_1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1____________________123Graph_FCHART_3" hidden="1">#REF!</definedName>
    <definedName name="_131_________________123Graph_FCHART_2" hidden="1">#REF!</definedName>
    <definedName name="_131_____123Graph_FCHART_1" hidden="1">#REF!</definedName>
    <definedName name="_131_____123Graph_FCHART_2" hidden="1">#REF!</definedName>
    <definedName name="_1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2____________________123Graph_FCHART_4" hidden="1">#REF!</definedName>
    <definedName name="_132_________________123Graph_FCHART_3" hidden="1">#REF!</definedName>
    <definedName name="_132_____123Graph_BCHART_7" hidden="1">#REF!</definedName>
    <definedName name="_132_____123Graph_FCHART_2" hidden="1">#REF!</definedName>
    <definedName name="_132_____123Graph_FCHART_3" hidden="1">#REF!</definedName>
    <definedName name="_132__123Graph_CCHART_5" hidden="1">#REF!</definedName>
    <definedName name="_132__123Graph_XCHART_15" hidden="1">#REF!</definedName>
    <definedName name="_1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3____________________123Graph_FCHART_6" hidden="1">#REF!</definedName>
    <definedName name="_133_________________123Graph_FCHART_4" hidden="1">#REF!</definedName>
    <definedName name="_133_____123Graph_FCHART_3" hidden="1">#REF!</definedName>
    <definedName name="_133_____123Graph_FCHART_4" hidden="1">#REF!</definedName>
    <definedName name="_1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4____________________123Graph_FCHART_7" hidden="1">#REF!</definedName>
    <definedName name="_134_________________123Graph_FCHART_6" hidden="1">#REF!</definedName>
    <definedName name="_134_____123Graph_BCHART_8" hidden="1">#REF!</definedName>
    <definedName name="_134_____123Graph_FCHART_4" hidden="1">#REF!</definedName>
    <definedName name="_134_____123Graph_FCHART_6" hidden="1">#REF!</definedName>
    <definedName name="_134__123Graph_XCHART_16" hidden="1">#REF!</definedName>
    <definedName name="_1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5____________________123Graph_FCHART_8" hidden="1">#REF!</definedName>
    <definedName name="_135_________________123Graph_FCHART_7" hidden="1">#REF!</definedName>
    <definedName name="_135_____123Graph_FCHART_6" hidden="1">#REF!</definedName>
    <definedName name="_135_____123Graph_FCHART_7" hidden="1">#REF!</definedName>
    <definedName name="_1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6____________________123Graph_XCHART_1" hidden="1">#REF!</definedName>
    <definedName name="_136_________________123Graph_FCHART_8" hidden="1">#REF!</definedName>
    <definedName name="_136_____123Graph_CCHART_1" hidden="1">#REF!</definedName>
    <definedName name="_136_____123Graph_FCHART_7" hidden="1">#REF!</definedName>
    <definedName name="_136_____123Graph_FCHART_8" hidden="1">#REF!</definedName>
    <definedName name="_136__123Graph_XCHART_17" hidden="1">#REF!</definedName>
    <definedName name="_1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7____________________123Graph_XCHART_10" hidden="1">#REF!</definedName>
    <definedName name="_137_________________123Graph_XCHART_1" hidden="1">#REF!</definedName>
    <definedName name="_137_____123Graph_FCHART_8" hidden="1">#REF!</definedName>
    <definedName name="_137_____123Graph_XCHART_1" hidden="1">#REF!</definedName>
    <definedName name="_1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8____________________123Graph_XCHART_11" hidden="1">#REF!</definedName>
    <definedName name="_138_________________123Graph_XCHART_10" hidden="1">#REF!</definedName>
    <definedName name="_138_____123Graph_CCHART_2" hidden="1">#REF!</definedName>
    <definedName name="_138_____123Graph_XCHART_1" hidden="1">#REF!</definedName>
    <definedName name="_138_____123Graph_XCHART_10" hidden="1">#REF!</definedName>
    <definedName name="_138__123Graph_XCHART_18" hidden="1">#REF!</definedName>
    <definedName name="_1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39____________________123Graph_XCHART_12" hidden="1">#REF!</definedName>
    <definedName name="_139_________________123Graph_XCHART_11" hidden="1">#REF!</definedName>
    <definedName name="_139_____123Graph_XCHART_10" hidden="1">#REF!</definedName>
    <definedName name="_139_____123Graph_XCHART_11" hidden="1">#REF!</definedName>
    <definedName name="_1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_____________________123Graph_ACHART_5" hidden="1">#REF!</definedName>
    <definedName name="_14__________________123Graph_ACHART_5" hidden="1">#REF!</definedName>
    <definedName name="_14______123Graph_ACHART_4" hidden="1">#REF!</definedName>
    <definedName name="_14______123Graph_ACHART_5" hidden="1">#REF!</definedName>
    <definedName name="_14___123Graph_DCHART_3" hidden="1">#REF!</definedName>
    <definedName name="_14__123Graph_ACHART_15" hidden="1">#REF!</definedName>
    <definedName name="_14__123Graph_ACHART_5" hidden="1">#REF!</definedName>
    <definedName name="_14__123Graph_BCHART_1" hidden="1">#REF!</definedName>
    <definedName name="_14__123Graph_CCHART_13" hidden="1">#REF!</definedName>
    <definedName name="_14__123Graph_DCHART_1" localSheetId="10" hidden="1">#REF!</definedName>
    <definedName name="_14__123Graph_DCHART_1" localSheetId="9" hidden="1">#REF!</definedName>
    <definedName name="_14__123Graph_DCHART_1" localSheetId="8" hidden="1">#REF!</definedName>
    <definedName name="_14__123Graph_DCHART_1" localSheetId="16" hidden="1">#REF!</definedName>
    <definedName name="_14__123Graph_DCHART_1" hidden="1">#REF!</definedName>
    <definedName name="_14__123Graph_DCHART_3" hidden="1">#REF!</definedName>
    <definedName name="_14__123Graph_LBL_ACHART_3" localSheetId="10" hidden="1">#REF!</definedName>
    <definedName name="_14__123Graph_LBL_ACHART_3" localSheetId="9" hidden="1">#REF!</definedName>
    <definedName name="_14__123Graph_LBL_ACHART_3" localSheetId="8" hidden="1">#REF!</definedName>
    <definedName name="_14__123Graph_LBL_ACHART_3" localSheetId="16" hidden="1">#REF!</definedName>
    <definedName name="_14__123Graph_LBL_ACHART_3" hidden="1">#REF!</definedName>
    <definedName name="_14__123Graph_LBL_BCHART_3" hidden="1">#REF!</definedName>
    <definedName name="_14__123Graph_LBL_DCHART_1" localSheetId="10" hidden="1">#REF!</definedName>
    <definedName name="_14__123Graph_LBL_DCHART_1" localSheetId="9" hidden="1">#REF!</definedName>
    <definedName name="_14__123Graph_LBL_DCHART_1" localSheetId="8" hidden="1">#REF!</definedName>
    <definedName name="_14__123Graph_LBL_DCHART_1" localSheetId="16" hidden="1">#REF!</definedName>
    <definedName name="_14__123Graph_LBL_DCHART_1" hidden="1">#REF!</definedName>
    <definedName name="_14__123Graph_LBL_FCHART_4" hidden="1">#REF!</definedName>
    <definedName name="_14__123Graph_XCHART_3" hidden="1">#REF!</definedName>
    <definedName name="_14__FDSAUDITLINK__" localSheetId="10"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6" localSheetId="10">#REF!</definedName>
    <definedName name="_14_6">#REF!</definedName>
    <definedName name="_140____________________123Graph_XCHART_13" localSheetId="10" hidden="1">#REF!</definedName>
    <definedName name="_140____________________123Graph_XCHART_13" hidden="1">#REF!</definedName>
    <definedName name="_140_________________123Graph_XCHART_12" localSheetId="10" hidden="1">#REF!</definedName>
    <definedName name="_140_________________123Graph_XCHART_12" hidden="1">#REF!</definedName>
    <definedName name="_140_____123Graph_CCHART_3" hidden="1">#REF!</definedName>
    <definedName name="_140_____123Graph_XCHART_11" hidden="1">#REF!</definedName>
    <definedName name="_140_____123Graph_XCHART_12" hidden="1">#REF!</definedName>
    <definedName name="_140__123Graph_XCHART_2" hidden="1">#REF!</definedName>
    <definedName name="_1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1____________________123Graph_XCHART_14" hidden="1">#REF!</definedName>
    <definedName name="_141_________________123Graph_XCHART_13" hidden="1">#REF!</definedName>
    <definedName name="_141_____123Graph_XCHART_12" hidden="1">#REF!</definedName>
    <definedName name="_141_____123Graph_XCHART_13" hidden="1">#REF!</definedName>
    <definedName name="_1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2____________________123Graph_XCHART_15" hidden="1">#REF!</definedName>
    <definedName name="_142_________________123Graph_XCHART_14" hidden="1">#REF!</definedName>
    <definedName name="_142_____123Graph_CCHART_4" hidden="1">#REF!</definedName>
    <definedName name="_142_____123Graph_XCHART_13" hidden="1">#REF!</definedName>
    <definedName name="_142_____123Graph_XCHART_14" hidden="1">#REF!</definedName>
    <definedName name="_142__123Graph_XCHART_3" hidden="1">#REF!</definedName>
    <definedName name="_1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3____________________123Graph_XCHART_16" hidden="1">#REF!</definedName>
    <definedName name="_143_________________123Graph_XCHART_15" hidden="1">#REF!</definedName>
    <definedName name="_143_____123Graph_XCHART_14" hidden="1">#REF!</definedName>
    <definedName name="_143_____123Graph_XCHART_15" hidden="1">#REF!</definedName>
    <definedName name="_143__123Graph_DCHART_2" hidden="1">#REF!</definedName>
    <definedName name="_1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4____________________123Graph_XCHART_17" hidden="1">#REF!</definedName>
    <definedName name="_144_________________123Graph_XCHART_16" hidden="1">#REF!</definedName>
    <definedName name="_144_____123Graph_CCHART_5" hidden="1">#REF!</definedName>
    <definedName name="_144_____123Graph_XCHART_15" hidden="1">#REF!</definedName>
    <definedName name="_144_____123Graph_XCHART_16" hidden="1">#REF!</definedName>
    <definedName name="_144__123Graph_XCHART_4" hidden="1">#REF!</definedName>
    <definedName name="_144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5____________________123Graph_XCHART_18" hidden="1">#REF!</definedName>
    <definedName name="_145_________________123Graph_XCHART_17" hidden="1">#REF!</definedName>
    <definedName name="_145_____123Graph_XCHART_16" hidden="1">#REF!</definedName>
    <definedName name="_145_____123Graph_XCHART_17" hidden="1">#REF!</definedName>
    <definedName name="_1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6____________________123Graph_XCHART_2" hidden="1">#REF!</definedName>
    <definedName name="_146_________________123Graph_XCHART_18" hidden="1">#REF!</definedName>
    <definedName name="_146_____123Graph_CCHART_6" hidden="1">#REF!</definedName>
    <definedName name="_146_____123Graph_XCHART_17" hidden="1">#REF!</definedName>
    <definedName name="_146_____123Graph_XCHART_18" hidden="1">#REF!</definedName>
    <definedName name="_146__123Graph_XCHART_5" hidden="1">#REF!</definedName>
    <definedName name="_1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7____________________123Graph_XCHART_3" hidden="1">#REF!</definedName>
    <definedName name="_147_________________123Graph_XCHART_2" hidden="1">#REF!</definedName>
    <definedName name="_147_____123Graph_XCHART_18" hidden="1">#REF!</definedName>
    <definedName name="_147_____123Graph_XCHART_2" hidden="1">#REF!</definedName>
    <definedName name="_1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8____________________123Graph_XCHART_4" hidden="1">#REF!</definedName>
    <definedName name="_148_________________123Graph_XCHART_3" hidden="1">#REF!</definedName>
    <definedName name="_148_____123Graph_CCHART_7" hidden="1">#REF!</definedName>
    <definedName name="_148_____123Graph_XCHART_2" hidden="1">#REF!</definedName>
    <definedName name="_148_____123Graph_XCHART_3" hidden="1">#REF!</definedName>
    <definedName name="_148__123Graph_XCHART_6" hidden="1">#REF!</definedName>
    <definedName name="_1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49____________________123Graph_XCHART_5" hidden="1">#REF!</definedName>
    <definedName name="_149_________________123Graph_XCHART_4" hidden="1">#REF!</definedName>
    <definedName name="_149_____123Graph_XCHART_3" hidden="1">#REF!</definedName>
    <definedName name="_149_____123Graph_XCHART_4" hidden="1">#REF!</definedName>
    <definedName name="_1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_____________________123Graph_ACHART_6" hidden="1">#REF!</definedName>
    <definedName name="_15__________________123Graph_ACHART_6" hidden="1">#REF!</definedName>
    <definedName name="_15______123Graph_ACHART_5" hidden="1">#REF!</definedName>
    <definedName name="_15______123Graph_ACHART_6" hidden="1">#REF!</definedName>
    <definedName name="_15___123Graph_DCHART_4" hidden="1">#REF!</definedName>
    <definedName name="_15__123Graph_ACHART_6" hidden="1">#REF!</definedName>
    <definedName name="_15__123Graph_BCHART_10" hidden="1">#REF!</definedName>
    <definedName name="_15__123Graph_BCHART_2" hidden="1">#REF!</definedName>
    <definedName name="_15__123Graph_DCHART_4" hidden="1">#REF!</definedName>
    <definedName name="_15__123Graph_DCHART_8" localSheetId="10" hidden="1">#REF!</definedName>
    <definedName name="_15__123Graph_DCHART_8" localSheetId="9" hidden="1">#REF!</definedName>
    <definedName name="_15__123Graph_DCHART_8" localSheetId="8" hidden="1">#REF!</definedName>
    <definedName name="_15__123Graph_DCHART_8" localSheetId="16" hidden="1">#REF!</definedName>
    <definedName name="_15__123Graph_DCHART_8" hidden="1">#REF!</definedName>
    <definedName name="_15__123Graph_LBL_ACHART_4" localSheetId="10" hidden="1">#REF!</definedName>
    <definedName name="_15__123Graph_LBL_ACHART_4" localSheetId="9" hidden="1">#REF!</definedName>
    <definedName name="_15__123Graph_LBL_ACHART_4" localSheetId="8" hidden="1">#REF!</definedName>
    <definedName name="_15__123Graph_LBL_ACHART_4" localSheetId="16" hidden="1">#REF!</definedName>
    <definedName name="_15__123Graph_LBL_ACHART_4" hidden="1">#REF!</definedName>
    <definedName name="_15__123Graph_XCHART_1" hidden="1">#REF!</definedName>
    <definedName name="_15__123Graph_XCHART_2" hidden="1">#REF!</definedName>
    <definedName name="_15__123Graph_XCHART_4" hidden="1">#REF!</definedName>
    <definedName name="_15__FDSAUDITLINK__" localSheetId="10"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7" localSheetId="10">#REF!</definedName>
    <definedName name="_15_7">#REF!</definedName>
    <definedName name="_150____________________123Graph_XCHART_6" localSheetId="10" hidden="1">#REF!</definedName>
    <definedName name="_150____________________123Graph_XCHART_6" hidden="1">#REF!</definedName>
    <definedName name="_150_________________123Graph_XCHART_5" localSheetId="10" hidden="1">#REF!</definedName>
    <definedName name="_150_________________123Graph_XCHART_5" hidden="1">#REF!</definedName>
    <definedName name="_150_____123Graph_CCHART_8" hidden="1">#REF!</definedName>
    <definedName name="_150_____123Graph_XCHART_4" hidden="1">#REF!</definedName>
    <definedName name="_150_____123Graph_XCHART_5" hidden="1">#REF!</definedName>
    <definedName name="_150__123Graph_XCHART_7" hidden="1">#REF!</definedName>
    <definedName name="_1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1____________________123Graph_XCHART_7" hidden="1">#REF!</definedName>
    <definedName name="_151_________________123Graph_XCHART_6" hidden="1">#REF!</definedName>
    <definedName name="_151_____123Graph_XCHART_5" hidden="1">#REF!</definedName>
    <definedName name="_151_____123Graph_XCHART_6" hidden="1">#REF!</definedName>
    <definedName name="_1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2____________________123Graph_XCHART_8" hidden="1">#REF!</definedName>
    <definedName name="_152_________________123Graph_XCHART_7" hidden="1">#REF!</definedName>
    <definedName name="_152_____123Graph_DCHART_1" hidden="1">#REF!</definedName>
    <definedName name="_152_____123Graph_XCHART_6" hidden="1">#REF!</definedName>
    <definedName name="_152_____123Graph_XCHART_7" hidden="1">#REF!</definedName>
    <definedName name="_152__123Graph_XCHART_8" hidden="1">#REF!</definedName>
    <definedName name="_1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3____________________123Graph_XCHART_9" hidden="1">#REF!</definedName>
    <definedName name="_153_________________123Graph_XCHART_8" hidden="1">#REF!</definedName>
    <definedName name="_153_____123Graph_XCHART_7" hidden="1">#REF!</definedName>
    <definedName name="_153_____123Graph_XCHART_8" hidden="1">#REF!</definedName>
    <definedName name="_1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4___________________123Graph_ACHART_1" hidden="1">#REF!</definedName>
    <definedName name="_154_________________123Graph_XCHART_9" hidden="1">#REF!</definedName>
    <definedName name="_154_____123Graph_DCHART_2" hidden="1">#REF!</definedName>
    <definedName name="_154_____123Graph_XCHART_8" hidden="1">#REF!</definedName>
    <definedName name="_154_____123Graph_XCHART_9" hidden="1">#REF!</definedName>
    <definedName name="_154__123Graph_DCHART_3" hidden="1">#REF!</definedName>
    <definedName name="_154__123Graph_XCHART_9" hidden="1">#REF!</definedName>
    <definedName name="_1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5___________________123Graph_ACHART_10" hidden="1">#REF!</definedName>
    <definedName name="_155________________123Graph_ACHART_1" hidden="1">#REF!</definedName>
    <definedName name="_155_____123Graph_XCHART_9" hidden="1">#REF!</definedName>
    <definedName name="_155____123Graph_ACHART_1" hidden="1">#REF!</definedName>
    <definedName name="_155___1702">#REF!</definedName>
    <definedName name="_155___1703">#REF!</definedName>
    <definedName name="_155___1704">#REF!</definedName>
    <definedName name="_1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6___________________123Graph_ACHART_11" hidden="1">#REF!</definedName>
    <definedName name="_156________________123Graph_ACHART_10" hidden="1">#REF!</definedName>
    <definedName name="_156_____123Graph_DCHART_3" hidden="1">#REF!</definedName>
    <definedName name="_156____123Graph_ACHART_1" hidden="1">#REF!</definedName>
    <definedName name="_156____123Graph_ACHART_10" hidden="1">#REF!</definedName>
    <definedName name="_1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7___________________123Graph_ACHART_12" hidden="1">#REF!</definedName>
    <definedName name="_157________________123Graph_ACHART_11" hidden="1">#REF!</definedName>
    <definedName name="_157____123Graph_ACHART_10" hidden="1">#REF!</definedName>
    <definedName name="_157____123Graph_ACHART_11" hidden="1">#REF!</definedName>
    <definedName name="_1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8___________________123Graph_ACHART_13" hidden="1">#REF!</definedName>
    <definedName name="_158________________123Graph_ACHART_12" hidden="1">#REF!</definedName>
    <definedName name="_158_____123Graph_DCHART_4" hidden="1">#REF!</definedName>
    <definedName name="_158____123Graph_ACHART_11" hidden="1">#REF!</definedName>
    <definedName name="_158____123Graph_ACHART_12" hidden="1">#REF!</definedName>
    <definedName name="_1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59___________________123Graph_ACHART_14" hidden="1">#REF!</definedName>
    <definedName name="_159________________123Graph_ACHART_13" hidden="1">#REF!</definedName>
    <definedName name="_159____123Graph_ACHART_12" hidden="1">#REF!</definedName>
    <definedName name="_159____123Graph_ACHART_13" hidden="1">#REF!</definedName>
    <definedName name="_1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#REF!</definedName>
    <definedName name="_16_____________________123Graph_ACHART_7" hidden="1">#REF!</definedName>
    <definedName name="_16__________________123Graph_ACHART_7" hidden="1">#REF!</definedName>
    <definedName name="_16______123Graph_ACHART_6" hidden="1">#REF!</definedName>
    <definedName name="_16______123Graph_ACHART_7" hidden="1">#REF!</definedName>
    <definedName name="_16___123Graph_DCHART_5" hidden="1">#REF!</definedName>
    <definedName name="_16__123Graph_ACHART_16" hidden="1">#REF!</definedName>
    <definedName name="_16__123Graph_ACHART_7" hidden="1">#REF!</definedName>
    <definedName name="_16__123Graph_BCHART_11" hidden="1">#REF!</definedName>
    <definedName name="_16__123Graph_BCHART_15" hidden="1">#REF!</definedName>
    <definedName name="_16__123Graph_DCHART_5" hidden="1">#REF!</definedName>
    <definedName name="_16__123Graph_LBL_ACHART_1" localSheetId="10" hidden="1">#REF!</definedName>
    <definedName name="_16__123Graph_LBL_ACHART_1" localSheetId="9" hidden="1">#REF!</definedName>
    <definedName name="_16__123Graph_LBL_ACHART_1" localSheetId="8" hidden="1">#REF!</definedName>
    <definedName name="_16__123Graph_LBL_ACHART_1" localSheetId="16" hidden="1">#REF!</definedName>
    <definedName name="_16__123Graph_LBL_ACHART_1" hidden="1">#REF!</definedName>
    <definedName name="_16__123Graph_LBL_BCHART_3" localSheetId="10" hidden="1">#REF!</definedName>
    <definedName name="_16__123Graph_LBL_BCHART_3" localSheetId="9" hidden="1">#REF!</definedName>
    <definedName name="_16__123Graph_LBL_BCHART_3" localSheetId="8" hidden="1">#REF!</definedName>
    <definedName name="_16__123Graph_LBL_BCHART_3" localSheetId="16" hidden="1">#REF!</definedName>
    <definedName name="_16__123Graph_LBL_BCHART_3" hidden="1">#REF!</definedName>
    <definedName name="_16__123Graph_XCHART_10" hidden="1">#REF!</definedName>
    <definedName name="_16__123Graph_XCHART_2" hidden="1">#REF!</definedName>
    <definedName name="_16__FDSAUDITLINK__" localSheetId="10"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8" localSheetId="10">#REF!</definedName>
    <definedName name="_16_8">#REF!</definedName>
    <definedName name="_160___________________123Graph_ACHART_15" localSheetId="10" hidden="1">#REF!</definedName>
    <definedName name="_160___________________123Graph_ACHART_15" hidden="1">#REF!</definedName>
    <definedName name="_160________________123Graph_ACHART_14" localSheetId="10" hidden="1">#REF!</definedName>
    <definedName name="_160________________123Graph_ACHART_14" hidden="1">#REF!</definedName>
    <definedName name="_160_____123Graph_DCHART_5" hidden="1">#REF!</definedName>
    <definedName name="_160____123Graph_ACHART_13" hidden="1">#REF!</definedName>
    <definedName name="_160____123Graph_ACHART_14" hidden="1">#REF!</definedName>
    <definedName name="_160__FDSAUDITLINK__" localSheetId="1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1___________________123Graph_ACHART_16" hidden="1">#REF!</definedName>
    <definedName name="_161________________123Graph_ACHART_15" hidden="1">#REF!</definedName>
    <definedName name="_161____123Graph_ACHART_14" hidden="1">#REF!</definedName>
    <definedName name="_161____123Graph_ACHART_15" hidden="1">#REF!</definedName>
    <definedName name="_1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2___________________123Graph_ACHART_17" hidden="1">#REF!</definedName>
    <definedName name="_162________________123Graph_ACHART_16" hidden="1">#REF!</definedName>
    <definedName name="_162_____123Graph_DCHART_6" hidden="1">#REF!</definedName>
    <definedName name="_162____123Graph_ACHART_15" hidden="1">#REF!</definedName>
    <definedName name="_162____123Graph_ACHART_16" hidden="1">#REF!</definedName>
    <definedName name="_1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3___________________123Graph_ACHART_18" hidden="1">#REF!</definedName>
    <definedName name="_163________________123Graph_ACHART_17" hidden="1">#REF!</definedName>
    <definedName name="_163____123Graph_ACHART_16" hidden="1">#REF!</definedName>
    <definedName name="_163____123Graph_ACHART_17" hidden="1">#REF!</definedName>
    <definedName name="_1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4___________________123Graph_ACHART_2" hidden="1">#REF!</definedName>
    <definedName name="_164________________123Graph_ACHART_18" hidden="1">#REF!</definedName>
    <definedName name="_164_____123Graph_DCHART_7" hidden="1">#REF!</definedName>
    <definedName name="_164____123Graph_ACHART_17" hidden="1">#REF!</definedName>
    <definedName name="_164____123Graph_ACHART_18" hidden="1">#REF!</definedName>
    <definedName name="_1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5___________________123Graph_ACHART_3" hidden="1">#REF!</definedName>
    <definedName name="_165________________123Graph_ACHART_2" hidden="1">#REF!</definedName>
    <definedName name="_165____123Graph_ACHART_18" hidden="1">#REF!</definedName>
    <definedName name="_165____123Graph_ACHART_2" hidden="1">#REF!</definedName>
    <definedName name="_165__123Graph_DCHART_4" hidden="1">#REF!</definedName>
    <definedName name="_1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6___________________123Graph_ACHART_4" hidden="1">#REF!</definedName>
    <definedName name="_166________________123Graph_ACHART_3" hidden="1">#REF!</definedName>
    <definedName name="_166_____123Graph_DCHART_8" hidden="1">#REF!</definedName>
    <definedName name="_166____123Graph_ACHART_2" hidden="1">#REF!</definedName>
    <definedName name="_166____123Graph_ACHART_3" hidden="1">#REF!</definedName>
    <definedName name="_1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7___________________123Graph_ACHART_5" hidden="1">#REF!</definedName>
    <definedName name="_167________________123Graph_ACHART_4" hidden="1">#REF!</definedName>
    <definedName name="_167____123Graph_ACHART_3" hidden="1">#REF!</definedName>
    <definedName name="_167____123Graph_ACHART_4" hidden="1">#REF!</definedName>
    <definedName name="_1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8___________________123Graph_ACHART_6" hidden="1">#REF!</definedName>
    <definedName name="_168________________123Graph_ACHART_5" hidden="1">#REF!</definedName>
    <definedName name="_168_____123Graph_ECHART_1" hidden="1">#REF!</definedName>
    <definedName name="_168____123Graph_ACHART_4" hidden="1">#REF!</definedName>
    <definedName name="_168____123Graph_ACHART_5" hidden="1">#REF!</definedName>
    <definedName name="_1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69___________________123Graph_ACHART_7" hidden="1">#REF!</definedName>
    <definedName name="_169________________123Graph_ACHART_6" hidden="1">#REF!</definedName>
    <definedName name="_169____123Graph_ACHART_5" hidden="1">#REF!</definedName>
    <definedName name="_169____123Graph_ACHART_6" hidden="1">#REF!</definedName>
    <definedName name="_1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_____________________123Graph_ACHART_8" hidden="1">#REF!</definedName>
    <definedName name="_17__________________123Graph_ACHART_8" hidden="1">#REF!</definedName>
    <definedName name="_17______123Graph_ACHART_7" hidden="1">#REF!</definedName>
    <definedName name="_17______123Graph_ACHART_8" hidden="1">#REF!</definedName>
    <definedName name="_17___123Graph_ECHART_2" hidden="1">#REF!</definedName>
    <definedName name="_17__123Graph_ACHART_8" hidden="1">#REF!</definedName>
    <definedName name="_17__123Graph_BCHART_17" hidden="1">#REF!</definedName>
    <definedName name="_17__123Graph_BCHART_3" hidden="1">#REF!</definedName>
    <definedName name="_17__123Graph_ECHART_2" hidden="1">#REF!</definedName>
    <definedName name="_17__123Graph_LBL_ACHART_3" localSheetId="10" hidden="1">#REF!</definedName>
    <definedName name="_17__123Graph_LBL_ACHART_3" localSheetId="9" hidden="1">#REF!</definedName>
    <definedName name="_17__123Graph_LBL_ACHART_3" localSheetId="8" hidden="1">#REF!</definedName>
    <definedName name="_17__123Graph_LBL_ACHART_3" localSheetId="16" hidden="1">#REF!</definedName>
    <definedName name="_17__123Graph_LBL_ACHART_3" hidden="1">#REF!</definedName>
    <definedName name="_17__123Graph_LBL_BCHART_4" localSheetId="10" hidden="1">#REF!</definedName>
    <definedName name="_17__123Graph_LBL_BCHART_4" localSheetId="9" hidden="1">#REF!</definedName>
    <definedName name="_17__123Graph_LBL_BCHART_4" localSheetId="8" hidden="1">#REF!</definedName>
    <definedName name="_17__123Graph_LBL_BCHART_4" localSheetId="16" hidden="1">#REF!</definedName>
    <definedName name="_17__123Graph_LBL_BCHART_4" hidden="1">#REF!</definedName>
    <definedName name="_17__123Graph_XCHART_11" hidden="1">#REF!</definedName>
    <definedName name="_17__123Graph_XCHART_3" hidden="1">#REF!</definedName>
    <definedName name="_17__FDSAUDITLINK__" localSheetId="10"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0_0Cwvu.GREY_A" localSheetId="10" hidden="1">#REF!</definedName>
    <definedName name="_17_0_0Cwvu.GREY_A" localSheetId="9" hidden="1">#REF!</definedName>
    <definedName name="_17_0_0Cwvu.GREY_A" localSheetId="8" hidden="1">#REF!</definedName>
    <definedName name="_17_0_0Cwvu.GREY_A" localSheetId="16" hidden="1">#REF!</definedName>
    <definedName name="_17_0_0Cwvu.GREY_A" hidden="1">#REF!</definedName>
    <definedName name="_17_9">#REF!</definedName>
    <definedName name="_170___________________123Graph_ACHART_8" hidden="1">#REF!</definedName>
    <definedName name="_170________________123Graph_ACHART_7" hidden="1">#REF!</definedName>
    <definedName name="_170_____123Graph_ECHART_2" hidden="1">#REF!</definedName>
    <definedName name="_170____123Graph_ACHART_6" hidden="1">#REF!</definedName>
    <definedName name="_170____123Graph_ACHART_7" hidden="1">#REF!</definedName>
    <definedName name="_1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1___________________123Graph_ACHART_9" hidden="1">#REF!</definedName>
    <definedName name="_171________________123Graph_ACHART_8" hidden="1">#REF!</definedName>
    <definedName name="_171____123Graph_ACHART_7" hidden="1">#REF!</definedName>
    <definedName name="_171____123Graph_ACHART_8" hidden="1">#REF!</definedName>
    <definedName name="_1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2___________________123Graph_BCHART_1" hidden="1">#REF!</definedName>
    <definedName name="_172________________123Graph_ACHART_9" hidden="1">#REF!</definedName>
    <definedName name="_172_____123Graph_ECHART_3" hidden="1">#REF!</definedName>
    <definedName name="_172____123Graph_ACHART_8" hidden="1">#REF!</definedName>
    <definedName name="_172____123Graph_ACHART_9" hidden="1">#REF!</definedName>
    <definedName name="_1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3___________________123Graph_BCHART_17" hidden="1">#REF!</definedName>
    <definedName name="_173________________123Graph_BCHART_1" hidden="1">#REF!</definedName>
    <definedName name="_173____123Graph_ACHART_9" hidden="1">#REF!</definedName>
    <definedName name="_173____123Graph_BCHART_1" hidden="1">#REF!</definedName>
    <definedName name="_1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4___________________123Graph_BCHART_18" hidden="1">#REF!</definedName>
    <definedName name="_174________________123Graph_BCHART_17" hidden="1">#REF!</definedName>
    <definedName name="_174_____123Graph_ECHART_4" hidden="1">#REF!</definedName>
    <definedName name="_174____123Graph_BCHART_1" hidden="1">#REF!</definedName>
    <definedName name="_174____123Graph_BCHART_17" hidden="1">#REF!</definedName>
    <definedName name="_1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5___________________123Graph_BCHART_2" hidden="1">#REF!</definedName>
    <definedName name="_175________________123Graph_BCHART_18" hidden="1">#REF!</definedName>
    <definedName name="_175____123Graph_BCHART_17" hidden="1">#REF!</definedName>
    <definedName name="_175____123Graph_BCHART_18" hidden="1">#REF!</definedName>
    <definedName name="_1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6___________________123Graph_BCHART_3" hidden="1">#REF!</definedName>
    <definedName name="_176________________123Graph_BCHART_2" hidden="1">#REF!</definedName>
    <definedName name="_176_____123Graph_ECHART_5" hidden="1">#REF!</definedName>
    <definedName name="_176____123Graph_BCHART_18" hidden="1">#REF!</definedName>
    <definedName name="_176____123Graph_BCHART_2" hidden="1">#REF!</definedName>
    <definedName name="_176__123Graph_DCHART_5" hidden="1">#REF!</definedName>
    <definedName name="_1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7___________________123Graph_BCHART_4" hidden="1">#REF!</definedName>
    <definedName name="_177________________123Graph_BCHART_3" hidden="1">#REF!</definedName>
    <definedName name="_177____123Graph_BCHART_2" hidden="1">#REF!</definedName>
    <definedName name="_177____123Graph_BCHART_3" hidden="1">#REF!</definedName>
    <definedName name="_1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8___________________123Graph_BCHART_5" hidden="1">#REF!</definedName>
    <definedName name="_178________________123Graph_BCHART_4" hidden="1">#REF!</definedName>
    <definedName name="_178_____123Graph_ECHART_6" hidden="1">#REF!</definedName>
    <definedName name="_178____123Graph_BCHART_3" hidden="1">#REF!</definedName>
    <definedName name="_178____123Graph_BCHART_4" hidden="1">#REF!</definedName>
    <definedName name="_1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79___________________123Graph_BCHART_6" hidden="1">#REF!</definedName>
    <definedName name="_179________________123Graph_BCHART_5" hidden="1">#REF!</definedName>
    <definedName name="_179____123Graph_BCHART_4" hidden="1">#REF!</definedName>
    <definedName name="_179____123Graph_BCHART_5" hidden="1">#REF!</definedName>
    <definedName name="_1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_____________________123Graph_ACHART_9" hidden="1">#REF!</definedName>
    <definedName name="_18__________________123Graph_ACHART_9" hidden="1">#REF!</definedName>
    <definedName name="_18______123Graph_ACHART_8" hidden="1">#REF!</definedName>
    <definedName name="_18______123Graph_ACHART_9" hidden="1">#REF!</definedName>
    <definedName name="_18___123Graph_ECHART_3" hidden="1">#REF!</definedName>
    <definedName name="_18__123Graph_ACHART_1" hidden="1">#REF!</definedName>
    <definedName name="_18__123Graph_ACHART_17" hidden="1">#REF!</definedName>
    <definedName name="_18__123Graph_ACHART_9" hidden="1">#REF!</definedName>
    <definedName name="_18__123Graph_BCHART_3" hidden="1">#REF!</definedName>
    <definedName name="_18__123Graph_BCHART_6" hidden="1">#REF!</definedName>
    <definedName name="_18__123Graph_ECHART_3" hidden="1">#REF!</definedName>
    <definedName name="_18__123Graph_LBL_ACHART_4" localSheetId="10" hidden="1">#REF!</definedName>
    <definedName name="_18__123Graph_LBL_ACHART_4" localSheetId="9" hidden="1">#REF!</definedName>
    <definedName name="_18__123Graph_LBL_ACHART_4" localSheetId="8" hidden="1">#REF!</definedName>
    <definedName name="_18__123Graph_LBL_ACHART_4" localSheetId="16" hidden="1">#REF!</definedName>
    <definedName name="_18__123Graph_LBL_ACHART_4" hidden="1">#REF!</definedName>
    <definedName name="_18__123Graph_LBL_CCHART_3" localSheetId="10" hidden="1">#REF!</definedName>
    <definedName name="_18__123Graph_LBL_CCHART_3" localSheetId="9" hidden="1">#REF!</definedName>
    <definedName name="_18__123Graph_LBL_CCHART_3" localSheetId="8" hidden="1">#REF!</definedName>
    <definedName name="_18__123Graph_LBL_CCHART_3" localSheetId="16" hidden="1">#REF!</definedName>
    <definedName name="_18__123Graph_LBL_CCHART_3" hidden="1">#REF!</definedName>
    <definedName name="_18__123Graph_XCHART_12" hidden="1">#REF!</definedName>
    <definedName name="_18__123Graph_XCHART_4" hidden="1">#REF!</definedName>
    <definedName name="_18__FDSAUDITLINK__" localSheetId="10"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0___________________123Graph_BCHART_7" hidden="1">#REF!</definedName>
    <definedName name="_180________________123Graph_BCHART_6" hidden="1">#REF!</definedName>
    <definedName name="_180_____123Graph_ECHART_7" hidden="1">#REF!</definedName>
    <definedName name="_180____123Graph_BCHART_5" hidden="1">#REF!</definedName>
    <definedName name="_180____123Graph_BCHART_6" hidden="1">#REF!</definedName>
    <definedName name="_1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1___________________123Graph_BCHART_8" hidden="1">#REF!</definedName>
    <definedName name="_181________________123Graph_BCHART_7" hidden="1">#REF!</definedName>
    <definedName name="_181____123Graph_BCHART_6" hidden="1">#REF!</definedName>
    <definedName name="_181____123Graph_BCHART_7" hidden="1">#REF!</definedName>
    <definedName name="_1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2___________________123Graph_CCHART_1" hidden="1">#REF!</definedName>
    <definedName name="_182________________123Graph_BCHART_8" hidden="1">#REF!</definedName>
    <definedName name="_182_____123Graph_ECHART_8" hidden="1">#REF!</definedName>
    <definedName name="_182____123Graph_BCHART_7" hidden="1">#REF!</definedName>
    <definedName name="_182____123Graph_BCHART_8" hidden="1">#REF!</definedName>
    <definedName name="_1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3___________________123Graph_CCHART_2" hidden="1">#REF!</definedName>
    <definedName name="_183________________123Graph_CCHART_1" hidden="1">#REF!</definedName>
    <definedName name="_183____123Graph_BCHART_8" hidden="1">#REF!</definedName>
    <definedName name="_183____123Graph_CCHART_1" hidden="1">#REF!</definedName>
    <definedName name="_1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4___________________123Graph_CCHART_3" hidden="1">#REF!</definedName>
    <definedName name="_184________________123Graph_CCHART_2" hidden="1">#REF!</definedName>
    <definedName name="_184_____123Graph_FCHART_1" hidden="1">#REF!</definedName>
    <definedName name="_184____123Graph_CCHART_1" hidden="1">#REF!</definedName>
    <definedName name="_184____123Graph_CCHART_2" hidden="1">#REF!</definedName>
    <definedName name="_1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5___________________123Graph_CCHART_4" hidden="1">#REF!</definedName>
    <definedName name="_185________________123Graph_CCHART_3" hidden="1">#REF!</definedName>
    <definedName name="_185____123Graph_CCHART_2" hidden="1">#REF!</definedName>
    <definedName name="_185____123Graph_CCHART_3" hidden="1">#REF!</definedName>
    <definedName name="_1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6___________________123Graph_CCHART_5" hidden="1">#REF!</definedName>
    <definedName name="_186________________123Graph_CCHART_4" hidden="1">#REF!</definedName>
    <definedName name="_186_____123Graph_FCHART_2" hidden="1">#REF!</definedName>
    <definedName name="_186____123Graph_CCHART_3" hidden="1">#REF!</definedName>
    <definedName name="_186____123Graph_CCHART_4" hidden="1">#REF!</definedName>
    <definedName name="_1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7___________________123Graph_CCHART_6" hidden="1">#REF!</definedName>
    <definedName name="_187________________123Graph_CCHART_5" hidden="1">#REF!</definedName>
    <definedName name="_187____123Graph_CCHART_4" hidden="1">#REF!</definedName>
    <definedName name="_187____123Graph_CCHART_5" hidden="1">#REF!</definedName>
    <definedName name="_187__123Graph_ECHART_2" hidden="1">#REF!</definedName>
    <definedName name="_1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8___________________123Graph_CCHART_7" hidden="1">#REF!</definedName>
    <definedName name="_188________________123Graph_CCHART_6" hidden="1">#REF!</definedName>
    <definedName name="_188_____123Graph_FCHART_3" hidden="1">#REF!</definedName>
    <definedName name="_188____123Graph_CCHART_5" hidden="1">#REF!</definedName>
    <definedName name="_188____123Graph_CCHART_6" hidden="1">#REF!</definedName>
    <definedName name="_1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89___________________123Graph_CCHART_8" hidden="1">#REF!</definedName>
    <definedName name="_189________________123Graph_CCHART_7" hidden="1">#REF!</definedName>
    <definedName name="_189____123Graph_CCHART_6" hidden="1">#REF!</definedName>
    <definedName name="_189____123Graph_CCHART_7" hidden="1">#REF!</definedName>
    <definedName name="_1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_____________________123Graph_BCHART_1" hidden="1">#REF!</definedName>
    <definedName name="_19__________________123Graph_BCHART_1" hidden="1">#REF!</definedName>
    <definedName name="_19______123Graph_ACHART_9" hidden="1">#REF!</definedName>
    <definedName name="_19______123Graph_BCHART_1" hidden="1">#REF!</definedName>
    <definedName name="_19___123Graph_ECHART_4" hidden="1">#REF!</definedName>
    <definedName name="_19__123Graph_ACHART_1" localSheetId="10" hidden="1">#REF!</definedName>
    <definedName name="_19__123Graph_ACHART_1" localSheetId="9" hidden="1">#REF!</definedName>
    <definedName name="_19__123Graph_ACHART_1" localSheetId="8" hidden="1">#REF!</definedName>
    <definedName name="_19__123Graph_ACHART_1" localSheetId="16" hidden="1">#REF!</definedName>
    <definedName name="_19__123Graph_ACHART_1" hidden="1">#REF!</definedName>
    <definedName name="_19__123Graph_ACHART_2" hidden="1">#REF!</definedName>
    <definedName name="_19__123Graph_BCHART_1" hidden="1">#REF!</definedName>
    <definedName name="_19__123Graph_BCHART_7" hidden="1">#REF!</definedName>
    <definedName name="_19__123Graph_ECHART_4" hidden="1">#REF!</definedName>
    <definedName name="_19__123Graph_LBL_BCHART_3" localSheetId="10" hidden="1">#REF!</definedName>
    <definedName name="_19__123Graph_LBL_BCHART_3" localSheetId="9" hidden="1">#REF!</definedName>
    <definedName name="_19__123Graph_LBL_BCHART_3" localSheetId="8" hidden="1">#REF!</definedName>
    <definedName name="_19__123Graph_LBL_BCHART_3" localSheetId="16" hidden="1">#REF!</definedName>
    <definedName name="_19__123Graph_LBL_BCHART_3" hidden="1">#REF!</definedName>
    <definedName name="_19__123Graph_XCHART_1" localSheetId="10" hidden="1">#REF!</definedName>
    <definedName name="_19__123Graph_XCHART_1" localSheetId="9" hidden="1">#REF!</definedName>
    <definedName name="_19__123Graph_XCHART_1" localSheetId="8" hidden="1">#REF!</definedName>
    <definedName name="_19__123Graph_XCHART_1" localSheetId="16" hidden="1">#REF!</definedName>
    <definedName name="_19__123Graph_XCHART_1" hidden="1">#REF!</definedName>
    <definedName name="_19__123Graph_XCHART_13" hidden="1">#REF!</definedName>
    <definedName name="_19__FDSAUDITLINK__" localSheetId="10"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0___________________123Graph_DCHART_1" hidden="1">#REF!</definedName>
    <definedName name="_190________________123Graph_CCHART_8" hidden="1">#REF!</definedName>
    <definedName name="_190_____123Graph_FCHART_4" hidden="1">#REF!</definedName>
    <definedName name="_190____123Graph_CCHART_7" hidden="1">#REF!</definedName>
    <definedName name="_190____123Graph_CCHART_8" hidden="1">#REF!</definedName>
    <definedName name="_1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1___________________123Graph_DCHART_2" hidden="1">#REF!</definedName>
    <definedName name="_191________________123Graph_DCHART_1" hidden="1">#REF!</definedName>
    <definedName name="_191____123Graph_CCHART_8" hidden="1">#REF!</definedName>
    <definedName name="_191____123Graph_DCHART_1" hidden="1">#REF!</definedName>
    <definedName name="_1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2___________________123Graph_DCHART_3" hidden="1">#REF!</definedName>
    <definedName name="_192________________123Graph_DCHART_2" hidden="1">#REF!</definedName>
    <definedName name="_192_____123Graph_FCHART_6" hidden="1">#REF!</definedName>
    <definedName name="_192____123Graph_DCHART_1" hidden="1">#REF!</definedName>
    <definedName name="_192____123Graph_DCHART_2" hidden="1">#REF!</definedName>
    <definedName name="_1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3___________________123Graph_DCHART_4" hidden="1">#REF!</definedName>
    <definedName name="_193________________123Graph_DCHART_3" hidden="1">#REF!</definedName>
    <definedName name="_193____123Graph_DCHART_2" hidden="1">#REF!</definedName>
    <definedName name="_193____123Graph_DCHART_3" hidden="1">#REF!</definedName>
    <definedName name="_1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4___________________123Graph_DCHART_5" hidden="1">#REF!</definedName>
    <definedName name="_194________________123Graph_DCHART_4" hidden="1">#REF!</definedName>
    <definedName name="_194_____123Graph_FCHART_7" hidden="1">#REF!</definedName>
    <definedName name="_194____123Graph_DCHART_3" hidden="1">#REF!</definedName>
    <definedName name="_194____123Graph_DCHART_4" hidden="1">#REF!</definedName>
    <definedName name="_1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5___________________123Graph_DCHART_6" hidden="1">#REF!</definedName>
    <definedName name="_195________________123Graph_DCHART_5" hidden="1">#REF!</definedName>
    <definedName name="_195____123Graph_DCHART_4" hidden="1">#REF!</definedName>
    <definedName name="_195____123Graph_DCHART_5" hidden="1">#REF!</definedName>
    <definedName name="_1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6___________________123Graph_DCHART_7" hidden="1">#REF!</definedName>
    <definedName name="_196________________123Graph_DCHART_6" hidden="1">#REF!</definedName>
    <definedName name="_196_____123Graph_FCHART_8" hidden="1">#REF!</definedName>
    <definedName name="_196____123Graph_DCHART_5" hidden="1">#REF!</definedName>
    <definedName name="_196____123Graph_DCHART_6" hidden="1">#REF!</definedName>
    <definedName name="_1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7___________________123Graph_DCHART_8" hidden="1">#REF!</definedName>
    <definedName name="_197________________123Graph_DCHART_7" hidden="1">#REF!</definedName>
    <definedName name="_197____123Graph_DCHART_6" hidden="1">#REF!</definedName>
    <definedName name="_197____123Graph_DCHART_7" hidden="1">#REF!</definedName>
    <definedName name="_1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8___________________123Graph_ECHART_1" hidden="1">#REF!</definedName>
    <definedName name="_198________________123Graph_DCHART_8" hidden="1">#REF!</definedName>
    <definedName name="_198_____123Graph_XCHART_1" hidden="1">#REF!</definedName>
    <definedName name="_198____123Graph_DCHART_7" hidden="1">#REF!</definedName>
    <definedName name="_198____123Graph_DCHART_8" hidden="1">#REF!</definedName>
    <definedName name="_198__123Graph_ECHART_3" hidden="1">#REF!</definedName>
    <definedName name="_1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99___________________123Graph_ECHART_2" hidden="1">#REF!</definedName>
    <definedName name="_199________________123Graph_ECHART_1" hidden="1">#REF!</definedName>
    <definedName name="_199____123Graph_DCHART_8" hidden="1">#REF!</definedName>
    <definedName name="_199____123Graph_ECHART_1" hidden="1">#REF!</definedName>
    <definedName name="_1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1Table2_" hidden="1">#REF!</definedName>
    <definedName name="_1wrn.²Ä1­Ó¤ë1_Ü20¤H." localSheetId="10" hidden="1">{#N/A,#N/A,FALSE,"²Ä1­Ó¤ë"}</definedName>
    <definedName name="_1wrn.²Ä1­Ó¤ë1_Ü20¤H." hidden="1">{#N/A,#N/A,FALSE,"²Ä1­Ó¤ë"}</definedName>
    <definedName name="_2" localSheetId="10">#REF!</definedName>
    <definedName name="_2">#REF!</definedName>
    <definedName name="_2_____________________123Graph_ACHART_10" localSheetId="10" hidden="1">#REF!</definedName>
    <definedName name="_2_____________________123Graph_ACHART_10" hidden="1">#REF!</definedName>
    <definedName name="_2__________________123Graph_ACHART_10" localSheetId="10" hidden="1">#REF!</definedName>
    <definedName name="_2__________________123Graph_ACHART_10" hidden="1">#REF!</definedName>
    <definedName name="_2______123Graph_ACHART_1" hidden="1">#REF!</definedName>
    <definedName name="_2______123Graph_ACHART_10" hidden="1">#REF!</definedName>
    <definedName name="_2___123Graph_ACHART_3" hidden="1">#REF!</definedName>
    <definedName name="_2__123Graph_ACHART_1" hidden="1">#REF!</definedName>
    <definedName name="_2__123Graph_ACHART_10" hidden="1">#REF!</definedName>
    <definedName name="_2__123Graph_ACHART_11" hidden="1">#REF!</definedName>
    <definedName name="_2__123Graph_ACHART_2" hidden="1">#REF!</definedName>
    <definedName name="_2__123Graph_ACHART_3" localSheetId="10" hidden="1">#REF!</definedName>
    <definedName name="_2__123Graph_ACHART_3" localSheetId="9" hidden="1">#REF!</definedName>
    <definedName name="_2__123Graph_ACHART_3" localSheetId="8" hidden="1">#REF!</definedName>
    <definedName name="_2__123Graph_ACHART_3" localSheetId="16" hidden="1">#REF!</definedName>
    <definedName name="_2__123Graph_ACHART_3" hidden="1">#REF!</definedName>
    <definedName name="_2__123Graph_ACHART_4" hidden="1">#REF!</definedName>
    <definedName name="_2__123Graph_BCHART_1" hidden="1">#REF!</definedName>
    <definedName name="_2__123Graph_BCHART_2" hidden="1">#REF!</definedName>
    <definedName name="_2__FDSAUDITLINK__" localSheetId="10"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_1">#REF!</definedName>
    <definedName name="_20_____________________123Graph_BCHART_17" hidden="1">#REF!</definedName>
    <definedName name="_20__________________123Graph_BCHART_17" hidden="1">#REF!</definedName>
    <definedName name="_20______123Graph_BCHART_1" hidden="1">#REF!</definedName>
    <definedName name="_20______123Graph_BCHART_17" hidden="1">#REF!</definedName>
    <definedName name="_20___123Graph_ECHART_5" hidden="1">#REF!</definedName>
    <definedName name="_20__123Graph_ACHART_18" hidden="1">#REF!</definedName>
    <definedName name="_20__123Graph_BCHART_17" hidden="1">#REF!</definedName>
    <definedName name="_20__123Graph_BCHART_8" hidden="1">#REF!</definedName>
    <definedName name="_20__123Graph_CCHART_15" hidden="1">#REF!</definedName>
    <definedName name="_20__123Graph_ECHART_5" hidden="1">#REF!</definedName>
    <definedName name="_20__123Graph_LBL_BCHART_4" localSheetId="10" hidden="1">#REF!</definedName>
    <definedName name="_20__123Graph_LBL_BCHART_4" localSheetId="9" hidden="1">#REF!</definedName>
    <definedName name="_20__123Graph_LBL_BCHART_4" localSheetId="8" hidden="1">#REF!</definedName>
    <definedName name="_20__123Graph_LBL_BCHART_4" localSheetId="16" hidden="1">#REF!</definedName>
    <definedName name="_20__123Graph_LBL_BCHART_4" hidden="1">#REF!</definedName>
    <definedName name="_20__123Graph_XCHART_2" hidden="1">#REF!</definedName>
    <definedName name="_20__123Graph_XCHART_3" localSheetId="10" hidden="1">#REF!</definedName>
    <definedName name="_20__123Graph_XCHART_3" localSheetId="9" hidden="1">#REF!</definedName>
    <definedName name="_20__123Graph_XCHART_3" localSheetId="8" hidden="1">#REF!</definedName>
    <definedName name="_20__123Graph_XCHART_3" localSheetId="16" hidden="1">#REF!</definedName>
    <definedName name="_20__123Graph_XCHART_3" hidden="1">#REF!</definedName>
    <definedName name="_20__FDSAUDITLINK__" localSheetId="10"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0Rwvu.Pag" hidden="1">#REF!</definedName>
    <definedName name="_200___________________123Graph_ECHART_3" hidden="1">#REF!</definedName>
    <definedName name="_200________________123Graph_ECHART_2" hidden="1">#REF!</definedName>
    <definedName name="_200_____123Graph_XCHART_10" hidden="1">#REF!</definedName>
    <definedName name="_200____123Graph_ECHART_1" hidden="1">#REF!</definedName>
    <definedName name="_200____123Graph_ECHART_2" hidden="1">#REF!</definedName>
    <definedName name="_2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1___________________123Graph_ECHART_4" hidden="1">#REF!</definedName>
    <definedName name="_201________________123Graph_ECHART_3" hidden="1">#REF!</definedName>
    <definedName name="_201____123Graph_ECHART_2" hidden="1">#REF!</definedName>
    <definedName name="_201____123Graph_ECHART_3" hidden="1">#REF!</definedName>
    <definedName name="_2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2___________________123Graph_ECHART_5" hidden="1">#REF!</definedName>
    <definedName name="_202________________123Graph_ECHART_4" hidden="1">#REF!</definedName>
    <definedName name="_202_____123Graph_XCHART_11" hidden="1">#REF!</definedName>
    <definedName name="_202____123Graph_ECHART_3" hidden="1">#REF!</definedName>
    <definedName name="_202____123Graph_ECHART_4" hidden="1">#REF!</definedName>
    <definedName name="_2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3___________________123Graph_ECHART_6" hidden="1">#REF!</definedName>
    <definedName name="_203________________123Graph_ECHART_5" hidden="1">#REF!</definedName>
    <definedName name="_203____123Graph_ECHART_4" hidden="1">#REF!</definedName>
    <definedName name="_203____123Graph_ECHART_5" hidden="1">#REF!</definedName>
    <definedName name="_2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4___________________123Graph_ECHART_7" hidden="1">#REF!</definedName>
    <definedName name="_204________________123Graph_ECHART_6" hidden="1">#REF!</definedName>
    <definedName name="_204_____123Graph_XCHART_12" hidden="1">#REF!</definedName>
    <definedName name="_204____123Graph_ECHART_5" hidden="1">#REF!</definedName>
    <definedName name="_204____123Graph_ECHART_6" hidden="1">#REF!</definedName>
    <definedName name="_2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5___________________123Graph_ECHART_8" hidden="1">#REF!</definedName>
    <definedName name="_205________________123Graph_ECHART_7" hidden="1">#REF!</definedName>
    <definedName name="_205____123Graph_ECHART_6" hidden="1">#REF!</definedName>
    <definedName name="_205____123Graph_ECHART_7" hidden="1">#REF!</definedName>
    <definedName name="_2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6___________________123Graph_FCHART_1" hidden="1">#REF!</definedName>
    <definedName name="_206________________123Graph_ECHART_8" hidden="1">#REF!</definedName>
    <definedName name="_206_____123Graph_XCHART_13" hidden="1">#REF!</definedName>
    <definedName name="_206____123Graph_ECHART_7" hidden="1">#REF!</definedName>
    <definedName name="_206____123Graph_ECHART_8" hidden="1">#REF!</definedName>
    <definedName name="_206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7___________________123Graph_FCHART_2" hidden="1">#REF!</definedName>
    <definedName name="_207________________123Graph_FCHART_1" hidden="1">#REF!</definedName>
    <definedName name="_207____123Graph_ECHART_8" hidden="1">#REF!</definedName>
    <definedName name="_207____123Graph_FCHART_1" hidden="1">#REF!</definedName>
    <definedName name="_2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8___________________123Graph_FCHART_3" hidden="1">#REF!</definedName>
    <definedName name="_208________________123Graph_FCHART_2" hidden="1">#REF!</definedName>
    <definedName name="_208_____123Graph_XCHART_14" hidden="1">#REF!</definedName>
    <definedName name="_208____123Graph_FCHART_1" hidden="1">#REF!</definedName>
    <definedName name="_208____123Graph_FCHART_2" hidden="1">#REF!</definedName>
    <definedName name="_2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09___________________123Graph_FCHART_4" hidden="1">#REF!</definedName>
    <definedName name="_209________________123Graph_FCHART_3" hidden="1">#REF!</definedName>
    <definedName name="_209____123Graph_FCHART_2" hidden="1">#REF!</definedName>
    <definedName name="_209____123Graph_FCHART_3" hidden="1">#REF!</definedName>
    <definedName name="_209__123Graph_ECHART_4" hidden="1">#REF!</definedName>
    <definedName name="_2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 localSheetId="10"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___________________123Graph_BCHART_18" hidden="1">#REF!</definedName>
    <definedName name="_21__________________123Graph_BCHART_18" hidden="1">#REF!</definedName>
    <definedName name="_21______123Graph_BCHART_17" hidden="1">#REF!</definedName>
    <definedName name="_21______123Graph_BCHART_18" hidden="1">#REF!</definedName>
    <definedName name="_21___123Graph_FCHART_2" hidden="1">#REF!</definedName>
    <definedName name="_21__123Graph_ACHART_4" hidden="1">#REF!</definedName>
    <definedName name="_21__123Graph_BCHART_18" hidden="1">#REF!</definedName>
    <definedName name="_21__123Graph_BCHART_4" hidden="1">#REF!</definedName>
    <definedName name="_21__123Graph_BCHART_9" hidden="1">#REF!</definedName>
    <definedName name="_21__123Graph_CCHART_17" hidden="1">#REF!</definedName>
    <definedName name="_21__123Graph_FCHART_2" hidden="1">#REF!</definedName>
    <definedName name="_21__123Graph_LBL_CCHART_3" localSheetId="10" hidden="1">#REF!</definedName>
    <definedName name="_21__123Graph_LBL_CCHART_3" localSheetId="9" hidden="1">#REF!</definedName>
    <definedName name="_21__123Graph_LBL_CCHART_3" localSheetId="8" hidden="1">#REF!</definedName>
    <definedName name="_21__123Graph_LBL_CCHART_3" localSheetId="16" hidden="1">#REF!</definedName>
    <definedName name="_21__123Graph_LBL_CCHART_3" hidden="1">#REF!</definedName>
    <definedName name="_21__123Graph_XCHART_3" hidden="1">#REF!</definedName>
    <definedName name="_21__123Graph_XCHART_4" localSheetId="10" hidden="1">#REF!</definedName>
    <definedName name="_21__123Graph_XCHART_4" localSheetId="9" hidden="1">#REF!</definedName>
    <definedName name="_21__123Graph_XCHART_4" localSheetId="8" hidden="1">#REF!</definedName>
    <definedName name="_21__123Graph_XCHART_4" localSheetId="16" hidden="1">#REF!</definedName>
    <definedName name="_21__123Graph_XCHART_4" hidden="1">#REF!</definedName>
    <definedName name="_21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0__123Grap" hidden="1">#REF!</definedName>
    <definedName name="_21_0Rwvu.Pag" hidden="1">#REF!</definedName>
    <definedName name="_21_1" localSheetId="10" hidden="1">{#N/A,#N/A,FALSE,"Title";#N/A,#N/A,FALSE,"Index";#N/A,#N/A,FALSE,"1";#N/A,#N/A,FALSE,"2";#N/A,#N/A,FALSE,"3";#N/A,#N/A,FALSE,"4";#N/A,#N/A,FALSE,"5";#N/A,#N/A,FALSE,"6";#N/A,#N/A,FALSE,"7";#N/A,#N/A,FALSE,"8"}</definedName>
    <definedName name="_21_1" hidden="1">{#N/A,#N/A,FALSE,"Title";#N/A,#N/A,FALSE,"Index";#N/A,#N/A,FALSE,"1";#N/A,#N/A,FALSE,"2";#N/A,#N/A,FALSE,"3";#N/A,#N/A,FALSE,"4";#N/A,#N/A,FALSE,"5";#N/A,#N/A,FALSE,"6";#N/A,#N/A,FALSE,"7";#N/A,#N/A,FALSE,"8"}</definedName>
    <definedName name="_210___________________123Graph_FCHART_6" hidden="1">#REF!</definedName>
    <definedName name="_210________________123Graph_FCHART_4" hidden="1">#REF!</definedName>
    <definedName name="_210_____123Graph_XCHART_15" hidden="1">#REF!</definedName>
    <definedName name="_210____123Graph_FCHART_3" hidden="1">#REF!</definedName>
    <definedName name="_210____123Graph_FCHART_4" hidden="1">#REF!</definedName>
    <definedName name="_2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1" localSheetId="10" hidden="1">{#N/A,#N/A,FALSE,"ESI";#N/A,#N/A,FALSE,"LTI";#N/A,#N/A,FALSE,"Medical";#N/A,#N/A,FALSE,"DSG";#N/A,#N/A,FALSE,"PI";#N/A,#N/A,FALSE,"OI"}</definedName>
    <definedName name="_211" hidden="1">{#N/A,#N/A,FALSE,"ESI";#N/A,#N/A,FALSE,"LTI";#N/A,#N/A,FALSE,"Medical";#N/A,#N/A,FALSE,"DSG";#N/A,#N/A,FALSE,"PI";#N/A,#N/A,FALSE,"OI"}</definedName>
    <definedName name="_211___________________123Graph_FCHART_7" hidden="1">#REF!</definedName>
    <definedName name="_211________________123Graph_FCHART_6" hidden="1">#REF!</definedName>
    <definedName name="_211____123Graph_FCHART_4" hidden="1">#REF!</definedName>
    <definedName name="_211____123Graph_FCHART_6" hidden="1">#REF!</definedName>
    <definedName name="_2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1_1" localSheetId="10" hidden="1">{#N/A,#N/A,FALSE,"ESI";#N/A,#N/A,FALSE,"LTI";#N/A,#N/A,FALSE,"Medical";#N/A,#N/A,FALSE,"DSG";#N/A,#N/A,FALSE,"PI";#N/A,#N/A,FALSE,"OI"}</definedName>
    <definedName name="_211_1" hidden="1">{#N/A,#N/A,FALSE,"ESI";#N/A,#N/A,FALSE,"LTI";#N/A,#N/A,FALSE,"Medical";#N/A,#N/A,FALSE,"DSG";#N/A,#N/A,FALSE,"PI";#N/A,#N/A,FALSE,"OI"}</definedName>
    <definedName name="_212___________________123Graph_FCHART_8" hidden="1">#REF!</definedName>
    <definedName name="_212________________123Graph_FCHART_7" hidden="1">#REF!</definedName>
    <definedName name="_212_____123Graph_XCHART_16" hidden="1">#REF!</definedName>
    <definedName name="_212____123Graph_FCHART_6" hidden="1">#REF!</definedName>
    <definedName name="_212____123Graph_FCHART_7" hidden="1">#REF!</definedName>
    <definedName name="_2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3___________________123Graph_XCHART_1" hidden="1">#REF!</definedName>
    <definedName name="_213________________123Graph_FCHART_8" hidden="1">#REF!</definedName>
    <definedName name="_213____123Graph_FCHART_7" hidden="1">#REF!</definedName>
    <definedName name="_213____123Graph_FCHART_8" hidden="1">#REF!</definedName>
    <definedName name="_2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4___________________123Graph_XCHART_10" hidden="1">#REF!</definedName>
    <definedName name="_214________________123Graph_XCHART_1" hidden="1">#REF!</definedName>
    <definedName name="_214_____123Graph_XCHART_17" hidden="1">#REF!</definedName>
    <definedName name="_214____123Graph_FCHART_8" hidden="1">#REF!</definedName>
    <definedName name="_214____123Graph_XCHART_1" hidden="1">#REF!</definedName>
    <definedName name="_2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5___________________123Graph_XCHART_11" hidden="1">#REF!</definedName>
    <definedName name="_215________________123Graph_XCHART_10" hidden="1">#REF!</definedName>
    <definedName name="_215____123Graph_XCHART_1" hidden="1">#REF!</definedName>
    <definedName name="_215____123Graph_XCHART_10" hidden="1">#REF!</definedName>
    <definedName name="_2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6___________________123Graph_XCHART_12" hidden="1">#REF!</definedName>
    <definedName name="_216________________123Graph_XCHART_11" hidden="1">#REF!</definedName>
    <definedName name="_216_____123Graph_XCHART_18" hidden="1">#REF!</definedName>
    <definedName name="_216____123Graph_XCHART_10" hidden="1">#REF!</definedName>
    <definedName name="_216____123Graph_XCHART_11" hidden="1">#REF!</definedName>
    <definedName name="_2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7___________________123Graph_XCHART_13" hidden="1">#REF!</definedName>
    <definedName name="_217________________123Graph_XCHART_12" hidden="1">#REF!</definedName>
    <definedName name="_217____123Graph_XCHART_11" hidden="1">#REF!</definedName>
    <definedName name="_217____123Graph_XCHART_12" hidden="1">#REF!</definedName>
    <definedName name="_2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8___________________123Graph_XCHART_14" hidden="1">#REF!</definedName>
    <definedName name="_218________________123Graph_XCHART_13" hidden="1">#REF!</definedName>
    <definedName name="_218_____123Graph_XCHART_2" hidden="1">#REF!</definedName>
    <definedName name="_218____123Graph_XCHART_12" hidden="1">#REF!</definedName>
    <definedName name="_218____123Graph_XCHART_13" hidden="1">#REF!</definedName>
    <definedName name="_2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19___________________123Graph_XCHART_15" hidden="1">#REF!</definedName>
    <definedName name="_219________________123Graph_XCHART_14" hidden="1">#REF!</definedName>
    <definedName name="_219____123Graph_XCHART_13" hidden="1">#REF!</definedName>
    <definedName name="_219____123Graph_XCHART_14" hidden="1">#REF!</definedName>
    <definedName name="_2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 localSheetId="10" hidden="1">{#N/A,#N/A,FALSE,"Title";#N/A,#N/A,FALSE,"Index";#N/A,#N/A,FALSE,"1";#N/A,#N/A,FALSE,"2";#N/A,#N/A,FALSE,"3";#N/A,#N/A,FALSE,"4";#N/A,#N/A,FALSE,"5";#N/A,#N/A,FALSE,"5A";#N/A,#N/A,FALSE,"6";#N/A,#N/A,FALSE,"7";#N/A,#N/A,FALSE,"8"}</definedName>
    <definedName name="_22" hidden="1">{#N/A,#N/A,FALSE,"Title";#N/A,#N/A,FALSE,"Index";#N/A,#N/A,FALSE,"1";#N/A,#N/A,FALSE,"2";#N/A,#N/A,FALSE,"3";#N/A,#N/A,FALSE,"4";#N/A,#N/A,FALSE,"5";#N/A,#N/A,FALSE,"5A";#N/A,#N/A,FALSE,"6";#N/A,#N/A,FALSE,"7";#N/A,#N/A,FALSE,"8"}</definedName>
    <definedName name="_22_____________________123Graph_BCHART_2" hidden="1">#REF!</definedName>
    <definedName name="_22__________________123Graph_BCHART_2" hidden="1">#REF!</definedName>
    <definedName name="_22______123Graph_BCHART_18" hidden="1">#REF!</definedName>
    <definedName name="_22______123Graph_BCHART_2" hidden="1">#REF!</definedName>
    <definedName name="_22___123Graph_FCHART_3" hidden="1">#REF!</definedName>
    <definedName name="_22__123Graph_ACHART_2" hidden="1">#REF!</definedName>
    <definedName name="_22__123Graph_ACHART_3" hidden="1">#REF!</definedName>
    <definedName name="_22__123Graph_BCHART_1" hidden="1">#REF!</definedName>
    <definedName name="_22__123Graph_BCHART_2" hidden="1">#REF!</definedName>
    <definedName name="_22__123Graph_CCHART_10" hidden="1">#REF!</definedName>
    <definedName name="_22__123Graph_FCHART_3" hidden="1">#REF!</definedName>
    <definedName name="_22__123Graph_LBL_DCHART_1" localSheetId="10" hidden="1">#REF!</definedName>
    <definedName name="_22__123Graph_LBL_DCHART_1" localSheetId="9" hidden="1">#REF!</definedName>
    <definedName name="_22__123Graph_LBL_DCHART_1" localSheetId="8" hidden="1">#REF!</definedName>
    <definedName name="_22__123Graph_LBL_DCHART_1" localSheetId="16" hidden="1">#REF!</definedName>
    <definedName name="_22__123Graph_LBL_DCHART_1" hidden="1">#REF!</definedName>
    <definedName name="_22__123Graph_XCHART_4" hidden="1">#REF!</definedName>
    <definedName name="_22__123Graph_XCHART_8" localSheetId="10" hidden="1">#REF!</definedName>
    <definedName name="_22__123Graph_XCHART_8" localSheetId="9" hidden="1">#REF!</definedName>
    <definedName name="_22__123Graph_XCHART_8" localSheetId="8" hidden="1">#REF!</definedName>
    <definedName name="_22__123Graph_XCHART_8" localSheetId="16" hidden="1">#REF!</definedName>
    <definedName name="_22__123Graph_XCHART_8" hidden="1">#REF!</definedName>
    <definedName name="_22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0_0__123Grap" hidden="1">#REF!</definedName>
    <definedName name="_22_1" localSheetId="10" hidden="1">{#N/A,#N/A,FALSE,"Title";#N/A,#N/A,FALSE,"Index";#N/A,#N/A,FALSE,"1";#N/A,#N/A,FALSE,"2";#N/A,#N/A,FALSE,"3";#N/A,#N/A,FALSE,"4";#N/A,#N/A,FALSE,"5";#N/A,#N/A,FALSE,"5A";#N/A,#N/A,FALSE,"6";#N/A,#N/A,FALSE,"7";#N/A,#N/A,FALSE,"8"}</definedName>
    <definedName name="_22_1" hidden="1">{#N/A,#N/A,FALSE,"Title";#N/A,#N/A,FALSE,"Index";#N/A,#N/A,FALSE,"1";#N/A,#N/A,FALSE,"2";#N/A,#N/A,FALSE,"3";#N/A,#N/A,FALSE,"4";#N/A,#N/A,FALSE,"5";#N/A,#N/A,FALSE,"5A";#N/A,#N/A,FALSE,"6";#N/A,#N/A,FALSE,"7";#N/A,#N/A,FALSE,"8"}</definedName>
    <definedName name="_220___________________123Graph_XCHART_16" hidden="1">#REF!</definedName>
    <definedName name="_220________________123Graph_XCHART_15" hidden="1">#REF!</definedName>
    <definedName name="_220_____123Graph_XCHART_3" hidden="1">#REF!</definedName>
    <definedName name="_220____123Graph_XCHART_14" hidden="1">#REF!</definedName>
    <definedName name="_220____123Graph_XCHART_15" hidden="1">#REF!</definedName>
    <definedName name="_220__123Graph_ECHART_5" hidden="1">#REF!</definedName>
    <definedName name="_2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1___________________123Graph_XCHART_17" hidden="1">#REF!</definedName>
    <definedName name="_221________________123Graph_XCHART_16" hidden="1">#REF!</definedName>
    <definedName name="_221____123Graph_XCHART_15" hidden="1">#REF!</definedName>
    <definedName name="_221____123Graph_XCHART_16" hidden="1">#REF!</definedName>
    <definedName name="_2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2___________________123Graph_XCHART_18" hidden="1">#REF!</definedName>
    <definedName name="_222________________123Graph_XCHART_17" hidden="1">#REF!</definedName>
    <definedName name="_222_____123Graph_XCHART_4" hidden="1">#REF!</definedName>
    <definedName name="_222____123Graph_XCHART_16" hidden="1">#REF!</definedName>
    <definedName name="_222____123Graph_XCHART_17" hidden="1">#REF!</definedName>
    <definedName name="_2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3___________________123Graph_XCHART_2" hidden="1">#REF!</definedName>
    <definedName name="_223________________123Graph_XCHART_18" hidden="1">#REF!</definedName>
    <definedName name="_223____123Graph_XCHART_17" hidden="1">#REF!</definedName>
    <definedName name="_223____123Graph_XCHART_18" hidden="1">#REF!</definedName>
    <definedName name="_2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4___________________123Graph_XCHART_3" hidden="1">#REF!</definedName>
    <definedName name="_224________________123Graph_XCHART_2" hidden="1">#REF!</definedName>
    <definedName name="_224_____123Graph_XCHART_5" hidden="1">#REF!</definedName>
    <definedName name="_224____123Graph_XCHART_18" hidden="1">#REF!</definedName>
    <definedName name="_224____123Graph_XCHART_2" hidden="1">#REF!</definedName>
    <definedName name="_2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5___________________123Graph_XCHART_4" hidden="1">#REF!</definedName>
    <definedName name="_225________________123Graph_XCHART_3" hidden="1">#REF!</definedName>
    <definedName name="_225____123Graph_XCHART_2" hidden="1">#REF!</definedName>
    <definedName name="_225____123Graph_XCHART_3" hidden="1">#REF!</definedName>
    <definedName name="_2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6___________________123Graph_XCHART_5" hidden="1">#REF!</definedName>
    <definedName name="_226________________123Graph_XCHART_4" hidden="1">#REF!</definedName>
    <definedName name="_226_____123Graph_XCHART_6" hidden="1">#REF!</definedName>
    <definedName name="_226____123Graph_XCHART_3" hidden="1">#REF!</definedName>
    <definedName name="_226____123Graph_XCHART_4" hidden="1">#REF!</definedName>
    <definedName name="_2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7___________________123Graph_XCHART_6" hidden="1">#REF!</definedName>
    <definedName name="_227________________123Graph_XCHART_5" hidden="1">#REF!</definedName>
    <definedName name="_227____123Graph_XCHART_4" hidden="1">#REF!</definedName>
    <definedName name="_227____123Graph_XCHART_5" hidden="1">#REF!</definedName>
    <definedName name="_2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8___________________123Graph_XCHART_7" hidden="1">#REF!</definedName>
    <definedName name="_228________________123Graph_XCHART_6" hidden="1">#REF!</definedName>
    <definedName name="_228_____123Graph_XCHART_7" hidden="1">#REF!</definedName>
    <definedName name="_228____123Graph_XCHART_5" hidden="1">#REF!</definedName>
    <definedName name="_228____123Graph_XCHART_6" hidden="1">#REF!</definedName>
    <definedName name="_2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9___________________123Graph_XCHART_8" hidden="1">#REF!</definedName>
    <definedName name="_229________________123Graph_XCHART_7" hidden="1">#REF!</definedName>
    <definedName name="_229____123Graph_XCHART_6" hidden="1">#REF!</definedName>
    <definedName name="_229____123Graph_XCHART_7" hidden="1">#REF!</definedName>
    <definedName name="_2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2S" hidden="1">#REF!</definedName>
    <definedName name="_23">#REF!</definedName>
    <definedName name="_23_____________________123Graph_BCHART_3" hidden="1">#REF!</definedName>
    <definedName name="_23__________________123Graph_BCHART_3" hidden="1">#REF!</definedName>
    <definedName name="_23______123Graph_BCHART_2" hidden="1">#REF!</definedName>
    <definedName name="_23______123Graph_BCHART_3" hidden="1">#REF!</definedName>
    <definedName name="_23___123Graph_FCHART_4" hidden="1">#REF!</definedName>
    <definedName name="_23__123Graph_BCHART_2" hidden="1">#REF!</definedName>
    <definedName name="_23__123Graph_BCHART_3" hidden="1">#REF!</definedName>
    <definedName name="_23__123Graph_CCHART_11" hidden="1">#REF!</definedName>
    <definedName name="_23__123Graph_FCHART_4" hidden="1">#REF!</definedName>
    <definedName name="_23__123Graph_XCHART_1" localSheetId="10" hidden="1">#REF!</definedName>
    <definedName name="_23__123Graph_XCHART_1" localSheetId="9" hidden="1">#REF!</definedName>
    <definedName name="_23__123Graph_XCHART_1" localSheetId="8" hidden="1">#REF!</definedName>
    <definedName name="_23__123Graph_XCHART_1" localSheetId="16" hidden="1">#REF!</definedName>
    <definedName name="_23__123Graph_XCHART_1" hidden="1">#REF!</definedName>
    <definedName name="_23__123Graph_XCHART_5" hidden="1">#REF!</definedName>
    <definedName name="_23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0___________________123Graph_XCHART_9" hidden="1">#REF!</definedName>
    <definedName name="_230________________123Graph_XCHART_8" hidden="1">#REF!</definedName>
    <definedName name="_230_____123Graph_XCHART_8" hidden="1">#REF!</definedName>
    <definedName name="_230____123Graph_XCHART_7" hidden="1">#REF!</definedName>
    <definedName name="_230____123Graph_XCHART_8" hidden="1">#REF!</definedName>
    <definedName name="_2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1__________________123Graph_ACHART_1" hidden="1">#REF!</definedName>
    <definedName name="_231________________123Graph_XCHART_9" hidden="1">#REF!</definedName>
    <definedName name="_231____123Graph_XCHART_8" hidden="1">#REF!</definedName>
    <definedName name="_231____123Graph_XCHART_9" hidden="1">#REF!</definedName>
    <definedName name="_231__123Graph_FCHART_2" hidden="1">#REF!</definedName>
    <definedName name="_2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2__________________123Graph_ACHART_10" hidden="1">#REF!</definedName>
    <definedName name="_232_______________123Graph_ACHART_1" hidden="1">#REF!</definedName>
    <definedName name="_232_____123Graph_XCHART_9" hidden="1">#REF!</definedName>
    <definedName name="_232____123Graph_XCHART_9" hidden="1">#REF!</definedName>
    <definedName name="_232___123Graph_ACHART_1" hidden="1">#REF!</definedName>
    <definedName name="_2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3__________________123Graph_ACHART_11" hidden="1">#REF!</definedName>
    <definedName name="_233_______________123Graph_ACHART_10" hidden="1">#REF!</definedName>
    <definedName name="_233____123Graph_ACHART_1" hidden="1">#REF!</definedName>
    <definedName name="_233___123Graph_ACHART_1" hidden="1">#REF!</definedName>
    <definedName name="_233___123Graph_ACHART_10" hidden="1">#REF!</definedName>
    <definedName name="_2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4__________________123Graph_ACHART_12" hidden="1">#REF!</definedName>
    <definedName name="_234_______________123Graph_ACHART_11" hidden="1">#REF!</definedName>
    <definedName name="_234____123Graph_ACHART_10" hidden="1">#REF!</definedName>
    <definedName name="_234___123Graph_ACHART_10" hidden="1">#REF!</definedName>
    <definedName name="_234___123Graph_ACHART_11" hidden="1">#REF!</definedName>
    <definedName name="_2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4_x" hidden="1">#REF!</definedName>
    <definedName name="_235__________________123Graph_ACHART_13" hidden="1">#REF!</definedName>
    <definedName name="_235_______________123Graph_ACHART_12" hidden="1">#REF!</definedName>
    <definedName name="_235____123Graph_ACHART_11" hidden="1">#REF!</definedName>
    <definedName name="_235___123Graph_ACHART_11" hidden="1">#REF!</definedName>
    <definedName name="_235___123Graph_ACHART_12" hidden="1">#REF!</definedName>
    <definedName name="_2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6__________________123Graph_ACHART_14" hidden="1">#REF!</definedName>
    <definedName name="_236_______________123Graph_ACHART_13" hidden="1">#REF!</definedName>
    <definedName name="_236____123Graph_ACHART_12" hidden="1">#REF!</definedName>
    <definedName name="_236___123Graph_ACHART_12" hidden="1">#REF!</definedName>
    <definedName name="_236___123Graph_ACHART_13" hidden="1">#REF!</definedName>
    <definedName name="_2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7__________________123Graph_ACHART_15" hidden="1">#REF!</definedName>
    <definedName name="_237_______________123Graph_ACHART_14" hidden="1">#REF!</definedName>
    <definedName name="_237____123Graph_ACHART_13" hidden="1">#REF!</definedName>
    <definedName name="_237___123Graph_ACHART_13" hidden="1">#REF!</definedName>
    <definedName name="_237___123Graph_ACHART_14" hidden="1">#REF!</definedName>
    <definedName name="_2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8__________________123Graph_ACHART_16" hidden="1">#REF!</definedName>
    <definedName name="_238_______________123Graph_ACHART_15" hidden="1">#REF!</definedName>
    <definedName name="_238____123Graph_ACHART_14" hidden="1">#REF!</definedName>
    <definedName name="_238___123Graph_ACHART_14" hidden="1">#REF!</definedName>
    <definedName name="_238___123Graph_ACHART_15" hidden="1">#REF!</definedName>
    <definedName name="_2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39__________________123Graph_ACHART_17" hidden="1">#REF!</definedName>
    <definedName name="_239_______________123Graph_ACHART_16" hidden="1">#REF!</definedName>
    <definedName name="_239____123Graph_ACHART_15" hidden="1">#REF!</definedName>
    <definedName name="_239___123Graph_ACHART_15" hidden="1">#REF!</definedName>
    <definedName name="_239___123Graph_ACHART_16" hidden="1">#REF!</definedName>
    <definedName name="_2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_____________________123Graph_BCHART_4" hidden="1">#REF!</definedName>
    <definedName name="_24__________________123Graph_BCHART_4" hidden="1">#REF!</definedName>
    <definedName name="_24______123Graph_BCHART_3" hidden="1">#REF!</definedName>
    <definedName name="_24______123Graph_BCHART_4" hidden="1">#REF!</definedName>
    <definedName name="_24___123Graph_FCHART_5" hidden="1">#REF!</definedName>
    <definedName name="_24__123Graph_ACHART_3" hidden="1">#REF!</definedName>
    <definedName name="_24__123Graph_BCHART_4" hidden="1">#REF!</definedName>
    <definedName name="_24__123Graph_BCHART_5" hidden="1">#REF!</definedName>
    <definedName name="_24__123Graph_CCHART_2" hidden="1">#REF!</definedName>
    <definedName name="_24__123Graph_FCHART_5" hidden="1">#REF!</definedName>
    <definedName name="_24__123Graph_XCHART_1" hidden="1">#REF!</definedName>
    <definedName name="_24__123Graph_XCHART_3" localSheetId="10" hidden="1">#REF!</definedName>
    <definedName name="_24__123Graph_XCHART_3" localSheetId="9" hidden="1">#REF!</definedName>
    <definedName name="_24__123Graph_XCHART_3" localSheetId="8" hidden="1">#REF!</definedName>
    <definedName name="_24__123Graph_XCHART_3" localSheetId="16" hidden="1">#REF!</definedName>
    <definedName name="_24__123Graph_XCHART_3" hidden="1">#REF!</definedName>
    <definedName name="_24__123Graph_XCHART_6" hidden="1">#REF!</definedName>
    <definedName name="_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0__________________123Graph_ACHART_18" hidden="1">#REF!</definedName>
    <definedName name="_240_______________123Graph_ACHART_17" hidden="1">#REF!</definedName>
    <definedName name="_240____123Graph_ACHART_16" hidden="1">#REF!</definedName>
    <definedName name="_240___123Graph_ACHART_16" hidden="1">#REF!</definedName>
    <definedName name="_240___123Graph_ACHART_17" hidden="1">#REF!</definedName>
    <definedName name="_2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1__________________123Graph_ACHART_2" hidden="1">#REF!</definedName>
    <definedName name="_241_______________123Graph_ACHART_18" hidden="1">#REF!</definedName>
    <definedName name="_241____123Graph_ACHART_17" hidden="1">#REF!</definedName>
    <definedName name="_241___123Graph_ACHART_17" hidden="1">#REF!</definedName>
    <definedName name="_241___123Graph_ACHART_18" hidden="1">#REF!</definedName>
    <definedName name="_2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2__________________123Graph_ACHART_3" hidden="1">#REF!</definedName>
    <definedName name="_242_______________123Graph_ACHART_2" hidden="1">#REF!</definedName>
    <definedName name="_242____123Graph_ACHART_18" hidden="1">#REF!</definedName>
    <definedName name="_242___123Graph_ACHART_18" hidden="1">#REF!</definedName>
    <definedName name="_242___123Graph_ACHART_2" hidden="1">#REF!</definedName>
    <definedName name="_242__123Graph_FCHART_3" hidden="1">#REF!</definedName>
    <definedName name="_2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3__________________123Graph_ACHART_4" hidden="1">#REF!</definedName>
    <definedName name="_243_______________123Graph_ACHART_3" hidden="1">#REF!</definedName>
    <definedName name="_243____123Graph_ACHART_2" hidden="1">#REF!</definedName>
    <definedName name="_243___123Graph_ACHART_2" hidden="1">#REF!</definedName>
    <definedName name="_243___123Graph_ACHART_3" hidden="1">#REF!</definedName>
    <definedName name="_2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4__________________123Graph_ACHART_5" hidden="1">#REF!</definedName>
    <definedName name="_244_______________123Graph_ACHART_4" hidden="1">#REF!</definedName>
    <definedName name="_244____123Graph_ACHART_3" hidden="1">#REF!</definedName>
    <definedName name="_244___123Graph_ACHART_3" hidden="1">#REF!</definedName>
    <definedName name="_244___123Graph_ACHART_4" hidden="1">#REF!</definedName>
    <definedName name="_2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5__________________123Graph_ACHART_6" hidden="1">#REF!</definedName>
    <definedName name="_245_______________123Graph_ACHART_5" hidden="1">#REF!</definedName>
    <definedName name="_245____123Graph_ACHART_4" hidden="1">#REF!</definedName>
    <definedName name="_245___123Graph_ACHART_4" hidden="1">#REF!</definedName>
    <definedName name="_245___123Graph_ACHART_5" hidden="1">#REF!</definedName>
    <definedName name="_2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6__________________123Graph_ACHART_7" hidden="1">#REF!</definedName>
    <definedName name="_246_______________123Graph_ACHART_6" hidden="1">#REF!</definedName>
    <definedName name="_246____123Graph_ACHART_5" hidden="1">#REF!</definedName>
    <definedName name="_246___123Graph_ACHART_5" hidden="1">#REF!</definedName>
    <definedName name="_246___123Graph_ACHART_6" hidden="1">#REF!</definedName>
    <definedName name="_2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7__________________123Graph_ACHART_8" hidden="1">#REF!</definedName>
    <definedName name="_247_______________123Graph_ACHART_7" hidden="1">#REF!</definedName>
    <definedName name="_247____123Graph_ACHART_6" hidden="1">#REF!</definedName>
    <definedName name="_247___123Graph_ACHART_6" hidden="1">#REF!</definedName>
    <definedName name="_247___123Graph_ACHART_7" hidden="1">#REF!</definedName>
    <definedName name="_2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8__________________123Graph_ACHART_9" hidden="1">#REF!</definedName>
    <definedName name="_248_______________123Graph_ACHART_8" hidden="1">#REF!</definedName>
    <definedName name="_248____123Graph_ACHART_7" hidden="1">#REF!</definedName>
    <definedName name="_248___123Graph_ACHART_7" hidden="1">#REF!</definedName>
    <definedName name="_248___123Graph_ACHART_8" hidden="1">#REF!</definedName>
    <definedName name="_2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49__________________123Graph_BCHART_1" hidden="1">#REF!</definedName>
    <definedName name="_249_______________123Graph_ACHART_9" hidden="1">#REF!</definedName>
    <definedName name="_249____123Graph_ACHART_8" hidden="1">#REF!</definedName>
    <definedName name="_249___123Graph_ACHART_8" hidden="1">#REF!</definedName>
    <definedName name="_249___123Graph_ACHART_9" hidden="1">#REF!</definedName>
    <definedName name="_2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_____________________123Graph_BCHART_5" hidden="1">#REF!</definedName>
    <definedName name="_25__________________123Graph_BCHART_5" hidden="1">#REF!</definedName>
    <definedName name="_25______123Graph_BCHART_4" hidden="1">#REF!</definedName>
    <definedName name="_25______123Graph_BCHART_5" hidden="1">#REF!</definedName>
    <definedName name="_25__123Graph_BCHART_5" hidden="1">#REF!</definedName>
    <definedName name="_25__123Graph_CCHART_1" hidden="1">#REF!</definedName>
    <definedName name="_25__123Graph_CCHART_3" hidden="1">#REF!</definedName>
    <definedName name="_25__123Graph_XCHART_10" hidden="1">#REF!</definedName>
    <definedName name="_25__123Graph_XCHART_4" localSheetId="10" hidden="1">#REF!</definedName>
    <definedName name="_25__123Graph_XCHART_4" localSheetId="9" hidden="1">#REF!</definedName>
    <definedName name="_25__123Graph_XCHART_4" localSheetId="8" hidden="1">#REF!</definedName>
    <definedName name="_25__123Graph_XCHART_4" localSheetId="16" hidden="1">#REF!</definedName>
    <definedName name="_25__123Graph_XCHART_4" hidden="1">#REF!</definedName>
    <definedName name="_25__123Graph_XCHART_7" hidden="1">#REF!</definedName>
    <definedName name="_25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0__________________123Graph_BCHART_17" hidden="1">#REF!</definedName>
    <definedName name="_250_______________123Graph_BCHART_1" hidden="1">#REF!</definedName>
    <definedName name="_250____123Graph_ACHART_9" hidden="1">#REF!</definedName>
    <definedName name="_250___123Graph_ACHART_9" hidden="1">#REF!</definedName>
    <definedName name="_250___123Graph_BCHART_1" hidden="1">#REF!</definedName>
    <definedName name="_2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1__________________123Graph_BCHART_18" hidden="1">#REF!</definedName>
    <definedName name="_251_______________123Graph_BCHART_17" hidden="1">#REF!</definedName>
    <definedName name="_251____123Graph_BCHART_1" hidden="1">#REF!</definedName>
    <definedName name="_251___123Graph_BCHART_1" hidden="1">#REF!</definedName>
    <definedName name="_251___123Graph_BCHART_17" hidden="1">#REF!</definedName>
    <definedName name="_2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2__________________123Graph_BCHART_2" hidden="1">#REF!</definedName>
    <definedName name="_252_______________123Graph_BCHART_18" hidden="1">#REF!</definedName>
    <definedName name="_252____123Graph_BCHART_17" hidden="1">#REF!</definedName>
    <definedName name="_252___123Graph_BCHART_17" hidden="1">#REF!</definedName>
    <definedName name="_252___123Graph_BCHART_18" hidden="1">#REF!</definedName>
    <definedName name="_2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3__________________123Graph_BCHART_3" hidden="1">#REF!</definedName>
    <definedName name="_253_______________123Graph_BCHART_2" hidden="1">#REF!</definedName>
    <definedName name="_253____123Graph_BCHART_18" hidden="1">#REF!</definedName>
    <definedName name="_253___123Graph_BCHART_18" hidden="1">#REF!</definedName>
    <definedName name="_253___123Graph_BCHART_2" hidden="1">#REF!</definedName>
    <definedName name="_253__123Graph_FCHART_4" hidden="1">#REF!</definedName>
    <definedName name="_2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4__________________123Graph_BCHART_4" hidden="1">#REF!</definedName>
    <definedName name="_254_______________123Graph_BCHART_3" hidden="1">#REF!</definedName>
    <definedName name="_254____123Graph_BCHART_2" hidden="1">#REF!</definedName>
    <definedName name="_254___123Graph_BCHART_2" hidden="1">#REF!</definedName>
    <definedName name="_254___123Graph_BCHART_3" hidden="1">#REF!</definedName>
    <definedName name="_2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5__________________123Graph_BCHART_5" hidden="1">#REF!</definedName>
    <definedName name="_255_______________123Graph_BCHART_4" hidden="1">#REF!</definedName>
    <definedName name="_255____123Graph_BCHART_3" hidden="1">#REF!</definedName>
    <definedName name="_255___123Graph_BCHART_3" hidden="1">#REF!</definedName>
    <definedName name="_255___123Graph_BCHART_4" hidden="1">#REF!</definedName>
    <definedName name="_2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6__________________123Graph_BCHART_6" hidden="1">#REF!</definedName>
    <definedName name="_256_______________123Graph_BCHART_5" hidden="1">#REF!</definedName>
    <definedName name="_256____123Graph_BCHART_4" hidden="1">#REF!</definedName>
    <definedName name="_256___123Graph_BCHART_4" hidden="1">#REF!</definedName>
    <definedName name="_256___123Graph_BCHART_5" hidden="1">#REF!</definedName>
    <definedName name="_2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7__________________123Graph_BCHART_7" hidden="1">#REF!</definedName>
    <definedName name="_257_______________123Graph_BCHART_6" hidden="1">#REF!</definedName>
    <definedName name="_257____123Graph_BCHART_5" hidden="1">#REF!</definedName>
    <definedName name="_257___123Graph_BCHART_5" hidden="1">#REF!</definedName>
    <definedName name="_257___123Graph_BCHART_6" hidden="1">#REF!</definedName>
    <definedName name="_2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8__________________123Graph_BCHART_8" hidden="1">#REF!</definedName>
    <definedName name="_258_______________123Graph_BCHART_7" hidden="1">#REF!</definedName>
    <definedName name="_258____123Graph_BCHART_6" hidden="1">#REF!</definedName>
    <definedName name="_258___123Graph_BCHART_6" hidden="1">#REF!</definedName>
    <definedName name="_258___123Graph_BCHART_7" hidden="1">#REF!</definedName>
    <definedName name="_2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59__________________123Graph_CCHART_1" hidden="1">#REF!</definedName>
    <definedName name="_259_______________123Graph_BCHART_8" hidden="1">#REF!</definedName>
    <definedName name="_259____123Graph_BCHART_7" hidden="1">#REF!</definedName>
    <definedName name="_259___123Graph_BCHART_7" hidden="1">#REF!</definedName>
    <definedName name="_259___123Graph_BCHART_8" hidden="1">#REF!</definedName>
    <definedName name="_2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_____________________123Graph_BCHART_6" hidden="1">#REF!</definedName>
    <definedName name="_26__________________123Graph_BCHART_6" hidden="1">#REF!</definedName>
    <definedName name="_26______123Graph_BCHART_5" hidden="1">#REF!</definedName>
    <definedName name="_26______123Graph_BCHART_6" hidden="1">#REF!</definedName>
    <definedName name="_26__123Graph_ACHART_4" hidden="1">#REF!</definedName>
    <definedName name="_26__123Graph_BCHART_6" hidden="1">#REF!</definedName>
    <definedName name="_26__123Graph_CCHART_2" hidden="1">#REF!</definedName>
    <definedName name="_26__123Graph_CCHART_6" hidden="1">#REF!</definedName>
    <definedName name="_26__123Graph_XCHART_15" hidden="1">#REF!</definedName>
    <definedName name="_26__123Graph_XCHART_8" localSheetId="10" hidden="1">#REF!</definedName>
    <definedName name="_26__123Graph_XCHART_8" localSheetId="9" hidden="1">#REF!</definedName>
    <definedName name="_26__123Graph_XCHART_8" localSheetId="8" hidden="1">#REF!</definedName>
    <definedName name="_26__123Graph_XCHART_8" localSheetId="16" hidden="1">#REF!</definedName>
    <definedName name="_26__123Graph_XCHART_8" hidden="1">#REF!</definedName>
    <definedName name="_26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0__________________123Graph_CCHART_2" hidden="1">#REF!</definedName>
    <definedName name="_260_______________123Graph_CCHART_1" hidden="1">#REF!</definedName>
    <definedName name="_260____123Graph_BCHART_8" hidden="1">#REF!</definedName>
    <definedName name="_260___123Graph_BCHART_8" hidden="1">#REF!</definedName>
    <definedName name="_260___123Graph_CCHART_1" hidden="1">#REF!</definedName>
    <definedName name="_2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1__________________123Graph_CCHART_3" hidden="1">#REF!</definedName>
    <definedName name="_261_______________123Graph_CCHART_2" hidden="1">#REF!</definedName>
    <definedName name="_261____123Graph_CCHART_1" hidden="1">#REF!</definedName>
    <definedName name="_261___123Graph_CCHART_1" hidden="1">#REF!</definedName>
    <definedName name="_261___123Graph_CCHART_2" hidden="1">#REF!</definedName>
    <definedName name="_2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2__________________123Graph_CCHART_4" hidden="1">#REF!</definedName>
    <definedName name="_262_______________123Graph_CCHART_3" hidden="1">#REF!</definedName>
    <definedName name="_262____123Graph_CCHART_2" hidden="1">#REF!</definedName>
    <definedName name="_262___123Graph_CCHART_2" hidden="1">#REF!</definedName>
    <definedName name="_262___123Graph_CCHART_3" hidden="1">#REF!</definedName>
    <definedName name="_2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3__________________123Graph_CCHART_5" hidden="1">#REF!</definedName>
    <definedName name="_263_______________123Graph_CCHART_4" hidden="1">#REF!</definedName>
    <definedName name="_263____123Graph_CCHART_3" hidden="1">#REF!</definedName>
    <definedName name="_263___123Graph_CCHART_3" hidden="1">#REF!</definedName>
    <definedName name="_263___123Graph_CCHART_4" hidden="1">#REF!</definedName>
    <definedName name="_2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4__________________123Graph_CCHART_6" hidden="1">#REF!</definedName>
    <definedName name="_264_______________123Graph_CCHART_5" hidden="1">#REF!</definedName>
    <definedName name="_264____123Graph_CCHART_4" hidden="1">#REF!</definedName>
    <definedName name="_264___123Graph_CCHART_4" hidden="1">#REF!</definedName>
    <definedName name="_264___123Graph_CCHART_5" hidden="1">#REF!</definedName>
    <definedName name="_264__123Graph_FCHART_5" hidden="1">#REF!</definedName>
    <definedName name="_2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5__________________123Graph_CCHART_7" hidden="1">#REF!</definedName>
    <definedName name="_265_______________123Graph_CCHART_6" hidden="1">#REF!</definedName>
    <definedName name="_265____123Graph_CCHART_5" hidden="1">#REF!</definedName>
    <definedName name="_265___123Graph_CCHART_5" hidden="1">#REF!</definedName>
    <definedName name="_265___123Graph_CCHART_6" hidden="1">#REF!</definedName>
    <definedName name="_2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6__________________123Graph_CCHART_8" hidden="1">#REF!</definedName>
    <definedName name="_266_______________123Graph_CCHART_7" hidden="1">#REF!</definedName>
    <definedName name="_266____123Graph_CCHART_6" hidden="1">#REF!</definedName>
    <definedName name="_266___123Graph_CCHART_6" hidden="1">#REF!</definedName>
    <definedName name="_266___123Graph_CCHART_7" hidden="1">#REF!</definedName>
    <definedName name="_2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7__________________123Graph_DCHART_1" hidden="1">#REF!</definedName>
    <definedName name="_267_______________123Graph_CCHART_8" hidden="1">#REF!</definedName>
    <definedName name="_267____123Graph_CCHART_7" hidden="1">#REF!</definedName>
    <definedName name="_267___123Graph_CCHART_7" hidden="1">#REF!</definedName>
    <definedName name="_267___123Graph_CCHART_8" hidden="1">#REF!</definedName>
    <definedName name="_2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8__________________123Graph_DCHART_2" hidden="1">#REF!</definedName>
    <definedName name="_268_______________123Graph_DCHART_1" hidden="1">#REF!</definedName>
    <definedName name="_268____123Graph_CCHART_8" hidden="1">#REF!</definedName>
    <definedName name="_268___123Graph_CCHART_8" hidden="1">#REF!</definedName>
    <definedName name="_268___123Graph_DCHART_1" hidden="1">#REF!</definedName>
    <definedName name="_2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69__________________123Graph_DCHART_3" hidden="1">#REF!</definedName>
    <definedName name="_269_______________123Graph_DCHART_2" hidden="1">#REF!</definedName>
    <definedName name="_269____123Graph_DCHART_1" hidden="1">#REF!</definedName>
    <definedName name="_269___123Graph_DCHART_1" hidden="1">#REF!</definedName>
    <definedName name="_269___123Graph_DCHART_2" hidden="1">#REF!</definedName>
    <definedName name="_2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_____________________123Graph_BCHART_7" hidden="1">#REF!</definedName>
    <definedName name="_27__________________123Graph_BCHART_7" hidden="1">#REF!</definedName>
    <definedName name="_27______123Graph_BCHART_6" hidden="1">#REF!</definedName>
    <definedName name="_27______123Graph_BCHART_7" hidden="1">#REF!</definedName>
    <definedName name="_27__123Graph_ACHART_2" hidden="1">#REF!</definedName>
    <definedName name="_27__123Graph_BCHART_7" hidden="1">#REF!</definedName>
    <definedName name="_27__123Graph_CCHART_15" hidden="1">#REF!</definedName>
    <definedName name="_27__123Graph_CCHART_2" hidden="1">#REF!</definedName>
    <definedName name="_27__123Graph_CCHART_7" hidden="1">#REF!</definedName>
    <definedName name="_27__123Graph_XCHART_17" hidden="1">#REF!</definedName>
    <definedName name="_27__123Graph_XCHART_9" hidden="1">#REF!</definedName>
    <definedName name="_27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0__________________123Graph_DCHART_4" hidden="1">#REF!</definedName>
    <definedName name="_270_______________123Graph_DCHART_3" hidden="1">#REF!</definedName>
    <definedName name="_270____123Graph_DCHART_2" hidden="1">#REF!</definedName>
    <definedName name="_270___123Graph_DCHART_2" hidden="1">#REF!</definedName>
    <definedName name="_270___123Graph_DCHART_3" hidden="1">#REF!</definedName>
    <definedName name="_2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1__________________123Graph_DCHART_5" hidden="1">#REF!</definedName>
    <definedName name="_271_______________123Graph_DCHART_4" hidden="1">#REF!</definedName>
    <definedName name="_271____123Graph_DCHART_3" hidden="1">#REF!</definedName>
    <definedName name="_271___123Graph_DCHART_3" hidden="1">#REF!</definedName>
    <definedName name="_271___123Graph_DCHART_4" hidden="1">#REF!</definedName>
    <definedName name="_2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2__________________123Graph_DCHART_6" hidden="1">#REF!</definedName>
    <definedName name="_272_______________123Graph_DCHART_5" hidden="1">#REF!</definedName>
    <definedName name="_272____123Graph_DCHART_4" hidden="1">#REF!</definedName>
    <definedName name="_272___123Graph_DCHART_4" hidden="1">#REF!</definedName>
    <definedName name="_272___123Graph_DCHART_5" hidden="1">#REF!</definedName>
    <definedName name="_2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3__________________123Graph_DCHART_7" hidden="1">#REF!</definedName>
    <definedName name="_273_______________123Graph_DCHART_6" hidden="1">#REF!</definedName>
    <definedName name="_273____123Graph_DCHART_5" hidden="1">#REF!</definedName>
    <definedName name="_273___123Graph_DCHART_5" hidden="1">#REF!</definedName>
    <definedName name="_273___123Graph_DCHART_6" hidden="1">#REF!</definedName>
    <definedName name="_2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4__________________123Graph_DCHART_8" hidden="1">#REF!</definedName>
    <definedName name="_274_______________123Graph_DCHART_7" hidden="1">#REF!</definedName>
    <definedName name="_274____123Graph_DCHART_6" hidden="1">#REF!</definedName>
    <definedName name="_274___123Graph_DCHART_6" hidden="1">#REF!</definedName>
    <definedName name="_274___123Graph_DCHART_7" hidden="1">#REF!</definedName>
    <definedName name="_2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5__________________123Graph_ECHART_1" hidden="1">#REF!</definedName>
    <definedName name="_275_______________123Graph_DCHART_8" hidden="1">#REF!</definedName>
    <definedName name="_275____123Graph_DCHART_7" hidden="1">#REF!</definedName>
    <definedName name="_275___123Graph_DCHART_7" hidden="1">#REF!</definedName>
    <definedName name="_275___123Graph_DCHART_8" hidden="1">#REF!</definedName>
    <definedName name="_2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6__________________123Graph_ECHART_2" hidden="1">#REF!</definedName>
    <definedName name="_276_______________123Graph_ECHART_1" hidden="1">#REF!</definedName>
    <definedName name="_276____123Graph_DCHART_8" hidden="1">#REF!</definedName>
    <definedName name="_276___123Graph_DCHART_8" hidden="1">#REF!</definedName>
    <definedName name="_276___123Graph_ECHART_1" hidden="1">#REF!</definedName>
    <definedName name="_2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7__________________123Graph_ECHART_3" hidden="1">#REF!</definedName>
    <definedName name="_277_______________123Graph_ECHART_2" hidden="1">#REF!</definedName>
    <definedName name="_277____123Graph_ECHART_1" hidden="1">#REF!</definedName>
    <definedName name="_277___123Graph_ECHART_1" hidden="1">#REF!</definedName>
    <definedName name="_277___123Graph_ECHART_2" hidden="1">#REF!</definedName>
    <definedName name="_2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8__________________123Graph_ECHART_4" hidden="1">#REF!</definedName>
    <definedName name="_278_______________123Graph_ECHART_3" hidden="1">#REF!</definedName>
    <definedName name="_278____123Graph_ECHART_2" hidden="1">#REF!</definedName>
    <definedName name="_278___123Graph_ECHART_2" hidden="1">#REF!</definedName>
    <definedName name="_278___123Graph_ECHART_3" hidden="1">#REF!</definedName>
    <definedName name="_2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79__________________123Graph_ECHART_5" hidden="1">#REF!</definedName>
    <definedName name="_279_______________123Graph_ECHART_4" hidden="1">#REF!</definedName>
    <definedName name="_279____123Graph_ECHART_3" hidden="1">#REF!</definedName>
    <definedName name="_279___123Graph_ECHART_3" hidden="1">#REF!</definedName>
    <definedName name="_279___123Graph_ECHART_4" hidden="1">#REF!</definedName>
    <definedName name="_2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_____________________123Graph_BCHART_8" hidden="1">#REF!</definedName>
    <definedName name="_28__________________123Graph_BCHART_8" hidden="1">#REF!</definedName>
    <definedName name="_28______123Graph_BCHART_7" hidden="1">#REF!</definedName>
    <definedName name="_28______123Graph_BCHART_8" hidden="1">#REF!</definedName>
    <definedName name="_28__123Graph_ACHART_3" hidden="1">#REF!</definedName>
    <definedName name="_28__123Graph_ACHART_5" hidden="1">#REF!</definedName>
    <definedName name="_28__123Graph_BCHART_8" hidden="1">#REF!</definedName>
    <definedName name="_28__123Graph_CCHART_17" hidden="1">#REF!</definedName>
    <definedName name="_28__123Graph_CCHART_8" hidden="1">#REF!</definedName>
    <definedName name="_28__123Graph_DCHART_1" hidden="1">#REF!</definedName>
    <definedName name="_28__123Graph_XCHART_19" hidden="1">#REF!</definedName>
    <definedName name="_28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0__________________123Graph_ECHART_6" hidden="1">#REF!</definedName>
    <definedName name="_280_______________123Graph_ECHART_5" hidden="1">#REF!</definedName>
    <definedName name="_280____123Graph_ECHART_4" hidden="1">#REF!</definedName>
    <definedName name="_280___123Graph_ECHART_4" hidden="1">#REF!</definedName>
    <definedName name="_280___123Graph_ECHART_5" hidden="1">#REF!</definedName>
    <definedName name="_2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1__________________123Graph_ECHART_7" hidden="1">#REF!</definedName>
    <definedName name="_281_______________123Graph_ECHART_6" hidden="1">#REF!</definedName>
    <definedName name="_281____123Graph_ECHART_5" hidden="1">#REF!</definedName>
    <definedName name="_281___123Graph_ECHART_5" hidden="1">#REF!</definedName>
    <definedName name="_281___123Graph_ECHART_6" hidden="1">#REF!</definedName>
    <definedName name="_2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2__________________123Graph_ECHART_8" hidden="1">#REF!</definedName>
    <definedName name="_282_______________123Graph_ECHART_7" hidden="1">#REF!</definedName>
    <definedName name="_282____123Graph_ECHART_6" hidden="1">#REF!</definedName>
    <definedName name="_282___123Graph_ECHART_6" hidden="1">#REF!</definedName>
    <definedName name="_282___123Graph_ECHART_7" hidden="1">#REF!</definedName>
    <definedName name="_2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3__________________123Graph_FCHART_1" hidden="1">#REF!</definedName>
    <definedName name="_283_______________123Graph_ECHART_8" hidden="1">#REF!</definedName>
    <definedName name="_283____123Graph_ECHART_7" hidden="1">#REF!</definedName>
    <definedName name="_283___123Graph_ECHART_7" hidden="1">#REF!</definedName>
    <definedName name="_283___123Graph_ECHART_8" hidden="1">#REF!</definedName>
    <definedName name="_2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4__________________123Graph_FCHART_2" hidden="1">#REF!</definedName>
    <definedName name="_284_______________123Graph_FCHART_1" hidden="1">#REF!</definedName>
    <definedName name="_284____123Graph_ECHART_8" hidden="1">#REF!</definedName>
    <definedName name="_284___123Graph_ECHART_8" hidden="1">#REF!</definedName>
    <definedName name="_284___123Graph_FCHART_1" hidden="1">#REF!</definedName>
    <definedName name="_2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5__________________123Graph_FCHART_3" hidden="1">#REF!</definedName>
    <definedName name="_285_______________123Graph_FCHART_2" hidden="1">#REF!</definedName>
    <definedName name="_285____123Graph_FCHART_1" hidden="1">#REF!</definedName>
    <definedName name="_285___123Graph_FCHART_1" hidden="1">#REF!</definedName>
    <definedName name="_285___123Graph_FCHART_2" hidden="1">#REF!</definedName>
    <definedName name="_2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6__________________123Graph_FCHART_4" hidden="1">#REF!</definedName>
    <definedName name="_286_______________123Graph_FCHART_3" hidden="1">#REF!</definedName>
    <definedName name="_286____123Graph_FCHART_2" hidden="1">#REF!</definedName>
    <definedName name="_286___123Graph_FCHART_2" hidden="1">#REF!</definedName>
    <definedName name="_286___123Graph_FCHART_3" hidden="1">#REF!</definedName>
    <definedName name="_2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7__________________123Graph_FCHART_6" hidden="1">#REF!</definedName>
    <definedName name="_287_______________123Graph_FCHART_4" hidden="1">#REF!</definedName>
    <definedName name="_287____123Graph_FCHART_3" hidden="1">#REF!</definedName>
    <definedName name="_287___123Graph_FCHART_3" hidden="1">#REF!</definedName>
    <definedName name="_287___123Graph_FCHART_4" hidden="1">#REF!</definedName>
    <definedName name="_2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8__________________123Graph_FCHART_7" hidden="1">#REF!</definedName>
    <definedName name="_288_______________123Graph_FCHART_6" hidden="1">#REF!</definedName>
    <definedName name="_288____123Graph_FCHART_4" hidden="1">#REF!</definedName>
    <definedName name="_288___123Graph_FCHART_4" hidden="1">#REF!</definedName>
    <definedName name="_288___123Graph_FCHART_6" hidden="1">#REF!</definedName>
    <definedName name="_2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89__________________123Graph_FCHART_8" hidden="1">#REF!</definedName>
    <definedName name="_289_______________123Graph_FCHART_7" hidden="1">#REF!</definedName>
    <definedName name="_289____123Graph_FCHART_6" hidden="1">#REF!</definedName>
    <definedName name="_289___123Graph_FCHART_6" hidden="1">#REF!</definedName>
    <definedName name="_289___123Graph_FCHART_7" hidden="1">#REF!</definedName>
    <definedName name="_2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_____________________123Graph_CCHART_1" hidden="1">#REF!</definedName>
    <definedName name="_29__________________123Graph_CCHART_1" hidden="1">#REF!</definedName>
    <definedName name="_29______123Graph_BCHART_8" hidden="1">#REF!</definedName>
    <definedName name="_29______123Graph_CCHART_1" hidden="1">#REF!</definedName>
    <definedName name="_29__123Graph_ACHART_4" hidden="1">#REF!</definedName>
    <definedName name="_29__123Graph_CCHART_1" hidden="1">#REF!</definedName>
    <definedName name="_29__123Graph_CCHART_9" hidden="1">#REF!</definedName>
    <definedName name="_29__123Graph_ECHART_1" hidden="1">#REF!</definedName>
    <definedName name="_29__123Graph_XCHART_2" hidden="1">#REF!</definedName>
    <definedName name="_29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0__________________123Graph_XCHART_1" hidden="1">#REF!</definedName>
    <definedName name="_290_______________123Graph_FCHART_8" hidden="1">#REF!</definedName>
    <definedName name="_290____123Graph_FCHART_7" hidden="1">#REF!</definedName>
    <definedName name="_290___123Graph_FCHART_7" hidden="1">#REF!</definedName>
    <definedName name="_290___123Graph_FCHART_8" hidden="1">#REF!</definedName>
    <definedName name="_2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1__________________123Graph_XCHART_10" hidden="1">#REF!</definedName>
    <definedName name="_291_______________123Graph_XCHART_1" hidden="1">#REF!</definedName>
    <definedName name="_291____123Graph_FCHART_8" hidden="1">#REF!</definedName>
    <definedName name="_291___123Graph_FCHART_8" hidden="1">#REF!</definedName>
    <definedName name="_291___123Graph_XCHART_1" hidden="1">#REF!</definedName>
    <definedName name="_2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2__________________123Graph_XCHART_11" hidden="1">#REF!</definedName>
    <definedName name="_292_______________123Graph_XCHART_10" hidden="1">#REF!</definedName>
    <definedName name="_292____123Graph_XCHART_1" hidden="1">#REF!</definedName>
    <definedName name="_292___123Graph_XCHART_1" hidden="1">#REF!</definedName>
    <definedName name="_292___123Graph_XCHART_10" hidden="1">#REF!</definedName>
    <definedName name="_2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3__________________123Graph_XCHART_12" hidden="1">#REF!</definedName>
    <definedName name="_293_______________123Graph_XCHART_11" hidden="1">#REF!</definedName>
    <definedName name="_293____123Graph_XCHART_10" hidden="1">#REF!</definedName>
    <definedName name="_293___123Graph_XCHART_10" hidden="1">#REF!</definedName>
    <definedName name="_293___123Graph_XCHART_11" hidden="1">#REF!</definedName>
    <definedName name="_2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4__________________123Graph_XCHART_13" hidden="1">#REF!</definedName>
    <definedName name="_294_______________123Graph_XCHART_12" hidden="1">#REF!</definedName>
    <definedName name="_294____123Graph_XCHART_11" hidden="1">#REF!</definedName>
    <definedName name="_294___123Graph_XCHART_11" hidden="1">#REF!</definedName>
    <definedName name="_294___123Graph_XCHART_12" hidden="1">#REF!</definedName>
    <definedName name="_2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5__________________123Graph_XCHART_14" hidden="1">#REF!</definedName>
    <definedName name="_295_______________123Graph_XCHART_13" hidden="1">#REF!</definedName>
    <definedName name="_295____123Graph_XCHART_12" hidden="1">#REF!</definedName>
    <definedName name="_295___123Graph_XCHART_12" hidden="1">#REF!</definedName>
    <definedName name="_295___123Graph_XCHART_13" hidden="1">#REF!</definedName>
    <definedName name="_2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6__________________123Graph_XCHART_15" hidden="1">#REF!</definedName>
    <definedName name="_296_______________123Graph_XCHART_14" hidden="1">#REF!</definedName>
    <definedName name="_296____123Graph_XCHART_13" hidden="1">#REF!</definedName>
    <definedName name="_296___123Graph_XCHART_13" hidden="1">#REF!</definedName>
    <definedName name="_296___123Graph_XCHART_14" hidden="1">#REF!</definedName>
    <definedName name="_2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7__________________123Graph_XCHART_16" hidden="1">#REF!</definedName>
    <definedName name="_297_______________123Graph_XCHART_15" hidden="1">#REF!</definedName>
    <definedName name="_297____123Graph_XCHART_14" hidden="1">#REF!</definedName>
    <definedName name="_297___123Graph_XCHART_14" hidden="1">#REF!</definedName>
    <definedName name="_297___123Graph_XCHART_15" hidden="1">#REF!</definedName>
    <definedName name="_2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8__________________123Graph_XCHART_17" hidden="1">#REF!</definedName>
    <definedName name="_298_______________123Graph_XCHART_16" hidden="1">#REF!</definedName>
    <definedName name="_298____123Graph_XCHART_15" hidden="1">#REF!</definedName>
    <definedName name="_298___123Graph_XCHART_15" hidden="1">#REF!</definedName>
    <definedName name="_298___123Graph_XCHART_16" hidden="1">#REF!</definedName>
    <definedName name="_2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99__________________123Graph_XCHART_18" hidden="1">#REF!</definedName>
    <definedName name="_299_______________123Graph_XCHART_17" hidden="1">#REF!</definedName>
    <definedName name="_299____123Graph_XCHART_16" hidden="1">#REF!</definedName>
    <definedName name="_299___123Graph_XCHART_16" hidden="1">#REF!</definedName>
    <definedName name="_299___123Graph_XCHART_17" hidden="1">#REF!</definedName>
    <definedName name="_2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2Dist_Val" hidden="1">#REF!</definedName>
    <definedName name="_2S" hidden="1">#REF!</definedName>
    <definedName name="_3">#REF!</definedName>
    <definedName name="_3_____________________123Graph_ACHART_11" hidden="1">#REF!</definedName>
    <definedName name="_3__________________123Graph_ACHART_11" hidden="1">#REF!</definedName>
    <definedName name="_3______123Graph_ACHART_10" hidden="1">#REF!</definedName>
    <definedName name="_3______123Graph_ACHART_11" hidden="1">#REF!</definedName>
    <definedName name="_3___123Graph_ACHART_4" hidden="1">#REF!</definedName>
    <definedName name="_3__123Graph_ACHART_1" localSheetId="10" hidden="1">#REF!</definedName>
    <definedName name="_3__123Graph_ACHART_1" localSheetId="9" hidden="1">#REF!</definedName>
    <definedName name="_3__123Graph_ACHART_1" localSheetId="8" hidden="1">#REF!</definedName>
    <definedName name="_3__123Graph_ACHART_1" localSheetId="16" hidden="1">#REF!</definedName>
    <definedName name="_3__123Graph_ACHART_1" hidden="1">#REF!</definedName>
    <definedName name="_3__123Graph_ACHART_11" hidden="1">#REF!</definedName>
    <definedName name="_3__123Graph_ACHART_12" hidden="1">#REF!</definedName>
    <definedName name="_3__123Graph_ACHART_2" hidden="1">#REF!</definedName>
    <definedName name="_3__123Graph_ACHART_3" hidden="1">#REF!</definedName>
    <definedName name="_3__123Graph_ACHART_4" localSheetId="10" hidden="1">#REF!</definedName>
    <definedName name="_3__123Graph_ACHART_4" localSheetId="9" hidden="1">#REF!</definedName>
    <definedName name="_3__123Graph_ACHART_4" localSheetId="8" hidden="1">#REF!</definedName>
    <definedName name="_3__123Graph_ACHART_4" localSheetId="16" hidden="1">#REF!</definedName>
    <definedName name="_3__123Graph_ACHART_4" hidden="1">#REF!</definedName>
    <definedName name="_3__123Graph_ECHART_1" hidden="1">#REF!</definedName>
    <definedName name="_3__123Graph_XCHART_1" hidden="1">#REF!</definedName>
    <definedName name="_3__FDSAUDITLINK__" localSheetId="10"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0_Dist_Val" hidden="1">#REF!</definedName>
    <definedName name="_3_0ACwvu.Pag" hidden="1">#REF!</definedName>
    <definedName name="_3_10">#REF!</definedName>
    <definedName name="_30_____________________123Graph_CCHART_2" hidden="1">#REF!</definedName>
    <definedName name="_30__________________123Graph_CCHART_2" hidden="1">#REF!</definedName>
    <definedName name="_30______123Graph_CCHART_1" hidden="1">#REF!</definedName>
    <definedName name="_30______123Graph_CCHART_2" hidden="1">#REF!</definedName>
    <definedName name="_30__123Graph_ACHART_5" hidden="1">#REF!</definedName>
    <definedName name="_30__123Graph_ACHART_6" hidden="1">#REF!</definedName>
    <definedName name="_30__123Graph_CCHART_2" hidden="1">#REF!</definedName>
    <definedName name="_30__123Graph_CCHART_3" hidden="1">#REF!</definedName>
    <definedName name="_30__123Graph_DCHART_9" hidden="1">#REF!</definedName>
    <definedName name="_30__123Graph_FCHART_1" hidden="1">#REF!</definedName>
    <definedName name="_30__123Graph_XCHART_4" hidden="1">#REF!</definedName>
    <definedName name="_30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0__________________123Graph_XCHART_2" hidden="1">#REF!</definedName>
    <definedName name="_300_______________123Graph_XCHART_18" hidden="1">#REF!</definedName>
    <definedName name="_300____123Graph_XCHART_17" hidden="1">#REF!</definedName>
    <definedName name="_300___123Graph_XCHART_17" hidden="1">#REF!</definedName>
    <definedName name="_300___123Graph_XCHART_18" hidden="1">#REF!</definedName>
    <definedName name="_3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1__________________123Graph_XCHART_3" hidden="1">#REF!</definedName>
    <definedName name="_301_______________123Graph_XCHART_2" hidden="1">#REF!</definedName>
    <definedName name="_301____123Graph_XCHART_18" hidden="1">#REF!</definedName>
    <definedName name="_301___123Graph_XCHART_18" hidden="1">#REF!</definedName>
    <definedName name="_301___123Graph_XCHART_2" hidden="1">#REF!</definedName>
    <definedName name="_3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2__________________123Graph_XCHART_4" hidden="1">#REF!</definedName>
    <definedName name="_302_______________123Graph_XCHART_3" hidden="1">#REF!</definedName>
    <definedName name="_302____123Graph_XCHART_2" hidden="1">#REF!</definedName>
    <definedName name="_302___123Graph_XCHART_2" hidden="1">#REF!</definedName>
    <definedName name="_302___123Graph_XCHART_3" hidden="1">#REF!</definedName>
    <definedName name="_3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3__________________123Graph_XCHART_5" hidden="1">#REF!</definedName>
    <definedName name="_303_______________123Graph_XCHART_4" hidden="1">#REF!</definedName>
    <definedName name="_303____123Graph_XCHART_3" hidden="1">#REF!</definedName>
    <definedName name="_303___123Graph_XCHART_3" hidden="1">#REF!</definedName>
    <definedName name="_303___123Graph_XCHART_4" hidden="1">#REF!</definedName>
    <definedName name="_3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4__________________123Graph_XCHART_6" hidden="1">#REF!</definedName>
    <definedName name="_304_______________123Graph_XCHART_5" hidden="1">#REF!</definedName>
    <definedName name="_304____123Graph_XCHART_4" hidden="1">#REF!</definedName>
    <definedName name="_304___123Graph_XCHART_4" hidden="1">#REF!</definedName>
    <definedName name="_304___123Graph_XCHART_5" hidden="1">#REF!</definedName>
    <definedName name="_3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5__________________123Graph_XCHART_7" hidden="1">#REF!</definedName>
    <definedName name="_305_______________123Graph_XCHART_6" hidden="1">#REF!</definedName>
    <definedName name="_305____123Graph_XCHART_5" hidden="1">#REF!</definedName>
    <definedName name="_305___123Graph_XCHART_5" hidden="1">#REF!</definedName>
    <definedName name="_305___123Graph_XCHART_6" hidden="1">#REF!</definedName>
    <definedName name="_3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6__________________123Graph_XCHART_8" hidden="1">#REF!</definedName>
    <definedName name="_306_______________123Graph_XCHART_7" hidden="1">#REF!</definedName>
    <definedName name="_306____123Graph_XCHART_6" hidden="1">#REF!</definedName>
    <definedName name="_306___123Graph_XCHART_6" hidden="1">#REF!</definedName>
    <definedName name="_306___123Graph_XCHART_7" hidden="1">#REF!</definedName>
    <definedName name="_3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7__________________123Graph_XCHART_9" hidden="1">#REF!</definedName>
    <definedName name="_307_______________123Graph_XCHART_8" hidden="1">#REF!</definedName>
    <definedName name="_307____123Graph_XCHART_7" hidden="1">#REF!</definedName>
    <definedName name="_307___123Graph_XCHART_7" hidden="1">#REF!</definedName>
    <definedName name="_307___123Graph_XCHART_8" hidden="1">#REF!</definedName>
    <definedName name="_3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8_________________123Graph_ACHART_1" hidden="1">#REF!</definedName>
    <definedName name="_308_______________123Graph_XCHART_9" hidden="1">#REF!</definedName>
    <definedName name="_308____123Graph_XCHART_8" hidden="1">#REF!</definedName>
    <definedName name="_308___123Graph_XCHART_8" hidden="1">#REF!</definedName>
    <definedName name="_308___123Graph_XCHART_9" hidden="1">#REF!</definedName>
    <definedName name="_3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09_________________123Graph_ACHART_10" hidden="1">#REF!</definedName>
    <definedName name="_309______________123Graph_ACHART_1" hidden="1">#REF!</definedName>
    <definedName name="_309____123Graph_XCHART_9" hidden="1">#REF!</definedName>
    <definedName name="_309___123Graph_XCHART_9" hidden="1">#REF!</definedName>
    <definedName name="_309__123Graph_ACHART_1" hidden="1">#REF!</definedName>
    <definedName name="_3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_____________________123Graph_CCHART_3" hidden="1">#REF!</definedName>
    <definedName name="_31__________________123Graph_CCHART_3" hidden="1">#REF!</definedName>
    <definedName name="_31______123Graph_CCHART_2" hidden="1">#REF!</definedName>
    <definedName name="_31______123Graph_CCHART_3" hidden="1">#REF!</definedName>
    <definedName name="_31__123Graph_BCHART_2" hidden="1">#REF!</definedName>
    <definedName name="_31__123Graph_CCHART_3" hidden="1">#REF!</definedName>
    <definedName name="_31__123Graph_LBL_ACHART_2" hidden="1">#REF!</definedName>
    <definedName name="_31__123Graph_XCHART_10" hidden="1">#REF!</definedName>
    <definedName name="_31__123Graph_XCHART_5" hidden="1">#REF!</definedName>
    <definedName name="_31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0_________________123Graph_ACHART_11" hidden="1">#REF!</definedName>
    <definedName name="_310______________123Graph_ACHART_10" hidden="1">#REF!</definedName>
    <definedName name="_310___123Graph_ACHART_1" hidden="1">#REF!</definedName>
    <definedName name="_310__123Graph_ACHART_1" hidden="1">#REF!</definedName>
    <definedName name="_310__123Graph_ACHART_10" hidden="1">#REF!</definedName>
    <definedName name="_3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1_________________123Graph_ACHART_12" hidden="1">#REF!</definedName>
    <definedName name="_311______________123Graph_ACHART_11" hidden="1">#REF!</definedName>
    <definedName name="_311___123Graph_ACHART_10" hidden="1">#REF!</definedName>
    <definedName name="_311__123Graph_ACHART_10" hidden="1">#REF!</definedName>
    <definedName name="_311__123Graph_ACHART_11" hidden="1">#REF!</definedName>
    <definedName name="_3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2_________________123Graph_ACHART_13" hidden="1">#REF!</definedName>
    <definedName name="_312______________123Graph_ACHART_12" hidden="1">#REF!</definedName>
    <definedName name="_312___123Graph_ACHART_11" hidden="1">#REF!</definedName>
    <definedName name="_312__123Graph_ACHART_10" hidden="1">#REF!</definedName>
    <definedName name="_312__123Graph_ACHART_11" hidden="1">#REF!</definedName>
    <definedName name="_312__123Graph_ACHART_12" hidden="1">#REF!</definedName>
    <definedName name="_3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3_________________123Graph_ACHART_14" hidden="1">#REF!</definedName>
    <definedName name="_313______________123Graph_ACHART_13" hidden="1">#REF!</definedName>
    <definedName name="_313___123Graph_ACHART_12" hidden="1">#REF!</definedName>
    <definedName name="_313__123Graph_ACHART_12" hidden="1">#REF!</definedName>
    <definedName name="_313__123Graph_ACHART_13" hidden="1">#REF!</definedName>
    <definedName name="_3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4_________________123Graph_ACHART_15" hidden="1">#REF!</definedName>
    <definedName name="_314______________123Graph_ACHART_14" hidden="1">#REF!</definedName>
    <definedName name="_314___123Graph_ACHART_13" hidden="1">#REF!</definedName>
    <definedName name="_314__123Graph_ACHART_1" hidden="1">#REF!</definedName>
    <definedName name="_314__123Graph_ACHART_11" hidden="1">#REF!</definedName>
    <definedName name="_314__123Graph_ACHART_13" hidden="1">#REF!</definedName>
    <definedName name="_314__123Graph_ACHART_14" hidden="1">#REF!</definedName>
    <definedName name="_3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5_________________123Graph_ACHART_16" hidden="1">#REF!</definedName>
    <definedName name="_315______________123Graph_ACHART_15" hidden="1">#REF!</definedName>
    <definedName name="_315___123Graph_ACHART_14" hidden="1">#REF!</definedName>
    <definedName name="_315__123Graph_ACHART_1" hidden="1">#REF!</definedName>
    <definedName name="_315__123Graph_ACHART_14" hidden="1">#REF!</definedName>
    <definedName name="_315__123Graph_ACHART_15" hidden="1">#REF!</definedName>
    <definedName name="_3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6_________________123Graph_ACHART_17" hidden="1">#REF!</definedName>
    <definedName name="_316______________123Graph_ACHART_16" hidden="1">#REF!</definedName>
    <definedName name="_316___123Graph_ACHART_15" hidden="1">#REF!</definedName>
    <definedName name="_316__123Graph_ACHART_12" hidden="1">#REF!</definedName>
    <definedName name="_316__123Graph_ACHART_15" hidden="1">#REF!</definedName>
    <definedName name="_316__123Graph_ACHART_16" hidden="1">#REF!</definedName>
    <definedName name="_3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7_________________123Graph_ACHART_18" hidden="1">#REF!</definedName>
    <definedName name="_317______________123Graph_ACHART_17" hidden="1">#REF!</definedName>
    <definedName name="_317___123Graph_ACHART_16" hidden="1">#REF!</definedName>
    <definedName name="_317__123Graph_ACHART_16" hidden="1">#REF!</definedName>
    <definedName name="_317__123Graph_ACHART_17" hidden="1">#REF!</definedName>
    <definedName name="_3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8_________________123Graph_ACHART_2" hidden="1">#REF!</definedName>
    <definedName name="_318______________123Graph_ACHART_18" hidden="1">#REF!</definedName>
    <definedName name="_318___123Graph_ACHART_17" hidden="1">#REF!</definedName>
    <definedName name="_318__123Graph_ACHART_13" hidden="1">#REF!</definedName>
    <definedName name="_318__123Graph_ACHART_17" hidden="1">#REF!</definedName>
    <definedName name="_318__123Graph_ACHART_18" hidden="1">#REF!</definedName>
    <definedName name="_3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19_________________123Graph_ACHART_3" hidden="1">#REF!</definedName>
    <definedName name="_319______________123Graph_ACHART_2" hidden="1">#REF!</definedName>
    <definedName name="_319___123Graph_ACHART_18" hidden="1">#REF!</definedName>
    <definedName name="_319__123Graph_ACHART_18" hidden="1">#REF!</definedName>
    <definedName name="_319__123Graph_ACHART_2" hidden="1">#REF!</definedName>
    <definedName name="_3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 localSheetId="10"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___________________123Graph_CCHART_4" hidden="1">#REF!</definedName>
    <definedName name="_32__________________123Graph_CCHART_4" hidden="1">#REF!</definedName>
    <definedName name="_32______123Graph_CCHART_3" hidden="1">#REF!</definedName>
    <definedName name="_32______123Graph_CCHART_4" hidden="1">#REF!</definedName>
    <definedName name="_32__123Graph_ACHART_7" hidden="1">#REF!</definedName>
    <definedName name="_32__123Graph_BCHART_3" hidden="1">#REF!</definedName>
    <definedName name="_32__123Graph_CCHART_4" hidden="1">#REF!</definedName>
    <definedName name="_32__123Graph_XCHART_1" hidden="1">#REF!</definedName>
    <definedName name="_32__123Graph_XCHART_11" hidden="1">#REF!</definedName>
    <definedName name="_32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1" localSheetId="10" hidden="1">{#N/A,#N/A,FALSE,"Title";#N/A,#N/A,FALSE,"Index";#N/A,#N/A,FALSE,"1";#N/A,#N/A,FALSE,"2";#N/A,#N/A,FALSE,"3";#N/A,#N/A,FALSE,"4";#N/A,#N/A,FALSE,"5";#N/A,#N/A,FALSE,"6";#N/A,#N/A,FALSE,"7";#N/A,#N/A,FALSE,"8"}</definedName>
    <definedName name="_32_1" hidden="1">{#N/A,#N/A,FALSE,"Title";#N/A,#N/A,FALSE,"Index";#N/A,#N/A,FALSE,"1";#N/A,#N/A,FALSE,"2";#N/A,#N/A,FALSE,"3";#N/A,#N/A,FALSE,"4";#N/A,#N/A,FALSE,"5";#N/A,#N/A,FALSE,"6";#N/A,#N/A,FALSE,"7";#N/A,#N/A,FALSE,"8"}</definedName>
    <definedName name="_320_________________123Graph_ACHART_4" hidden="1">#REF!</definedName>
    <definedName name="_320______________123Graph_ACHART_3" hidden="1">#REF!</definedName>
    <definedName name="_320___123Graph_ACHART_2" hidden="1">#REF!</definedName>
    <definedName name="_320__123Graph_ACHART_10" hidden="1">#REF!</definedName>
    <definedName name="_320__123Graph_ACHART_14" hidden="1">#REF!</definedName>
    <definedName name="_320__123Graph_ACHART_2" hidden="1">#REF!</definedName>
    <definedName name="_320__123Graph_ACHART_3" hidden="1">#REF!</definedName>
    <definedName name="_3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1_________________123Graph_ACHART_5" hidden="1">#REF!</definedName>
    <definedName name="_321______________123Graph_ACHART_4" hidden="1">#REF!</definedName>
    <definedName name="_321___123Graph_ACHART_3" hidden="1">#REF!</definedName>
    <definedName name="_321__123Graph_ACHART_3" hidden="1">#REF!</definedName>
    <definedName name="_321__123Graph_ACHART_4" hidden="1">#REF!</definedName>
    <definedName name="_3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2_________________123Graph_ACHART_6" hidden="1">#REF!</definedName>
    <definedName name="_322______________123Graph_ACHART_5" hidden="1">#REF!</definedName>
    <definedName name="_322___123Graph_ACHART_4" hidden="1">#REF!</definedName>
    <definedName name="_322__123Graph_ACHART_10" hidden="1">#REF!</definedName>
    <definedName name="_322__123Graph_ACHART_15" hidden="1">#REF!</definedName>
    <definedName name="_322__123Graph_ACHART_4" hidden="1">#REF!</definedName>
    <definedName name="_322__123Graph_ACHART_5" hidden="1">#REF!</definedName>
    <definedName name="_3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3_________________123Graph_ACHART_7" hidden="1">#REF!</definedName>
    <definedName name="_323______________123Graph_ACHART_6" hidden="1">#REF!</definedName>
    <definedName name="_323___123Graph_ACHART_5" hidden="1">#REF!</definedName>
    <definedName name="_323__123Graph_ACHART_5" hidden="1">#REF!</definedName>
    <definedName name="_323__123Graph_ACHART_6" hidden="1">#REF!</definedName>
    <definedName name="_3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4_________________123Graph_ACHART_8" hidden="1">#REF!</definedName>
    <definedName name="_324______________123Graph_ACHART_7" hidden="1">#REF!</definedName>
    <definedName name="_324___123Graph_ACHART_6" hidden="1">#REF!</definedName>
    <definedName name="_324__123Graph_ACHART_16" hidden="1">#REF!</definedName>
    <definedName name="_324__123Graph_ACHART_6" hidden="1">#REF!</definedName>
    <definedName name="_324__123Graph_ACHART_7" hidden="1">#REF!</definedName>
    <definedName name="_3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5_________________123Graph_ACHART_9" hidden="1">#REF!</definedName>
    <definedName name="_325______________123Graph_ACHART_8" hidden="1">#REF!</definedName>
    <definedName name="_325___123Graph_ACHART_7" hidden="1">#REF!</definedName>
    <definedName name="_325__123Graph_ACHART_7" hidden="1">#REF!</definedName>
    <definedName name="_325__123Graph_ACHART_8" hidden="1">#REF!</definedName>
    <definedName name="_3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6_________________123Graph_BCHART_1" hidden="1">#REF!</definedName>
    <definedName name="_326______________123Graph_ACHART_9" hidden="1">#REF!</definedName>
    <definedName name="_326___123Graph_ACHART_8" hidden="1">#REF!</definedName>
    <definedName name="_326__123Graph_ACHART_11" hidden="1">#REF!</definedName>
    <definedName name="_326__123Graph_ACHART_17" hidden="1">#REF!</definedName>
    <definedName name="_326__123Graph_ACHART_8" hidden="1">#REF!</definedName>
    <definedName name="_326__123Graph_ACHART_9" hidden="1">#REF!</definedName>
    <definedName name="_3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7_________________123Graph_BCHART_17" hidden="1">#REF!</definedName>
    <definedName name="_327______________123Graph_BCHART_1" hidden="1">#REF!</definedName>
    <definedName name="_327___123Graph_ACHART_9" hidden="1">#REF!</definedName>
    <definedName name="_327__123Graph_ACHART_9" hidden="1">#REF!</definedName>
    <definedName name="_327__123Graph_BCHART_1" hidden="1">#REF!</definedName>
    <definedName name="_3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8_________________123Graph_BCHART_18" hidden="1">#REF!</definedName>
    <definedName name="_328______________123Graph_BCHART_17" hidden="1">#REF!</definedName>
    <definedName name="_328___123Graph_BCHART_1" hidden="1">#REF!</definedName>
    <definedName name="_328__123Graph_ACHART_18" hidden="1">#REF!</definedName>
    <definedName name="_328__123Graph_BCHART_1" hidden="1">#REF!</definedName>
    <definedName name="_328__123Graph_BCHART_17" hidden="1">#REF!</definedName>
    <definedName name="_3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29_________________123Graph_BCHART_2" hidden="1">#REF!</definedName>
    <definedName name="_329______________123Graph_BCHART_18" hidden="1">#REF!</definedName>
    <definedName name="_329___123Graph_BCHART_17" hidden="1">#REF!</definedName>
    <definedName name="_329__123Graph_ACHART_11" hidden="1">#REF!</definedName>
    <definedName name="_329__123Graph_BCHART_17" hidden="1">#REF!</definedName>
    <definedName name="_329__123Graph_BCHART_18" hidden="1">#REF!</definedName>
    <definedName name="_3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_____________________123Graph_CCHART_5" hidden="1">#REF!</definedName>
    <definedName name="_33__________________123Graph_CCHART_5" hidden="1">#REF!</definedName>
    <definedName name="_33______123Graph_CCHART_4" hidden="1">#REF!</definedName>
    <definedName name="_33______123Graph_CCHART_5" hidden="1">#REF!</definedName>
    <definedName name="_33__123Graph_ACHART_4" hidden="1">#REF!</definedName>
    <definedName name="_33__123Graph_BCHART_4" hidden="1">#REF!</definedName>
    <definedName name="_33__123Graph_CCHART_4" hidden="1">#REF!</definedName>
    <definedName name="_33__123Graph_CCHART_5" hidden="1">#REF!</definedName>
    <definedName name="_33__123Graph_LBL_ACHART_4" hidden="1">#REF!</definedName>
    <definedName name="_33__123Graph_XCHART_10" hidden="1">#REF!</definedName>
    <definedName name="_33__123Graph_XCHART_2" hidden="1">#REF!</definedName>
    <definedName name="_33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0_________________123Graph_BCHART_3" hidden="1">#REF!</definedName>
    <definedName name="_330______________123Graph_BCHART_2" hidden="1">#REF!</definedName>
    <definedName name="_330___123Graph_BCHART_18" hidden="1">#REF!</definedName>
    <definedName name="_330__123Graph_ACHART_2" hidden="1">#REF!</definedName>
    <definedName name="_330__123Graph_BCHART_18" hidden="1">#REF!</definedName>
    <definedName name="_330__123Graph_BCHART_2" hidden="1">#REF!</definedName>
    <definedName name="_3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1_________________123Graph_BCHART_4" hidden="1">#REF!</definedName>
    <definedName name="_331______________123Graph_BCHART_3" hidden="1">#REF!</definedName>
    <definedName name="_331___123Graph_BCHART_2" hidden="1">#REF!</definedName>
    <definedName name="_331__123Graph_BCHART_2" hidden="1">#REF!</definedName>
    <definedName name="_331__123Graph_BCHART_3" hidden="1">#REF!</definedName>
    <definedName name="_3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2_________________123Graph_BCHART_5" hidden="1">#REF!</definedName>
    <definedName name="_332______________123Graph_BCHART_4" hidden="1">#REF!</definedName>
    <definedName name="_332___123Graph_BCHART_3" hidden="1">#REF!</definedName>
    <definedName name="_332__123Graph_ACHART_12" hidden="1">#REF!</definedName>
    <definedName name="_332__123Graph_ACHART_3" hidden="1">#REF!</definedName>
    <definedName name="_332__123Graph_BCHART_3" hidden="1">#REF!</definedName>
    <definedName name="_332__123Graph_BCHART_4" hidden="1">#REF!</definedName>
    <definedName name="_3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3_________________123Graph_BCHART_6" hidden="1">#REF!</definedName>
    <definedName name="_333______________123Graph_BCHART_5" hidden="1">#REF!</definedName>
    <definedName name="_333___123Graph_BCHART_4" hidden="1">#REF!</definedName>
    <definedName name="_333__123Graph_BCHART_4" hidden="1">#REF!</definedName>
    <definedName name="_333__123Graph_BCHART_5" hidden="1">#REF!</definedName>
    <definedName name="_3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4_________________123Graph_BCHART_7" hidden="1">#REF!</definedName>
    <definedName name="_334______________123Graph_BCHART_6" hidden="1">#REF!</definedName>
    <definedName name="_334___123Graph_BCHART_5" hidden="1">#REF!</definedName>
    <definedName name="_334__123Graph_ACHART_4" hidden="1">#REF!</definedName>
    <definedName name="_334__123Graph_BCHART_5" hidden="1">#REF!</definedName>
    <definedName name="_334__123Graph_BCHART_6" hidden="1">#REF!</definedName>
    <definedName name="_3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5_________________123Graph_BCHART_8" hidden="1">#REF!</definedName>
    <definedName name="_335______________123Graph_BCHART_7" hidden="1">#REF!</definedName>
    <definedName name="_335___123Graph_BCHART_6" hidden="1">#REF!</definedName>
    <definedName name="_335__123Graph_BCHART_6" hidden="1">#REF!</definedName>
    <definedName name="_335__123Graph_BCHART_7" hidden="1">#REF!</definedName>
    <definedName name="_3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6_________________123Graph_CCHART_1" hidden="1">#REF!</definedName>
    <definedName name="_336______________123Graph_BCHART_8" hidden="1">#REF!</definedName>
    <definedName name="_336___123Graph_BCHART_7" hidden="1">#REF!</definedName>
    <definedName name="_336__123Graph_ACHART_12" hidden="1">#REF!</definedName>
    <definedName name="_336__123Graph_ACHART_5" hidden="1">#REF!</definedName>
    <definedName name="_336__123Graph_BCHART_7" hidden="1">#REF!</definedName>
    <definedName name="_336__123Graph_BCHART_8" hidden="1">#REF!</definedName>
    <definedName name="_3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7_________________123Graph_CCHART_2" hidden="1">#REF!</definedName>
    <definedName name="_337______________123Graph_CCHART_1" hidden="1">#REF!</definedName>
    <definedName name="_337___123Graph_BCHART_8" hidden="1">#REF!</definedName>
    <definedName name="_337__123Graph_BCHART_8" hidden="1">#REF!</definedName>
    <definedName name="_337__123Graph_CCHART_1" hidden="1">#REF!</definedName>
    <definedName name="_3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8_________________123Graph_CCHART_3" hidden="1">#REF!</definedName>
    <definedName name="_338______________123Graph_CCHART_2" hidden="1">#REF!</definedName>
    <definedName name="_338___123Graph_CCHART_1" hidden="1">#REF!</definedName>
    <definedName name="_338__123Graph_ACHART_13" hidden="1">#REF!</definedName>
    <definedName name="_338__123Graph_ACHART_6" hidden="1">#REF!</definedName>
    <definedName name="_338__123Graph_CCHART_1" hidden="1">#REF!</definedName>
    <definedName name="_338__123Graph_CCHART_2" hidden="1">#REF!</definedName>
    <definedName name="_3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9_________________123Graph_CCHART_4" hidden="1">#REF!</definedName>
    <definedName name="_339______________123Graph_CCHART_3" hidden="1">#REF!</definedName>
    <definedName name="_339___123Graph_CCHART_2" hidden="1">#REF!</definedName>
    <definedName name="_339__123Graph_CCHART_2" hidden="1">#REF!</definedName>
    <definedName name="_339__123Graph_CCHART_3" hidden="1">#REF!</definedName>
    <definedName name="_3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3Table2_" hidden="1">#REF!</definedName>
    <definedName name="_34_____________________123Graph_CCHART_6" hidden="1">#REF!</definedName>
    <definedName name="_34__________________123Graph_CCHART_6" hidden="1">#REF!</definedName>
    <definedName name="_34______123Graph_CCHART_5" hidden="1">#REF!</definedName>
    <definedName name="_34______123Graph_CCHART_6" hidden="1">#REF!</definedName>
    <definedName name="_34__123Graph_ACHART_8" hidden="1">#REF!</definedName>
    <definedName name="_34__123Graph_BCHART_5" hidden="1">#REF!</definedName>
    <definedName name="_34__123Graph_CCHART_6" hidden="1">#REF!</definedName>
    <definedName name="_34__123Graph_LBL_BCHART_2" hidden="1">#REF!</definedName>
    <definedName name="_34__123Graph_XCHART_15" hidden="1">#REF!</definedName>
    <definedName name="_34__123Graph_XCHART_3" hidden="1">#REF!</definedName>
    <definedName name="_34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0_________________123Graph_CCHART_5" hidden="1">#REF!</definedName>
    <definedName name="_340______________123Graph_CCHART_4" hidden="1">#REF!</definedName>
    <definedName name="_340___123Graph_CCHART_3" hidden="1">#REF!</definedName>
    <definedName name="_340__123Graph_ACHART_7" hidden="1">#REF!</definedName>
    <definedName name="_340__123Graph_CCHART_3" hidden="1">#REF!</definedName>
    <definedName name="_340__123Graph_CCHART_4" hidden="1">#REF!</definedName>
    <definedName name="_3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1_________________123Graph_CCHART_6" hidden="1">#REF!</definedName>
    <definedName name="_341______________123Graph_CCHART_5" hidden="1">#REF!</definedName>
    <definedName name="_341___123Graph_CCHART_4" hidden="1">#REF!</definedName>
    <definedName name="_341__123Graph_CCHART_4" hidden="1">#REF!</definedName>
    <definedName name="_341__123Graph_CCHART_5" hidden="1">#REF!</definedName>
    <definedName name="_3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2_________________123Graph_CCHART_7" hidden="1">#REF!</definedName>
    <definedName name="_342______________123Graph_CCHART_6" hidden="1">#REF!</definedName>
    <definedName name="_342___123Graph_CCHART_5" hidden="1">#REF!</definedName>
    <definedName name="_342__123Graph_ACHART_8" hidden="1">#REF!</definedName>
    <definedName name="_342__123Graph_CCHART_5" hidden="1">#REF!</definedName>
    <definedName name="_342__123Graph_CCHART_6" hidden="1">#REF!</definedName>
    <definedName name="_3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3_________________123Graph_CCHART_8" hidden="1">#REF!</definedName>
    <definedName name="_343______________123Graph_CCHART_7" hidden="1">#REF!</definedName>
    <definedName name="_343___123Graph_CCHART_6" hidden="1">#REF!</definedName>
    <definedName name="_343__123Graph_ACHART_13" hidden="1">#REF!</definedName>
    <definedName name="_343__123Graph_CCHART_6" hidden="1">#REF!</definedName>
    <definedName name="_343__123Graph_CCHART_7" hidden="1">#REF!</definedName>
    <definedName name="_3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4_________________123Graph_DCHART_1" hidden="1">#REF!</definedName>
    <definedName name="_344______________123Graph_CCHART_8" hidden="1">#REF!</definedName>
    <definedName name="_344___123Graph_CCHART_7" hidden="1">#REF!</definedName>
    <definedName name="_344__123Graph_ACHART_14" hidden="1">#REF!</definedName>
    <definedName name="_344__123Graph_ACHART_9" hidden="1">#REF!</definedName>
    <definedName name="_344__123Graph_CCHART_7" hidden="1">#REF!</definedName>
    <definedName name="_344__123Graph_CCHART_8" hidden="1">#REF!</definedName>
    <definedName name="_3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5_________________123Graph_DCHART_2" hidden="1">#REF!</definedName>
    <definedName name="_345______________123Graph_DCHART_1" hidden="1">#REF!</definedName>
    <definedName name="_345___123Graph_CCHART_8" hidden="1">#REF!</definedName>
    <definedName name="_345__123Graph_CCHART_8" hidden="1">#REF!</definedName>
    <definedName name="_345__123Graph_DCHART_1" hidden="1">#REF!</definedName>
    <definedName name="_3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6_________________123Graph_DCHART_3" hidden="1">#REF!</definedName>
    <definedName name="_346______________123Graph_DCHART_2" hidden="1">#REF!</definedName>
    <definedName name="_346___123Graph_DCHART_1" hidden="1">#REF!</definedName>
    <definedName name="_346__123Graph_BCHART_1" hidden="1">#REF!</definedName>
    <definedName name="_346__123Graph_DCHART_1" hidden="1">#REF!</definedName>
    <definedName name="_346__123Graph_DCHART_2" hidden="1">#REF!</definedName>
    <definedName name="_3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7_________________123Graph_DCHART_4" hidden="1">#REF!</definedName>
    <definedName name="_347______________123Graph_DCHART_3" hidden="1">#REF!</definedName>
    <definedName name="_347___123Graph_DCHART_2" hidden="1">#REF!</definedName>
    <definedName name="_347__123Graph_DCHART_2" hidden="1">#REF!</definedName>
    <definedName name="_347__123Graph_DCHART_3" hidden="1">#REF!</definedName>
    <definedName name="_3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8_________________123Graph_DCHART_5" hidden="1">#REF!</definedName>
    <definedName name="_348______________123Graph_DCHART_4" hidden="1">#REF!</definedName>
    <definedName name="_348___123Graph_DCHART_3" hidden="1">#REF!</definedName>
    <definedName name="_348__123Graph_BCHART_17" hidden="1">#REF!</definedName>
    <definedName name="_348__123Graph_DCHART_3" hidden="1">#REF!</definedName>
    <definedName name="_348__123Graph_DCHART_4" hidden="1">#REF!</definedName>
    <definedName name="_3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49_________________123Graph_DCHART_6" hidden="1">#REF!</definedName>
    <definedName name="_349______________123Graph_DCHART_5" hidden="1">#REF!</definedName>
    <definedName name="_349___123Graph_DCHART_4" hidden="1">#REF!</definedName>
    <definedName name="_349__123Graph_DCHART_4" hidden="1">#REF!</definedName>
    <definedName name="_349__123Graph_DCHART_5" hidden="1">#REF!</definedName>
    <definedName name="_3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_____________________123Graph_CCHART_7" hidden="1">#REF!</definedName>
    <definedName name="_35__________________123Graph_CCHART_7" hidden="1">#REF!</definedName>
    <definedName name="_35______123Graph_CCHART_6" hidden="1">#REF!</definedName>
    <definedName name="_35______123Graph_CCHART_7" hidden="1">#REF!</definedName>
    <definedName name="_35__123Graph_ACHART_1" hidden="1">#REF!</definedName>
    <definedName name="_35__123Graph_CCHART_2" hidden="1">#REF!</definedName>
    <definedName name="_35__123Graph_CCHART_7" hidden="1">#REF!</definedName>
    <definedName name="_35__123Graph_XCHART_17" hidden="1">#REF!</definedName>
    <definedName name="_35__123Graph_XCHART_6" hidden="1">#REF!</definedName>
    <definedName name="_35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0_________________123Graph_DCHART_7" hidden="1">#REF!</definedName>
    <definedName name="_350______________123Graph_DCHART_6" hidden="1">#REF!</definedName>
    <definedName name="_350___123Graph_DCHART_5" hidden="1">#REF!</definedName>
    <definedName name="_350__123Graph_ACHART_14" hidden="1">#REF!</definedName>
    <definedName name="_350__123Graph_ACHART_15" hidden="1">#REF!</definedName>
    <definedName name="_350__123Graph_BCHART_18" hidden="1">#REF!</definedName>
    <definedName name="_350__123Graph_DCHART_5" hidden="1">#REF!</definedName>
    <definedName name="_350__123Graph_DCHART_6" hidden="1">#REF!</definedName>
    <definedName name="_3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1_________________123Graph_DCHART_8" hidden="1">#REF!</definedName>
    <definedName name="_351______________123Graph_DCHART_7" hidden="1">#REF!</definedName>
    <definedName name="_351___123Graph_DCHART_6" hidden="1">#REF!</definedName>
    <definedName name="_351__123Graph_DCHART_6" hidden="1">#REF!</definedName>
    <definedName name="_351__123Graph_DCHART_7" hidden="1">#REF!</definedName>
    <definedName name="_3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2_________________123Graph_ECHART_1" hidden="1">#REF!</definedName>
    <definedName name="_352______________123Graph_DCHART_8" hidden="1">#REF!</definedName>
    <definedName name="_352___123Graph_DCHART_7" hidden="1">#REF!</definedName>
    <definedName name="_352__123Graph_BCHART_2" hidden="1">#REF!</definedName>
    <definedName name="_352__123Graph_DCHART_7" hidden="1">#REF!</definedName>
    <definedName name="_352__123Graph_DCHART_8" hidden="1">#REF!</definedName>
    <definedName name="_3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3_________________123Graph_ECHART_2" hidden="1">#REF!</definedName>
    <definedName name="_353______________123Graph_ECHART_1" hidden="1">#REF!</definedName>
    <definedName name="_353___123Graph_DCHART_8" hidden="1">#REF!</definedName>
    <definedName name="_353__123Graph_DCHART_8" hidden="1">#REF!</definedName>
    <definedName name="_353__123Graph_ECHART_1" hidden="1">#REF!</definedName>
    <definedName name="_353__FDSAUDITLINK__" localSheetId="1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4_________________123Graph_ECHART_3" hidden="1">#REF!</definedName>
    <definedName name="_354______________123Graph_ECHART_2" hidden="1">#REF!</definedName>
    <definedName name="_354___123Graph_ECHART_1" hidden="1">#REF!</definedName>
    <definedName name="_354__123Graph_BCHART_3" hidden="1">#REF!</definedName>
    <definedName name="_354__123Graph_ECHART_1" hidden="1">#REF!</definedName>
    <definedName name="_354__123Graph_ECHART_2" hidden="1">#REF!</definedName>
    <definedName name="_3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5_________________123Graph_ECHART_4" hidden="1">#REF!</definedName>
    <definedName name="_355______________123Graph_ECHART_3" hidden="1">#REF!</definedName>
    <definedName name="_355___123Graph_ECHART_2" hidden="1">#REF!</definedName>
    <definedName name="_355__123Graph_ECHART_2" hidden="1">#REF!</definedName>
    <definedName name="_355__123Graph_ECHART_3" hidden="1">#REF!</definedName>
    <definedName name="_3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6_________________123Graph_ECHART_5" hidden="1">#REF!</definedName>
    <definedName name="_356______________123Graph_ECHART_4" hidden="1">#REF!</definedName>
    <definedName name="_356___123Graph_ECHART_3" hidden="1">#REF!</definedName>
    <definedName name="_356__123Graph_ACHART_16" hidden="1">#REF!</definedName>
    <definedName name="_356__123Graph_BCHART_4" hidden="1">#REF!</definedName>
    <definedName name="_356__123Graph_ECHART_3" hidden="1">#REF!</definedName>
    <definedName name="_356__123Graph_ECHART_4" hidden="1">#REF!</definedName>
    <definedName name="_3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7_________________123Graph_ECHART_6" hidden="1">#REF!</definedName>
    <definedName name="_357______________123Graph_ECHART_5" hidden="1">#REF!</definedName>
    <definedName name="_357___123Graph_ECHART_4" hidden="1">#REF!</definedName>
    <definedName name="_357__123Graph_ACHART_15" hidden="1">#REF!</definedName>
    <definedName name="_357__123Graph_ECHART_4" hidden="1">#REF!</definedName>
    <definedName name="_357__123Graph_ECHART_5" hidden="1">#REF!</definedName>
    <definedName name="_3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8_________________123Graph_ECHART_7" hidden="1">#REF!</definedName>
    <definedName name="_358______________123Graph_ECHART_6" hidden="1">#REF!</definedName>
    <definedName name="_358___123Graph_ECHART_5" hidden="1">#REF!</definedName>
    <definedName name="_358__123Graph_BCHART_5" hidden="1">#REF!</definedName>
    <definedName name="_358__123Graph_ECHART_5" hidden="1">#REF!</definedName>
    <definedName name="_358__123Graph_ECHART_6" hidden="1">#REF!</definedName>
    <definedName name="_3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59_________________123Graph_ECHART_8" hidden="1">#REF!</definedName>
    <definedName name="_359______________123Graph_ECHART_7" hidden="1">#REF!</definedName>
    <definedName name="_359___123Graph_ECHART_6" hidden="1">#REF!</definedName>
    <definedName name="_359__123Graph_ECHART_6" hidden="1">#REF!</definedName>
    <definedName name="_359__123Graph_ECHART_7" hidden="1">#REF!</definedName>
    <definedName name="_3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_____________________123Graph_CCHART_8" hidden="1">#REF!</definedName>
    <definedName name="_36__________________123Graph_CCHART_8" hidden="1">#REF!</definedName>
    <definedName name="_36______123Graph_CCHART_7" hidden="1">#REF!</definedName>
    <definedName name="_36______123Graph_CCHART_8" hidden="1">#REF!</definedName>
    <definedName name="_36__123Graph_ACHART_2" hidden="1">#REF!</definedName>
    <definedName name="_36__123Graph_ACHART_9" hidden="1">#REF!</definedName>
    <definedName name="_36__123Graph_CCHART_3" hidden="1">#REF!</definedName>
    <definedName name="_36__123Graph_CCHART_5" hidden="1">#REF!</definedName>
    <definedName name="_36__123Graph_CCHART_8" hidden="1">#REF!</definedName>
    <definedName name="_36__123Graph_LBL_CCHART_2" hidden="1">#REF!</definedName>
    <definedName name="_36__123Graph_XCHART_19" hidden="1">#REF!</definedName>
    <definedName name="_36__123Graph_XCHART_7" hidden="1">#REF!</definedName>
    <definedName name="_36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0_________________123Graph_FCHART_1" hidden="1">#REF!</definedName>
    <definedName name="_360______________123Graph_ECHART_8" hidden="1">#REF!</definedName>
    <definedName name="_360___123Graph_ECHART_7" hidden="1">#REF!</definedName>
    <definedName name="_360__123Graph_BCHART_6" hidden="1">#REF!</definedName>
    <definedName name="_360__123Graph_ECHART_7" hidden="1">#REF!</definedName>
    <definedName name="_360__123Graph_ECHART_8" hidden="1">#REF!</definedName>
    <definedName name="_3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1_________________123Graph_FCHART_2" hidden="1">#REF!</definedName>
    <definedName name="_361______________123Graph_FCHART_1" hidden="1">#REF!</definedName>
    <definedName name="_361___123Graph_ECHART_8" hidden="1">#REF!</definedName>
    <definedName name="_361__123Graph_ECHART_8" hidden="1">#REF!</definedName>
    <definedName name="_361__123Graph_FCHART_1" hidden="1">#REF!</definedName>
    <definedName name="_3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2_________________123Graph_FCHART_3" hidden="1">#REF!</definedName>
    <definedName name="_362______________123Graph_FCHART_2" hidden="1">#REF!</definedName>
    <definedName name="_362___123Graph_FCHART_1" hidden="1">#REF!</definedName>
    <definedName name="_362__123Graph_ACHART_17" hidden="1">#REF!</definedName>
    <definedName name="_362__123Graph_BCHART_7" hidden="1">#REF!</definedName>
    <definedName name="_362__123Graph_FCHART_1" hidden="1">#REF!</definedName>
    <definedName name="_362__123Graph_FCHART_2" hidden="1">#REF!</definedName>
    <definedName name="_3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3_________________123Graph_FCHART_4" hidden="1">#REF!</definedName>
    <definedName name="_363______________123Graph_FCHART_3" hidden="1">#REF!</definedName>
    <definedName name="_363___123Graph_FCHART_2" hidden="1">#REF!</definedName>
    <definedName name="_363__123Graph_FCHART_2" hidden="1">#REF!</definedName>
    <definedName name="_363__123Graph_FCHART_3" hidden="1">#REF!</definedName>
    <definedName name="_3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4_________________123Graph_FCHART_6" hidden="1">#REF!</definedName>
    <definedName name="_364______________123Graph_FCHART_4" hidden="1">#REF!</definedName>
    <definedName name="_364___123Graph_FCHART_3" hidden="1">#REF!</definedName>
    <definedName name="_364__123Graph_ACHART_16" hidden="1">#REF!</definedName>
    <definedName name="_364__123Graph_BCHART_8" hidden="1">#REF!</definedName>
    <definedName name="_364__123Graph_FCHART_3" hidden="1">#REF!</definedName>
    <definedName name="_364__123Graph_FCHART_4" hidden="1">#REF!</definedName>
    <definedName name="_3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5_________________123Graph_FCHART_7" hidden="1">#REF!</definedName>
    <definedName name="_365______________123Graph_FCHART_6" hidden="1">#REF!</definedName>
    <definedName name="_365___123Graph_FCHART_4" hidden="1">#REF!</definedName>
    <definedName name="_365__123Graph_FCHART_4" hidden="1">#REF!</definedName>
    <definedName name="_365__123Graph_FCHART_6" hidden="1">#REF!</definedName>
    <definedName name="_3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6_________________123Graph_FCHART_8" hidden="1">#REF!</definedName>
    <definedName name="_366______________123Graph_FCHART_7" hidden="1">#REF!</definedName>
    <definedName name="_366___123Graph_FCHART_6" hidden="1">#REF!</definedName>
    <definedName name="_366__123Graph_CCHART_1" hidden="1">#REF!</definedName>
    <definedName name="_366__123Graph_FCHART_6" hidden="1">#REF!</definedName>
    <definedName name="_366__123Graph_FCHART_7" hidden="1">#REF!</definedName>
    <definedName name="_3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7_________________123Graph_XCHART_1" hidden="1">#REF!</definedName>
    <definedName name="_367______________123Graph_FCHART_8" hidden="1">#REF!</definedName>
    <definedName name="_367___123Graph_FCHART_7" hidden="1">#REF!</definedName>
    <definedName name="_367__123Graph_FCHART_7" hidden="1">#REF!</definedName>
    <definedName name="_367__123Graph_FCHART_8" hidden="1">#REF!</definedName>
    <definedName name="_3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8_________________123Graph_XCHART_10" hidden="1">#REF!</definedName>
    <definedName name="_368______________123Graph_XCHART_1" hidden="1">#REF!</definedName>
    <definedName name="_368___123Graph_FCHART_8" hidden="1">#REF!</definedName>
    <definedName name="_368__123Graph_ACHART_18" hidden="1">#REF!</definedName>
    <definedName name="_368__123Graph_CCHART_2" hidden="1">#REF!</definedName>
    <definedName name="_368__123Graph_FCHART_8" hidden="1">#REF!</definedName>
    <definedName name="_368__123Graph_XCHART_1" hidden="1">#REF!</definedName>
    <definedName name="_3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69_________________123Graph_XCHART_11" hidden="1">#REF!</definedName>
    <definedName name="_369______________123Graph_XCHART_10" hidden="1">#REF!</definedName>
    <definedName name="_369___123Graph_XCHART_1" hidden="1">#REF!</definedName>
    <definedName name="_369__123Graph_XCHART_1" hidden="1">#REF!</definedName>
    <definedName name="_369__123Graph_XCHART_10" hidden="1">#REF!</definedName>
    <definedName name="_3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_____________________123Graph_DCHART_1" hidden="1">#REF!</definedName>
    <definedName name="_37__________________123Graph_DCHART_1" hidden="1">#REF!</definedName>
    <definedName name="_37______123Graph_CCHART_8" hidden="1">#REF!</definedName>
    <definedName name="_37______123Graph_DCHART_1" hidden="1">#REF!</definedName>
    <definedName name="_37__123Graph_CCHART_4" hidden="1">#REF!</definedName>
    <definedName name="_37__123Graph_DCHART_1" hidden="1">#REF!</definedName>
    <definedName name="_37__123Graph_XCHART_2" hidden="1">#REF!</definedName>
    <definedName name="_37__123Graph_XCHART_8" hidden="1">#REF!</definedName>
    <definedName name="_37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0_________________123Graph_XCHART_12" hidden="1">#REF!</definedName>
    <definedName name="_370______________123Graph_XCHART_11" hidden="1">#REF!</definedName>
    <definedName name="_370___123Graph_XCHART_10" hidden="1">#REF!</definedName>
    <definedName name="_370__123Graph_CCHART_3" hidden="1">#REF!</definedName>
    <definedName name="_370__123Graph_XCHART_10" hidden="1">#REF!</definedName>
    <definedName name="_370__123Graph_XCHART_11" hidden="1">#REF!</definedName>
    <definedName name="_3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1_________________123Graph_XCHART_13" hidden="1">#REF!</definedName>
    <definedName name="_371______________123Graph_XCHART_12" hidden="1">#REF!</definedName>
    <definedName name="_371___123Graph_XCHART_11" hidden="1">#REF!</definedName>
    <definedName name="_371__123Graph_ACHART_17" hidden="1">#REF!</definedName>
    <definedName name="_371__123Graph_XCHART_11" hidden="1">#REF!</definedName>
    <definedName name="_371__123Graph_XCHART_12" hidden="1">#REF!</definedName>
    <definedName name="_371__FDSAUDITLINK__" localSheetId="1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2_________________123Graph_XCHART_14" hidden="1">#REF!</definedName>
    <definedName name="_372______________123Graph_XCHART_13" hidden="1">#REF!</definedName>
    <definedName name="_372___123Graph_XCHART_12" hidden="1">#REF!</definedName>
    <definedName name="_372__123Graph_CCHART_4" hidden="1">#REF!</definedName>
    <definedName name="_372__123Graph_XCHART_12" hidden="1">#REF!</definedName>
    <definedName name="_372__123Graph_XCHART_13" hidden="1">#REF!</definedName>
    <definedName name="_3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3_________________123Graph_XCHART_15" hidden="1">#REF!</definedName>
    <definedName name="_373______________123Graph_XCHART_14" hidden="1">#REF!</definedName>
    <definedName name="_373___123Graph_XCHART_13" hidden="1">#REF!</definedName>
    <definedName name="_373__123Graph_XCHART_13" hidden="1">#REF!</definedName>
    <definedName name="_373__123Graph_XCHART_14" hidden="1">#REF!</definedName>
    <definedName name="_3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4_________________123Graph_XCHART_16" hidden="1">#REF!</definedName>
    <definedName name="_374______________123Graph_XCHART_15" hidden="1">#REF!</definedName>
    <definedName name="_374___123Graph_XCHART_14" hidden="1">#REF!</definedName>
    <definedName name="_374__123Graph_ACHART_2" hidden="1">#REF!</definedName>
    <definedName name="_374__123Graph_CCHART_5" hidden="1">#REF!</definedName>
    <definedName name="_374__123Graph_XCHART_14" hidden="1">#REF!</definedName>
    <definedName name="_374__123Graph_XCHART_15" hidden="1">#REF!</definedName>
    <definedName name="_3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5_________________123Graph_XCHART_17" hidden="1">#REF!</definedName>
    <definedName name="_375______________123Graph_XCHART_16" hidden="1">#REF!</definedName>
    <definedName name="_375___123Graph_XCHART_15" hidden="1">#REF!</definedName>
    <definedName name="_375__123Graph_XCHART_15" hidden="1">#REF!</definedName>
    <definedName name="_375__123Graph_XCHART_16" hidden="1">#REF!</definedName>
    <definedName name="_3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6_________________123Graph_XCHART_18" hidden="1">#REF!</definedName>
    <definedName name="_376______________123Graph_XCHART_17" hidden="1">#REF!</definedName>
    <definedName name="_376___123Graph_XCHART_16" hidden="1">#REF!</definedName>
    <definedName name="_376__123Graph_CCHART_6" hidden="1">#REF!</definedName>
    <definedName name="_376__123Graph_XCHART_16" hidden="1">#REF!</definedName>
    <definedName name="_376__123Graph_XCHART_17" hidden="1">#REF!</definedName>
    <definedName name="_3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7_________________123Graph_XCHART_2" hidden="1">#REF!</definedName>
    <definedName name="_377______________123Graph_XCHART_18" hidden="1">#REF!</definedName>
    <definedName name="_377___123Graph_XCHART_17" hidden="1">#REF!</definedName>
    <definedName name="_377__123Graph_XCHART_17" hidden="1">#REF!</definedName>
    <definedName name="_377__123Graph_XCHART_18" hidden="1">#REF!</definedName>
    <definedName name="_3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8_________________123Graph_XCHART_3" hidden="1">#REF!</definedName>
    <definedName name="_378______________123Graph_XCHART_2" hidden="1">#REF!</definedName>
    <definedName name="_378___123Graph_XCHART_18" hidden="1">#REF!</definedName>
    <definedName name="_378__123Graph_ACHART_18" hidden="1">#REF!</definedName>
    <definedName name="_378__123Graph_CCHART_7" hidden="1">#REF!</definedName>
    <definedName name="_378__123Graph_XCHART_18" hidden="1">#REF!</definedName>
    <definedName name="_378__123Graph_XCHART_2" hidden="1">#REF!</definedName>
    <definedName name="_3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79_________________123Graph_XCHART_4" hidden="1">#REF!</definedName>
    <definedName name="_379______________123Graph_XCHART_3" hidden="1">#REF!</definedName>
    <definedName name="_379___123Graph_XCHART_2" hidden="1">#REF!</definedName>
    <definedName name="_379__123Graph_XCHART_2" hidden="1">#REF!</definedName>
    <definedName name="_379__123Graph_XCHART_3" hidden="1">#REF!</definedName>
    <definedName name="_3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_____________________123Graph_DCHART_2" hidden="1">#REF!</definedName>
    <definedName name="_38__________________123Graph_DCHART_2" hidden="1">#REF!</definedName>
    <definedName name="_38______123Graph_DCHART_1" hidden="1">#REF!</definedName>
    <definedName name="_38______123Graph_DCHART_2" hidden="1">#REF!</definedName>
    <definedName name="_38__123Graph_BCHART_1" hidden="1">#REF!</definedName>
    <definedName name="_38__123Graph_CCHART_5" hidden="1">#REF!</definedName>
    <definedName name="_38__123Graph_DCHART_2" hidden="1">#REF!</definedName>
    <definedName name="_38__123Graph_XCHART_4" hidden="1">#REF!</definedName>
    <definedName name="_38__123Graph_XCHART_9" hidden="1">#REF!</definedName>
    <definedName name="_38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0_________________123Graph_XCHART_5" hidden="1">#REF!</definedName>
    <definedName name="_380______________123Graph_XCHART_4" hidden="1">#REF!</definedName>
    <definedName name="_380___123Graph_XCHART_3" hidden="1">#REF!</definedName>
    <definedName name="_380__123Graph_ACHART_3" hidden="1">#REF!</definedName>
    <definedName name="_380__123Graph_CCHART_8" hidden="1">#REF!</definedName>
    <definedName name="_380__123Graph_XCHART_3" hidden="1">#REF!</definedName>
    <definedName name="_380__123Graph_XCHART_4" hidden="1">#REF!</definedName>
    <definedName name="_3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1_________________123Graph_XCHART_6" hidden="1">#REF!</definedName>
    <definedName name="_381______________123Graph_XCHART_5" hidden="1">#REF!</definedName>
    <definedName name="_381___123Graph_XCHART_4" hidden="1">#REF!</definedName>
    <definedName name="_381__123Graph_XCHART_4" hidden="1">#REF!</definedName>
    <definedName name="_381__123Graph_XCHART_5" hidden="1">#REF!</definedName>
    <definedName name="_3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2_________________123Graph_XCHART_7" hidden="1">#REF!</definedName>
    <definedName name="_382______________123Graph_XCHART_6" hidden="1">#REF!</definedName>
    <definedName name="_382___123Graph_XCHART_5" hidden="1">#REF!</definedName>
    <definedName name="_382__123Graph_DCHART_1" hidden="1">#REF!</definedName>
    <definedName name="_382__123Graph_XCHART_5" hidden="1">#REF!</definedName>
    <definedName name="_382__123Graph_XCHART_6" hidden="1">#REF!</definedName>
    <definedName name="_3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3_________________123Graph_XCHART_8" hidden="1">#REF!</definedName>
    <definedName name="_383______________123Graph_XCHART_7" hidden="1">#REF!</definedName>
    <definedName name="_383___123Graph_XCHART_6" hidden="1">#REF!</definedName>
    <definedName name="_383__123Graph_XCHART_6" hidden="1">#REF!</definedName>
    <definedName name="_383__123Graph_XCHART_7" hidden="1">#REF!</definedName>
    <definedName name="_3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4_________________123Graph_XCHART_9" hidden="1">#REF!</definedName>
    <definedName name="_384______________123Graph_XCHART_8" hidden="1">#REF!</definedName>
    <definedName name="_384___123Graph_XCHART_7" hidden="1">#REF!</definedName>
    <definedName name="_384__123Graph_DCHART_2" hidden="1">#REF!</definedName>
    <definedName name="_384__123Graph_XCHART_7" hidden="1">#REF!</definedName>
    <definedName name="_384__123Graph_XCHART_8" hidden="1">#REF!</definedName>
    <definedName name="_3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5________________123Graph_ACHART_1" hidden="1">#REF!</definedName>
    <definedName name="_385______________123Graph_XCHART_9" hidden="1">#REF!</definedName>
    <definedName name="_385___123Graph_XCHART_8" hidden="1">#REF!</definedName>
    <definedName name="_385__123Graph_ACHART_2" hidden="1">#REF!</definedName>
    <definedName name="_385__123Graph_XCHART_8" hidden="1">#REF!</definedName>
    <definedName name="_385__123Graph_XCHART_9" hidden="1">#REF!</definedName>
    <definedName name="_3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6________________123Graph_ACHART_10" hidden="1">#REF!</definedName>
    <definedName name="_386_____________123Graph_ACHART_1" hidden="1">#REF!</definedName>
    <definedName name="_386___123Graph_XCHART_9" hidden="1">#REF!</definedName>
    <definedName name="_386__123Graph_ACHART_4" hidden="1">#REF!</definedName>
    <definedName name="_386__123Graph_DCHART_3" hidden="1">#REF!</definedName>
    <definedName name="_386__123Graph_XCHART_9" hidden="1">#REF!</definedName>
    <definedName name="_3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7________________123Graph_ACHART_11" hidden="1">#REF!</definedName>
    <definedName name="_387_____________123Graph_ACHART_10" hidden="1">#REF!</definedName>
    <definedName name="_387__123Graph_ACHART_1" hidden="1">#REF!</definedName>
    <definedName name="_3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8________________123Graph_ACHART_12" hidden="1">#REF!</definedName>
    <definedName name="_388_____________123Graph_ACHART_11" hidden="1">#REF!</definedName>
    <definedName name="_388__123Graph_ACHART_10" hidden="1">#REF!</definedName>
    <definedName name="_388__123Graph_DCHART_4" hidden="1">#REF!</definedName>
    <definedName name="_3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89________________123Graph_ACHART_13" hidden="1">#REF!</definedName>
    <definedName name="_389_____________123Graph_ACHART_12" hidden="1">#REF!</definedName>
    <definedName name="_389__123Graph_ACHART_11" hidden="1">#REF!</definedName>
    <definedName name="_3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_____________________123Graph_DCHART_3" hidden="1">#REF!</definedName>
    <definedName name="_39__________________123Graph_DCHART_3" hidden="1">#REF!</definedName>
    <definedName name="_39______123Graph_DCHART_2" hidden="1">#REF!</definedName>
    <definedName name="_39______123Graph_DCHART_3" hidden="1">#REF!</definedName>
    <definedName name="_39__123Graph_ACHART_4" hidden="1">#REF!</definedName>
    <definedName name="_39__123Graph_DCHART_2" hidden="1">#REF!</definedName>
    <definedName name="_39__123Graph_DCHART_3" hidden="1">#REF!</definedName>
    <definedName name="_39__123Graph_XCHART_5" hidden="1">#REF!</definedName>
    <definedName name="_39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0________________123Graph_ACHART_14" hidden="1">#REF!</definedName>
    <definedName name="_390_____________123Graph_ACHART_13" hidden="1">#REF!</definedName>
    <definedName name="_390__123Graph_ACHART_12" hidden="1">#REF!</definedName>
    <definedName name="_390__123Graph_DCHART_5" hidden="1">#REF!</definedName>
    <definedName name="_3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1________________123Graph_ACHART_15" hidden="1">#REF!</definedName>
    <definedName name="_391_____________123Graph_ACHART_14" hidden="1">#REF!</definedName>
    <definedName name="_391__123Graph_ACHART_13" hidden="1">#REF!</definedName>
    <definedName name="_3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2________________123Graph_ACHART_16" hidden="1">#REF!</definedName>
    <definedName name="_392_____________123Graph_ACHART_15" hidden="1">#REF!</definedName>
    <definedName name="_392__123Graph_ACHART_14" hidden="1">#REF!</definedName>
    <definedName name="_392__123Graph_ACHART_3" hidden="1">#REF!</definedName>
    <definedName name="_392__123Graph_ACHART_5" hidden="1">#REF!</definedName>
    <definedName name="_392__123Graph_DCHART_6" hidden="1">#REF!</definedName>
    <definedName name="_3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3________________123Graph_ACHART_17" hidden="1">#REF!</definedName>
    <definedName name="_393_____________123Graph_ACHART_16" hidden="1">#REF!</definedName>
    <definedName name="_393__123Graph_ACHART_15" hidden="1">#REF!</definedName>
    <definedName name="_3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4________________123Graph_ACHART_18" hidden="1">#REF!</definedName>
    <definedName name="_394_____________123Graph_ACHART_17" hidden="1">#REF!</definedName>
    <definedName name="_394__123Graph_ACHART_16" hidden="1">#REF!</definedName>
    <definedName name="_394__123Graph_DCHART_7" hidden="1">#REF!</definedName>
    <definedName name="_3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5________________123Graph_ACHART_2" hidden="1">#REF!</definedName>
    <definedName name="_395_____________123Graph_ACHART_18" hidden="1">#REF!</definedName>
    <definedName name="_395__123Graph_ACHART_17" hidden="1">#REF!</definedName>
    <definedName name="_3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6________________123Graph_ACHART_3" hidden="1">#REF!</definedName>
    <definedName name="_396_____________123Graph_ACHART_2" hidden="1">#REF!</definedName>
    <definedName name="_396__123Graph_ACHART_18" hidden="1">#REF!</definedName>
    <definedName name="_396__123Graph_DCHART_8" hidden="1">#REF!</definedName>
    <definedName name="_3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7________________123Graph_ACHART_4" hidden="1">#REF!</definedName>
    <definedName name="_397_____________123Graph_ACHART_3" hidden="1">#REF!</definedName>
    <definedName name="_397__123Graph_ACHART_2" hidden="1">#REF!</definedName>
    <definedName name="_3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8________________123Graph_ACHART_5" hidden="1">#REF!</definedName>
    <definedName name="_398_____________123Graph_ACHART_4" hidden="1">#REF!</definedName>
    <definedName name="_398__123Graph_ACHART_3" hidden="1">#REF!</definedName>
    <definedName name="_398__123Graph_ACHART_6" hidden="1">#REF!</definedName>
    <definedName name="_398__123Graph_ECHART_1" hidden="1">#REF!</definedName>
    <definedName name="_3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99________________123Graph_ACHART_6" hidden="1">#REF!</definedName>
    <definedName name="_399_____________123Graph_ACHART_5" hidden="1">#REF!</definedName>
    <definedName name="_399__123Graph_ACHART_4" hidden="1">#REF!</definedName>
    <definedName name="_3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3Table2_" hidden="1">#REF!</definedName>
    <definedName name="_3wrn.²Ä1­Ó¤ë1_Ü20¤H." localSheetId="10" hidden="1">{#N/A,#N/A,FALSE,"²Ä1­Ó¤ë"}</definedName>
    <definedName name="_3wrn.²Ä1­Ó¤ë1_Ü20¤H." localSheetId="15" hidden="1">{#N/A,#N/A,FALSE,"²Ä1­Ó¤ë"}</definedName>
    <definedName name="_3wrn.²Ä1­Ó¤ë1_Ü20¤H." hidden="1">{#N/A,#N/A,FALSE,"²Ä1­Ó¤ë"}</definedName>
    <definedName name="_4" localSheetId="10">#REF!</definedName>
    <definedName name="_4">#REF!</definedName>
    <definedName name="_4_____________________123Graph_ACHART_12" localSheetId="10" hidden="1">#REF!</definedName>
    <definedName name="_4_____________________123Graph_ACHART_12" hidden="1">#REF!</definedName>
    <definedName name="_4__________________123Graph_ACHART_12" localSheetId="10" hidden="1">#REF!</definedName>
    <definedName name="_4__________________123Graph_ACHART_12" hidden="1">#REF!</definedName>
    <definedName name="_4______123Graph_ACHART_11" hidden="1">#REF!</definedName>
    <definedName name="_4______123Graph_ACHART_12" hidden="1">#REF!</definedName>
    <definedName name="_4___123Graph_ACHART_5" hidden="1">#REF!</definedName>
    <definedName name="_4__123Graph_ACHART_1" localSheetId="10" hidden="1">#REF!</definedName>
    <definedName name="_4__123Graph_ACHART_1" localSheetId="9" hidden="1">#REF!</definedName>
    <definedName name="_4__123Graph_ACHART_1" localSheetId="8" hidden="1">#REF!</definedName>
    <definedName name="_4__123Graph_ACHART_1" localSheetId="16" hidden="1">#REF!</definedName>
    <definedName name="_4__123Graph_ACHART_1" hidden="1">#REF!</definedName>
    <definedName name="_4__123Graph_ACHART_12" hidden="1">#REF!</definedName>
    <definedName name="_4__123Graph_ACHART_13" hidden="1">#REF!</definedName>
    <definedName name="_4__123Graph_ACHART_3" localSheetId="10" hidden="1">#REF!</definedName>
    <definedName name="_4__123Graph_ACHART_3" localSheetId="9" hidden="1">#REF!</definedName>
    <definedName name="_4__123Graph_ACHART_3" localSheetId="8" hidden="1">#REF!</definedName>
    <definedName name="_4__123Graph_ACHART_3" localSheetId="16" hidden="1">#REF!</definedName>
    <definedName name="_4__123Graph_ACHART_3" hidden="1">#REF!</definedName>
    <definedName name="_4__123Graph_ACHART_4" hidden="1">#REF!</definedName>
    <definedName name="_4__123Graph_ACHART_5" hidden="1">#REF!</definedName>
    <definedName name="_4__123Graph_ACHART_8" localSheetId="10" hidden="1">#REF!</definedName>
    <definedName name="_4__123Graph_ACHART_8" localSheetId="9" hidden="1">#REF!</definedName>
    <definedName name="_4__123Graph_ACHART_8" localSheetId="8" hidden="1">#REF!</definedName>
    <definedName name="_4__123Graph_ACHART_8" localSheetId="16" hidden="1">#REF!</definedName>
    <definedName name="_4__123Graph_ACHART_8" hidden="1">#REF!</definedName>
    <definedName name="_4__123Graph_ECHART_4" hidden="1">#REF!</definedName>
    <definedName name="_4__FDSAUDITLINK__" localSheetId="10"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11" localSheetId="10">#REF!</definedName>
    <definedName name="_4_11">#REF!</definedName>
    <definedName name="_40_____________________123Graph_DCHART_5" localSheetId="10" hidden="1">#REF!</definedName>
    <definedName name="_40_____________________123Graph_DCHART_5" hidden="1">#REF!</definedName>
    <definedName name="_40__________________123Graph_DCHART_4" localSheetId="10" hidden="1">#REF!</definedName>
    <definedName name="_40__________________123Graph_DCHART_4" hidden="1">#REF!</definedName>
    <definedName name="_40______123Graph_DCHART_3" hidden="1">#REF!</definedName>
    <definedName name="_40______123Graph_DCHART_4" hidden="1">#REF!</definedName>
    <definedName name="_40__123Graph_BCHART_1" hidden="1">#REF!</definedName>
    <definedName name="_40__123Graph_BCHART_17" hidden="1">#REF!</definedName>
    <definedName name="_40__123Graph_DCHART_3" hidden="1">#REF!</definedName>
    <definedName name="_40__123Graph_DCHART_4" hidden="1">#REF!</definedName>
    <definedName name="_40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0________________123Graph_ACHART_7" hidden="1">#REF!</definedName>
    <definedName name="_400_____________123Graph_ACHART_6" hidden="1">#REF!</definedName>
    <definedName name="_400__123Graph_ACHART_5" hidden="1">#REF!</definedName>
    <definedName name="_400__123Graph_ECHART_2" hidden="1">#REF!</definedName>
    <definedName name="_4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1________________123Graph_ACHART_8" hidden="1">#REF!</definedName>
    <definedName name="_401_____________123Graph_ACHART_7" hidden="1">#REF!</definedName>
    <definedName name="_401__123Graph_ACHART_6" hidden="1">#REF!</definedName>
    <definedName name="_4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2________________123Graph_ACHART_9" hidden="1">#REF!</definedName>
    <definedName name="_402_____________123Graph_ACHART_8" hidden="1">#REF!</definedName>
    <definedName name="_402__123Graph_ACHART_7" hidden="1">#REF!</definedName>
    <definedName name="_402__123Graph_ECHART_3" hidden="1">#REF!</definedName>
    <definedName name="_4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3________________123Graph_BCHART_1" hidden="1">#REF!</definedName>
    <definedName name="_403_____________123Graph_ACHART_9" hidden="1">#REF!</definedName>
    <definedName name="_403__123Graph_ACHART_8" hidden="1">#REF!</definedName>
    <definedName name="_4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4________________123Graph_BCHART_17" hidden="1">#REF!</definedName>
    <definedName name="_404_____________123Graph_BCHART_1" hidden="1">#REF!</definedName>
    <definedName name="_404__123Graph_ACHART_7" hidden="1">#REF!</definedName>
    <definedName name="_404__123Graph_ACHART_9" hidden="1">#REF!</definedName>
    <definedName name="_404__123Graph_ECHART_4" hidden="1">#REF!</definedName>
    <definedName name="_4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5________________123Graph_BCHART_18" hidden="1">#REF!</definedName>
    <definedName name="_405_____________123Graph_BCHART_17" hidden="1">#REF!</definedName>
    <definedName name="_405__123Graph_BCHART_1" hidden="1">#REF!</definedName>
    <definedName name="_4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6________________123Graph_BCHART_2" hidden="1">#REF!</definedName>
    <definedName name="_406_____________123Graph_BCHART_18" hidden="1">#REF!</definedName>
    <definedName name="_406__123Graph_ACHART_5" hidden="1">#REF!</definedName>
    <definedName name="_406__123Graph_BCHART_17" hidden="1">#REF!</definedName>
    <definedName name="_406__123Graph_ECHART_5" hidden="1">#REF!</definedName>
    <definedName name="_4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7________________123Graph_BCHART_3" hidden="1">#REF!</definedName>
    <definedName name="_407_____________123Graph_BCHART_2" hidden="1">#REF!</definedName>
    <definedName name="_407__123Graph_BCHART_18" hidden="1">#REF!</definedName>
    <definedName name="_4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8________________123Graph_BCHART_4" hidden="1">#REF!</definedName>
    <definedName name="_408_____________123Graph_BCHART_3" hidden="1">#REF!</definedName>
    <definedName name="_408__123Graph_BCHART_2" hidden="1">#REF!</definedName>
    <definedName name="_408__123Graph_ECHART_6" hidden="1">#REF!</definedName>
    <definedName name="_4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09________________123Graph_BCHART_5" hidden="1">#REF!</definedName>
    <definedName name="_409_____________123Graph_BCHART_4" hidden="1">#REF!</definedName>
    <definedName name="_409__123Graph_BCHART_3" hidden="1">#REF!</definedName>
    <definedName name="_4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_____________________123Graph_DCHART_6" hidden="1">#REF!</definedName>
    <definedName name="_41__________________123Graph_DCHART_5" hidden="1">#REF!</definedName>
    <definedName name="_41______123Graph_DCHART_4" hidden="1">#REF!</definedName>
    <definedName name="_41______123Graph_DCHART_5" hidden="1">#REF!</definedName>
    <definedName name="_41__123Graph_BCHART_2" hidden="1">#REF!</definedName>
    <definedName name="_41__123Graph_DCHART_4" hidden="1">#REF!</definedName>
    <definedName name="_41__123Graph_DCHART_5" hidden="1">#REF!</definedName>
    <definedName name="_41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0________________123Graph_BCHART_6" hidden="1">#REF!</definedName>
    <definedName name="_410_____________123Graph_BCHART_5" hidden="1">#REF!</definedName>
    <definedName name="_410__123Graph_ACHART_8" hidden="1">#REF!</definedName>
    <definedName name="_410__123Graph_BCHART_4" hidden="1">#REF!</definedName>
    <definedName name="_410__123Graph_ECHART_7" hidden="1">#REF!</definedName>
    <definedName name="_4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1________________123Graph_BCHART_7" hidden="1">#REF!</definedName>
    <definedName name="_411_____________123Graph_BCHART_6" hidden="1">#REF!</definedName>
    <definedName name="_411__123Graph_BCHART_5" hidden="1">#REF!</definedName>
    <definedName name="_4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2________________123Graph_BCHART_8" hidden="1">#REF!</definedName>
    <definedName name="_412_____________123Graph_BCHART_7" hidden="1">#REF!</definedName>
    <definedName name="_412__123Graph_BCHART_6" hidden="1">#REF!</definedName>
    <definedName name="_412__123Graph_ECHART_8" hidden="1">#REF!</definedName>
    <definedName name="_4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3________________123Graph_CCHART_1" hidden="1">#REF!</definedName>
    <definedName name="_413_____________123Graph_BCHART_8" hidden="1">#REF!</definedName>
    <definedName name="_413__123Graph_ACHART_6" hidden="1">#REF!</definedName>
    <definedName name="_413__123Graph_BCHART_7" hidden="1">#REF!</definedName>
    <definedName name="_4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4________________123Graph_CCHART_2" hidden="1">#REF!</definedName>
    <definedName name="_414_____________123Graph_CCHART_1" hidden="1">#REF!</definedName>
    <definedName name="_414__123Graph_BCHART_8" hidden="1">#REF!</definedName>
    <definedName name="_414__123Graph_FCHART_1" hidden="1">#REF!</definedName>
    <definedName name="_4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5________________123Graph_CCHART_3" hidden="1">#REF!</definedName>
    <definedName name="_415_____________123Graph_CCHART_2" hidden="1">#REF!</definedName>
    <definedName name="_415__123Graph_CCHART_1" hidden="1">#REF!</definedName>
    <definedName name="_4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6________________123Graph_CCHART_4" hidden="1">#REF!</definedName>
    <definedName name="_416_____________123Graph_CCHART_3" hidden="1">#REF!</definedName>
    <definedName name="_416__123Graph_ACHART_9" hidden="1">#REF!</definedName>
    <definedName name="_416__123Graph_CCHART_2" hidden="1">#REF!</definedName>
    <definedName name="_416__123Graph_FCHART_2" hidden="1">#REF!</definedName>
    <definedName name="_4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7________________123Graph_CCHART_5" hidden="1">#REF!</definedName>
    <definedName name="_417_____________123Graph_CCHART_4" hidden="1">#REF!</definedName>
    <definedName name="_417__123Graph_CCHART_3" hidden="1">#REF!</definedName>
    <definedName name="_4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8________________123Graph_CCHART_6" hidden="1">#REF!</definedName>
    <definedName name="_418_____________123Graph_CCHART_5" hidden="1">#REF!</definedName>
    <definedName name="_418__123Graph_CCHART_4" hidden="1">#REF!</definedName>
    <definedName name="_418__123Graph_FCHART_3" hidden="1">#REF!</definedName>
    <definedName name="_4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19________________123Graph_CCHART_7" hidden="1">#REF!</definedName>
    <definedName name="_419_____________123Graph_CCHART_6" hidden="1">#REF!</definedName>
    <definedName name="_419__123Graph_CCHART_5" hidden="1">#REF!</definedName>
    <definedName name="_4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_____________________123Graph_DCHART_7" hidden="1">#REF!</definedName>
    <definedName name="_42__________________123Graph_DCHART_6" hidden="1">#REF!</definedName>
    <definedName name="_42______123Graph_DCHART_5" hidden="1">#REF!</definedName>
    <definedName name="_42______123Graph_DCHART_6" hidden="1">#REF!</definedName>
    <definedName name="_42__123Graph_BCHART_18" hidden="1">#REF!</definedName>
    <definedName name="_42__123Graph_DCHART_3" hidden="1">#REF!</definedName>
    <definedName name="_42__123Graph_DCHART_5" hidden="1">#REF!</definedName>
    <definedName name="_42__123Graph_DCHART_6" hidden="1">#REF!</definedName>
    <definedName name="_42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0________________123Graph_CCHART_8" hidden="1">#REF!</definedName>
    <definedName name="_420_____________123Graph_CCHART_7" hidden="1">#REF!</definedName>
    <definedName name="_420__123Graph_ACHART_7" hidden="1">#REF!</definedName>
    <definedName name="_420__123Graph_CCHART_6" hidden="1">#REF!</definedName>
    <definedName name="_420__123Graph_FCHART_4" hidden="1">#REF!</definedName>
    <definedName name="_4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1________________123Graph_DCHART_1" hidden="1">#REF!</definedName>
    <definedName name="_421_____________123Graph_CCHART_8" hidden="1">#REF!</definedName>
    <definedName name="_421__123Graph_CCHART_7" hidden="1">#REF!</definedName>
    <definedName name="_4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2________________123Graph_DCHART_2" hidden="1">#REF!</definedName>
    <definedName name="_422_____________123Graph_DCHART_1" hidden="1">#REF!</definedName>
    <definedName name="_422__123Graph_BCHART_1" hidden="1">#REF!</definedName>
    <definedName name="_422__123Graph_CCHART_8" hidden="1">#REF!</definedName>
    <definedName name="_422__123Graph_FCHART_6" hidden="1">#REF!</definedName>
    <definedName name="_4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3________________123Graph_DCHART_3" hidden="1">#REF!</definedName>
    <definedName name="_423_____________123Graph_DCHART_2" hidden="1">#REF!</definedName>
    <definedName name="_423__123Graph_DCHART_1" hidden="1">#REF!</definedName>
    <definedName name="_4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4________________123Graph_DCHART_4" hidden="1">#REF!</definedName>
    <definedName name="_424_____________123Graph_DCHART_3" hidden="1">#REF!</definedName>
    <definedName name="_424__123Graph_DCHART_2" hidden="1">#REF!</definedName>
    <definedName name="_424__123Graph_FCHART_7" hidden="1">#REF!</definedName>
    <definedName name="_4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5________________123Graph_DCHART_5" hidden="1">#REF!</definedName>
    <definedName name="_425_____________123Graph_DCHART_4" hidden="1">#REF!</definedName>
    <definedName name="_425__123Graph_DCHART_3" hidden="1">#REF!</definedName>
    <definedName name="_4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6________________123Graph_DCHART_6" hidden="1">#REF!</definedName>
    <definedName name="_426_____________123Graph_DCHART_5" hidden="1">#REF!</definedName>
    <definedName name="_426__123Graph_DCHART_4" hidden="1">#REF!</definedName>
    <definedName name="_426__123Graph_FCHART_8" hidden="1">#REF!</definedName>
    <definedName name="_4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7________________123Graph_DCHART_7" hidden="1">#REF!</definedName>
    <definedName name="_427_____________123Graph_DCHART_6" hidden="1">#REF!</definedName>
    <definedName name="_427__123Graph_ACHART_8" hidden="1">#REF!</definedName>
    <definedName name="_427__123Graph_DCHART_5" hidden="1">#REF!</definedName>
    <definedName name="_4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8________________123Graph_DCHART_8" hidden="1">#REF!</definedName>
    <definedName name="_428_____________123Graph_DCHART_7" hidden="1">#REF!</definedName>
    <definedName name="_428__123Graph_BCHART_17" hidden="1">#REF!</definedName>
    <definedName name="_428__123Graph_DCHART_6" hidden="1">#REF!</definedName>
    <definedName name="_428__123Graph_XCHART_1" hidden="1">#REF!</definedName>
    <definedName name="_4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9________________123Graph_ECHART_1" hidden="1">#REF!</definedName>
    <definedName name="_429_____________123Graph_DCHART_8" hidden="1">#REF!</definedName>
    <definedName name="_429__123Graph_DCHART_7" hidden="1">#REF!</definedName>
    <definedName name="_4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2wrn.²Ä1­Ó¤ë1_Ü20¤H." localSheetId="10" hidden="1">{#N/A,#N/A,FALSE,"²Ä1­Ó¤ë"}</definedName>
    <definedName name="_42wrn.²Ä1­Ó¤ë1_Ü20¤H." hidden="1">{#N/A,#N/A,FALSE,"²Ä1­Ó¤ë"}</definedName>
    <definedName name="_43_____________________123Graph_DCHART_8" hidden="1">#REF!</definedName>
    <definedName name="_43__________________123Graph_DCHART_7" hidden="1">#REF!</definedName>
    <definedName name="_43______123Graph_DCHART_6" hidden="1">#REF!</definedName>
    <definedName name="_43______123Graph_DCHART_7" hidden="1">#REF!</definedName>
    <definedName name="_43__123Graph_DCHART_7" hidden="1">#REF!</definedName>
    <definedName name="_43__123Graph_ECHART_2" hidden="1">#REF!</definedName>
    <definedName name="_43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0________________123Graph_ECHART_2" hidden="1">#REF!</definedName>
    <definedName name="_430_____________123Graph_ECHART_1" hidden="1">#REF!</definedName>
    <definedName name="_430__123Graph_DCHART_8" hidden="1">#REF!</definedName>
    <definedName name="_430__123Graph_XCHART_10" hidden="1">#REF!</definedName>
    <definedName name="_4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1________________123Graph_ECHART_3" hidden="1">#REF!</definedName>
    <definedName name="_431_____________123Graph_ECHART_2" hidden="1">#REF!</definedName>
    <definedName name="_431__123Graph_ECHART_1" hidden="1">#REF!</definedName>
    <definedName name="_4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2________________123Graph_ECHART_4" hidden="1">#REF!</definedName>
    <definedName name="_432_____________123Graph_ECHART_3" hidden="1">#REF!</definedName>
    <definedName name="_432__123Graph_ECHART_2" hidden="1">#REF!</definedName>
    <definedName name="_432__123Graph_XCHART_11" hidden="1">#REF!</definedName>
    <definedName name="_4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3________________123Graph_ECHART_5" hidden="1">#REF!</definedName>
    <definedName name="_433_____________123Graph_ECHART_4" hidden="1">#REF!</definedName>
    <definedName name="_433__123Graph_ECHART_3" hidden="1">#REF!</definedName>
    <definedName name="_4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4________________123Graph_ECHART_6" hidden="1">#REF!</definedName>
    <definedName name="_434_____________123Graph_ECHART_5" hidden="1">#REF!</definedName>
    <definedName name="_434__123Graph_ACHART_9" hidden="1">#REF!</definedName>
    <definedName name="_434__123Graph_BCHART_18" hidden="1">#REF!</definedName>
    <definedName name="_434__123Graph_ECHART_4" hidden="1">#REF!</definedName>
    <definedName name="_434__123Graph_XCHART_12" hidden="1">#REF!</definedName>
    <definedName name="_4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5________________123Graph_ECHART_7" hidden="1">#REF!</definedName>
    <definedName name="_435_____________123Graph_ECHART_6" hidden="1">#REF!</definedName>
    <definedName name="_435__123Graph_ECHART_5" hidden="1">#REF!</definedName>
    <definedName name="_4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6________________123Graph_ECHART_8" hidden="1">#REF!</definedName>
    <definedName name="_436_____________123Graph_ECHART_7" hidden="1">#REF!</definedName>
    <definedName name="_436__123Graph_ECHART_6" hidden="1">#REF!</definedName>
    <definedName name="_436__123Graph_XCHART_13" hidden="1">#REF!</definedName>
    <definedName name="_4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7________________123Graph_FCHART_1" hidden="1">#REF!</definedName>
    <definedName name="_437_____________123Graph_ECHART_8" hidden="1">#REF!</definedName>
    <definedName name="_437__123Graph_ECHART_7" hidden="1">#REF!</definedName>
    <definedName name="_4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8________________123Graph_FCHART_2" hidden="1">#REF!</definedName>
    <definedName name="_438_____________123Graph_FCHART_1" hidden="1">#REF!</definedName>
    <definedName name="_438__123Graph_ECHART_8" hidden="1">#REF!</definedName>
    <definedName name="_438__123Graph_XCHART_14" hidden="1">#REF!</definedName>
    <definedName name="_4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39________________123Graph_FCHART_3" hidden="1">#REF!</definedName>
    <definedName name="_439_____________123Graph_FCHART_2" hidden="1">#REF!</definedName>
    <definedName name="_439__123Graph_FCHART_1" hidden="1">#REF!</definedName>
    <definedName name="_4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_____________________123Graph_ECHART_1" hidden="1">#REF!</definedName>
    <definedName name="_44__________________123Graph_DCHART_8" hidden="1">#REF!</definedName>
    <definedName name="_44______123Graph_DCHART_7" hidden="1">#REF!</definedName>
    <definedName name="_44______123Graph_DCHART_8" hidden="1">#REF!</definedName>
    <definedName name="_44__123Graph_ACHART_5" hidden="1">#REF!</definedName>
    <definedName name="_44__123Graph_BCHART_2" hidden="1">#REF!</definedName>
    <definedName name="_44__123Graph_CCHART_1" hidden="1">#REF!</definedName>
    <definedName name="_44__123Graph_DCHART_8" hidden="1">#REF!</definedName>
    <definedName name="_44__123Graph_ECHART_3" hidden="1">#REF!</definedName>
    <definedName name="_44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0________________123Graph_FCHART_4" hidden="1">#REF!</definedName>
    <definedName name="_440_____________123Graph_FCHART_3" hidden="1">#REF!</definedName>
    <definedName name="_440__123Graph_BCHART_2" hidden="1">#REF!</definedName>
    <definedName name="_440__123Graph_FCHART_2" hidden="1">#REF!</definedName>
    <definedName name="_440__123Graph_XCHART_15" hidden="1">#REF!</definedName>
    <definedName name="_4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1________________123Graph_FCHART_6" hidden="1">#REF!</definedName>
    <definedName name="_441_____________123Graph_FCHART_4" hidden="1">#REF!</definedName>
    <definedName name="_441__123Graph_BCHART_1" hidden="1">#REF!</definedName>
    <definedName name="_441__123Graph_FCHART_3" hidden="1">#REF!</definedName>
    <definedName name="_4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2________________123Graph_FCHART_7" hidden="1">#REF!</definedName>
    <definedName name="_442_____________123Graph_FCHART_6" hidden="1">#REF!</definedName>
    <definedName name="_442__123Graph_FCHART_4" hidden="1">#REF!</definedName>
    <definedName name="_442__123Graph_XCHART_16" hidden="1">#REF!</definedName>
    <definedName name="_4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3________________123Graph_FCHART_8" hidden="1">#REF!</definedName>
    <definedName name="_443_____________123Graph_FCHART_7" hidden="1">#REF!</definedName>
    <definedName name="_443__123Graph_FCHART_6" hidden="1">#REF!</definedName>
    <definedName name="_4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4________________123Graph_XCHART_1" hidden="1">#REF!</definedName>
    <definedName name="_444_____________123Graph_FCHART_8" hidden="1">#REF!</definedName>
    <definedName name="_444__123Graph_FCHART_7" hidden="1">#REF!</definedName>
    <definedName name="_444__123Graph_XCHART_17" hidden="1">#REF!</definedName>
    <definedName name="_4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5________________123Graph_XCHART_10" hidden="1">#REF!</definedName>
    <definedName name="_445_____________123Graph_XCHART_1" hidden="1">#REF!</definedName>
    <definedName name="_445__123Graph_FCHART_8" hidden="1">#REF!</definedName>
    <definedName name="_4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6________________123Graph_XCHART_11" hidden="1">#REF!</definedName>
    <definedName name="_446_____________123Graph_XCHART_10" hidden="1">#REF!</definedName>
    <definedName name="_446__123Graph_BCHART_3" hidden="1">#REF!</definedName>
    <definedName name="_446__123Graph_XCHART_1" hidden="1">#REF!</definedName>
    <definedName name="_446__123Graph_XCHART_18" hidden="1">#REF!</definedName>
    <definedName name="_4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7________________123Graph_XCHART_12" hidden="1">#REF!</definedName>
    <definedName name="_447_____________123Graph_XCHART_11" hidden="1">#REF!</definedName>
    <definedName name="_447__123Graph_XCHART_10" hidden="1">#REF!</definedName>
    <definedName name="_4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8________________123Graph_XCHART_13" hidden="1">#REF!</definedName>
    <definedName name="_448_____________123Graph_XCHART_12" hidden="1">#REF!</definedName>
    <definedName name="_448__123Graph_BCHART_17" hidden="1">#REF!</definedName>
    <definedName name="_448__123Graph_XCHART_11" hidden="1">#REF!</definedName>
    <definedName name="_448__123Graph_XCHART_2" hidden="1">#REF!</definedName>
    <definedName name="_4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9________________123Graph_XCHART_14" hidden="1">#REF!</definedName>
    <definedName name="_449_____________123Graph_XCHART_13" hidden="1">#REF!</definedName>
    <definedName name="_449__123Graph_XCHART_12" hidden="1">#REF!</definedName>
    <definedName name="_4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4Table2_" hidden="1">#REF!</definedName>
    <definedName name="_45_____________________123Graph_ECHART_2" hidden="1">#REF!</definedName>
    <definedName name="_45__________________123Graph_ECHART_1" hidden="1">#REF!</definedName>
    <definedName name="_45______123Graph_DCHART_8" hidden="1">#REF!</definedName>
    <definedName name="_45______123Graph_ECHART_1" hidden="1">#REF!</definedName>
    <definedName name="_45__123Graph_CCHART_2" hidden="1">#REF!</definedName>
    <definedName name="_45__123Graph_DCHART_4" hidden="1">#REF!</definedName>
    <definedName name="_45__123Graph_ECHART_1" hidden="1">#REF!</definedName>
    <definedName name="_45__123Graph_ECHART_4" hidden="1">#REF!</definedName>
    <definedName name="_45__FDSAUDITLINK__"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_1" localSheetId="1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_1"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0________________123Graph_XCHART_15" hidden="1">#REF!</definedName>
    <definedName name="_450_____________123Graph_XCHART_14" hidden="1">#REF!</definedName>
    <definedName name="_450__123Graph_XCHART_13" hidden="1">#REF!</definedName>
    <definedName name="_450__123Graph_XCHART_3" hidden="1">#REF!</definedName>
    <definedName name="_4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1________________123Graph_XCHART_16" hidden="1">#REF!</definedName>
    <definedName name="_451_____________123Graph_XCHART_15" hidden="1">#REF!</definedName>
    <definedName name="_451__123Graph_XCHART_14" hidden="1">#REF!</definedName>
    <definedName name="_4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2________________123Graph_XCHART_17" hidden="1">#REF!</definedName>
    <definedName name="_452_____________123Graph_XCHART_16" hidden="1">#REF!</definedName>
    <definedName name="_452__123Graph_BCHART_4" hidden="1">#REF!</definedName>
    <definedName name="_452__123Graph_XCHART_15" hidden="1">#REF!</definedName>
    <definedName name="_452__123Graph_XCHART_4" hidden="1">#REF!</definedName>
    <definedName name="_4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3________________123Graph_XCHART_18" hidden="1">#REF!</definedName>
    <definedName name="_453_____________123Graph_XCHART_17" hidden="1">#REF!</definedName>
    <definedName name="_453__123Graph_XCHART_16" hidden="1">#REF!</definedName>
    <definedName name="_4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4________________123Graph_XCHART_2" hidden="1">#REF!</definedName>
    <definedName name="_454_____________123Graph_XCHART_18" hidden="1">#REF!</definedName>
    <definedName name="_454__123Graph_XCHART_17" hidden="1">#REF!</definedName>
    <definedName name="_454__123Graph_XCHART_5" hidden="1">#REF!</definedName>
    <definedName name="_4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5________________123Graph_XCHART_3" hidden="1">#REF!</definedName>
    <definedName name="_455_____________123Graph_XCHART_2" hidden="1">#REF!</definedName>
    <definedName name="_455__123Graph_BCHART_18" hidden="1">#REF!</definedName>
    <definedName name="_455__123Graph_XCHART_18" hidden="1">#REF!</definedName>
    <definedName name="_4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6________________123Graph_XCHART_4" hidden="1">#REF!</definedName>
    <definedName name="_456_____________123Graph_XCHART_3" hidden="1">#REF!</definedName>
    <definedName name="_456__123Graph_XCHART_2" hidden="1">#REF!</definedName>
    <definedName name="_456__123Graph_XCHART_6" hidden="1">#REF!</definedName>
    <definedName name="_4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7________________123Graph_XCHART_5" hidden="1">#REF!</definedName>
    <definedName name="_457_____________123Graph_XCHART_4" hidden="1">#REF!</definedName>
    <definedName name="_457__123Graph_XCHART_3" hidden="1">#REF!</definedName>
    <definedName name="_4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8________________123Graph_XCHART_6" hidden="1">#REF!</definedName>
    <definedName name="_458_____________123Graph_XCHART_5" hidden="1">#REF!</definedName>
    <definedName name="_458__123Graph_BCHART_5" hidden="1">#REF!</definedName>
    <definedName name="_458__123Graph_XCHART_4" hidden="1">#REF!</definedName>
    <definedName name="_458__123Graph_XCHART_7" hidden="1">#REF!</definedName>
    <definedName name="_4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59________________123Graph_XCHART_7" hidden="1">#REF!</definedName>
    <definedName name="_459_____________123Graph_XCHART_6" hidden="1">#REF!</definedName>
    <definedName name="_459__123Graph_XCHART_5" hidden="1">#REF!</definedName>
    <definedName name="_4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_____________________123Graph_ECHART_3" hidden="1">#REF!</definedName>
    <definedName name="_46__________________123Graph_ECHART_2" hidden="1">#REF!</definedName>
    <definedName name="_46______123Graph_ECHART_1" hidden="1">#REF!</definedName>
    <definedName name="_46______123Graph_ECHART_2" hidden="1">#REF!</definedName>
    <definedName name="_46__123Graph_BCHART_3" hidden="1">#REF!</definedName>
    <definedName name="_46__123Graph_ECHART_2" hidden="1">#REF!</definedName>
    <definedName name="_46__123Graph_ECHART_5" hidden="1">#REF!</definedName>
    <definedName name="_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0________________123Graph_XCHART_8" hidden="1">#REF!</definedName>
    <definedName name="_460_____________123Graph_XCHART_7" hidden="1">#REF!</definedName>
    <definedName name="_460__123Graph_XCHART_6" hidden="1">#REF!</definedName>
    <definedName name="_460__123Graph_XCHART_8" hidden="1">#REF!</definedName>
    <definedName name="_4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1________________123Graph_XCHART_9" hidden="1">#REF!</definedName>
    <definedName name="_461_____________123Graph_XCHART_8" hidden="1">#REF!</definedName>
    <definedName name="_461__123Graph_XCHART_7" hidden="1">#REF!</definedName>
    <definedName name="_4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2_____________123Graph_XCHART_9" hidden="1">#REF!</definedName>
    <definedName name="_462__123Graph_BCHART_2" hidden="1">#REF!</definedName>
    <definedName name="_462__123Graph_XCHART_8" hidden="1">#REF!</definedName>
    <definedName name="_462__123Graph_XCHART_9" hidden="1">#REF!</definedName>
    <definedName name="_4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3____________123Graph_ACHART_1" hidden="1">#REF!</definedName>
    <definedName name="_463__123Graph_XCHART_9" hidden="1">#REF!</definedName>
    <definedName name="_4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4____________123Graph_ACHART_10" hidden="1">#REF!</definedName>
    <definedName name="_464__123Graph_BCHART_6" hidden="1">#REF!</definedName>
    <definedName name="_4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5____________123Graph_ACHART_11" hidden="1">#REF!</definedName>
    <definedName name="_4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6____________123Graph_ACHART_12" hidden="1">#REF!</definedName>
    <definedName name="_4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7____________123Graph_ACHART_13" hidden="1">#REF!</definedName>
    <definedName name="_4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8____________123Graph_ACHART_14" hidden="1">#REF!</definedName>
    <definedName name="_4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69____________123Graph_ACHART_15" hidden="1">#REF!</definedName>
    <definedName name="_469__123Graph_BCHART_3" hidden="1">#REF!</definedName>
    <definedName name="_4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_____________________123Graph_ECHART_4" hidden="1">#REF!</definedName>
    <definedName name="_47__________________123Graph_ECHART_3" hidden="1">#REF!</definedName>
    <definedName name="_47______123Graph_ECHART_2" hidden="1">#REF!</definedName>
    <definedName name="_47______123Graph_ECHART_3" hidden="1">#REF!</definedName>
    <definedName name="_47__123Graph_ECHART_3" hidden="1">#REF!</definedName>
    <definedName name="_47__123Graph_FCHART_2" hidden="1">#REF!</definedName>
    <definedName name="_47__FDSAUDITLINK__"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_1" localSheetId="1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_1"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0____________123Graph_ACHART_16" hidden="1">#REF!</definedName>
    <definedName name="_470__123Graph_BCHART_7" hidden="1">#REF!</definedName>
    <definedName name="_4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1____________123Graph_ACHART_17" hidden="1">#REF!</definedName>
    <definedName name="_4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2____________123Graph_ACHART_18" hidden="1">#REF!</definedName>
    <definedName name="_4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3____________123Graph_ACHART_2" hidden="1">#REF!</definedName>
    <definedName name="_4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4____________123Graph_ACHART_3" hidden="1">#REF!</definedName>
    <definedName name="_4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5____________123Graph_ACHART_4" hidden="1">#REF!</definedName>
    <definedName name="_4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6____________123Graph_ACHART_5" hidden="1">#REF!</definedName>
    <definedName name="_476__123Graph_BCHART_4" hidden="1">#REF!</definedName>
    <definedName name="_476__123Graph_BCHART_8" hidden="1">#REF!</definedName>
    <definedName name="_4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7____________123Graph_ACHART_6" hidden="1">#REF!</definedName>
    <definedName name="_4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8____________123Graph_ACHART_7" hidden="1">#REF!</definedName>
    <definedName name="_4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79____________123Graph_ACHART_8" hidden="1">#REF!</definedName>
    <definedName name="_4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_____________________123Graph_ECHART_5" hidden="1">#REF!</definedName>
    <definedName name="_48__________________123Graph_ECHART_4" hidden="1">#REF!</definedName>
    <definedName name="_48______123Graph_ECHART_3" hidden="1">#REF!</definedName>
    <definedName name="_48______123Graph_ECHART_4" hidden="1">#REF!</definedName>
    <definedName name="_48__123Graph_BCHART_4" hidden="1">#REF!</definedName>
    <definedName name="_48__123Graph_DCHART_1" hidden="1">#REF!</definedName>
    <definedName name="_48__123Graph_DCHART_5" hidden="1">#REF!</definedName>
    <definedName name="_48__123Graph_ECHART_4" hidden="1">#REF!</definedName>
    <definedName name="_48__123Graph_FCHART_3" hidden="1">#REF!</definedName>
    <definedName name="_48__FDSAUDITLINK__"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_1" localSheetId="1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_1"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0____________123Graph_ACHART_9" hidden="1">#REF!</definedName>
    <definedName name="_4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1____________123Graph_BCHART_1" hidden="1">#REF!</definedName>
    <definedName name="_4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2____________123Graph_BCHART_17" hidden="1">#REF!</definedName>
    <definedName name="_482__123Graph_CCHART_1" hidden="1">#REF!</definedName>
    <definedName name="_4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3____________123Graph_BCHART_18" hidden="1">#REF!</definedName>
    <definedName name="_483__123Graph_BCHART_5" hidden="1">#REF!</definedName>
    <definedName name="_4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4____________123Graph_BCHART_2" hidden="1">#REF!</definedName>
    <definedName name="_4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5____________123Graph_BCHART_3" hidden="1">#REF!</definedName>
    <definedName name="_4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6____________123Graph_BCHART_4" hidden="1">#REF!</definedName>
    <definedName name="_4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7____________123Graph_BCHART_5" hidden="1">#REF!</definedName>
    <definedName name="_4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8____________123Graph_BCHART_6" hidden="1">#REF!</definedName>
    <definedName name="_488__123Graph_CCHART_2" hidden="1">#REF!</definedName>
    <definedName name="_4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89____________123Graph_BCHART_7" hidden="1">#REF!</definedName>
    <definedName name="_4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_____________________123Graph_ECHART_6" hidden="1">#REF!</definedName>
    <definedName name="_49__________________123Graph_ECHART_5" hidden="1">#REF!</definedName>
    <definedName name="_49______123Graph_ECHART_4" hidden="1">#REF!</definedName>
    <definedName name="_49______123Graph_ECHART_5" hidden="1">#REF!</definedName>
    <definedName name="_49__123Graph_ECHART_1" hidden="1">#REF!</definedName>
    <definedName name="_49__123Graph_ECHART_5" hidden="1">#REF!</definedName>
    <definedName name="_49__123Graph_FCHART_4" hidden="1">#REF!</definedName>
    <definedName name="_49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0____________123Graph_BCHART_8" hidden="1">#REF!</definedName>
    <definedName name="_490__123Graph_BCHART_6" hidden="1">#REF!</definedName>
    <definedName name="_4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1____________123Graph_CCHART_1" hidden="1">#REF!</definedName>
    <definedName name="_4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2____________123Graph_CCHART_2" hidden="1">#REF!</definedName>
    <definedName name="_4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3____________123Graph_CCHART_3" hidden="1">#REF!</definedName>
    <definedName name="_4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4____________123Graph_CCHART_4" hidden="1">#REF!</definedName>
    <definedName name="_494__123Graph_CCHART_3" hidden="1">#REF!</definedName>
    <definedName name="_4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5____________123Graph_CCHART_5" hidden="1">#REF!</definedName>
    <definedName name="_4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6____________123Graph_CCHART_6" hidden="1">#REF!</definedName>
    <definedName name="_4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7____________123Graph_CCHART_7" hidden="1">#REF!</definedName>
    <definedName name="_497__123Graph_BCHART_7" hidden="1">#REF!</definedName>
    <definedName name="_4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8____________123Graph_CCHART_8" hidden="1">#REF!</definedName>
    <definedName name="_4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99____________123Graph_DCHART_1" hidden="1">#REF!</definedName>
    <definedName name="_4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4Table2_" hidden="1">#REF!</definedName>
    <definedName name="_5" localSheetId="10" hidden="1">{#N/A,#N/A,FALSE,"Title";#N/A,#N/A,FALSE,"Index";#N/A,#N/A,FALSE,"1";#N/A,#N/A,FALSE,"2";#N/A,#N/A,FALSE,"3";#N/A,#N/A,FALSE,"4";#N/A,#N/A,FALSE,"5";#N/A,#N/A,FALSE,"6";#N/A,#N/A,FALSE,"7";#N/A,#N/A,FALSE,"8"}</definedName>
    <definedName name="_5" hidden="1">{#N/A,#N/A,FALSE,"Title";#N/A,#N/A,FALSE,"Index";#N/A,#N/A,FALSE,"1";#N/A,#N/A,FALSE,"2";#N/A,#N/A,FALSE,"3";#N/A,#N/A,FALSE,"4";#N/A,#N/A,FALSE,"5";#N/A,#N/A,FALSE,"6";#N/A,#N/A,FALSE,"7";#N/A,#N/A,FALSE,"8"}</definedName>
    <definedName name="_5_____________________123Graph_ACHART_13" hidden="1">#REF!</definedName>
    <definedName name="_5__________________123Graph_ACHART_13" hidden="1">#REF!</definedName>
    <definedName name="_5______123Graph_ACHART_12" hidden="1">#REF!</definedName>
    <definedName name="_5______123Graph_ACHART_13" hidden="1">#REF!</definedName>
    <definedName name="_5___123Graph_BCHART_2" hidden="1">#REF!</definedName>
    <definedName name="_5__123Graph_ACHART_13" hidden="1">#REF!</definedName>
    <definedName name="_5__123Graph_ACHART_2" hidden="1">#REF!</definedName>
    <definedName name="_5__123Graph_ACHART_4" localSheetId="10" hidden="1">#REF!</definedName>
    <definedName name="_5__123Graph_ACHART_4" localSheetId="9" hidden="1">#REF!</definedName>
    <definedName name="_5__123Graph_ACHART_4" localSheetId="8" hidden="1">#REF!</definedName>
    <definedName name="_5__123Graph_ACHART_4" localSheetId="16" hidden="1">#REF!</definedName>
    <definedName name="_5__123Graph_ACHART_4" hidden="1">#REF!</definedName>
    <definedName name="_5__123Graph_BCHART_1" localSheetId="10" hidden="1">#REF!</definedName>
    <definedName name="_5__123Graph_BCHART_1" localSheetId="9" hidden="1">#REF!</definedName>
    <definedName name="_5__123Graph_BCHART_1" localSheetId="8" hidden="1">#REF!</definedName>
    <definedName name="_5__123Graph_BCHART_1" localSheetId="16" hidden="1">#REF!</definedName>
    <definedName name="_5__123Graph_BCHART_1" hidden="1">#REF!</definedName>
    <definedName name="_5__123Graph_BCHART_2" hidden="1">#REF!</definedName>
    <definedName name="_5__123Graph_FCHART_1" hidden="1">#REF!</definedName>
    <definedName name="_5__FDSAUDITLINK__" localSheetId="10"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1" localSheetId="10" hidden="1">{#N/A,#N/A,FALSE,"Title";#N/A,#N/A,FALSE,"Index";#N/A,#N/A,FALSE,"1";#N/A,#N/A,FALSE,"2";#N/A,#N/A,FALSE,"3";#N/A,#N/A,FALSE,"4";#N/A,#N/A,FALSE,"5";#N/A,#N/A,FALSE,"6";#N/A,#N/A,FALSE,"7";#N/A,#N/A,FALSE,"8"}</definedName>
    <definedName name="_5_1" hidden="1">{#N/A,#N/A,FALSE,"Title";#N/A,#N/A,FALSE,"Index";#N/A,#N/A,FALSE,"1";#N/A,#N/A,FALSE,"2";#N/A,#N/A,FALSE,"3";#N/A,#N/A,FALSE,"4";#N/A,#N/A,FALSE,"5";#N/A,#N/A,FALSE,"6";#N/A,#N/A,FALSE,"7";#N/A,#N/A,FALSE,"8"}</definedName>
    <definedName name="_5_12" localSheetId="10">#REF!</definedName>
    <definedName name="_5_12">#REF!</definedName>
    <definedName name="_50_____________________123Graph_ECHART_7" localSheetId="10" hidden="1">#REF!</definedName>
    <definedName name="_50_____________________123Graph_ECHART_7" hidden="1">#REF!</definedName>
    <definedName name="_50__________________123Graph_ECHART_6" localSheetId="10" hidden="1">#REF!</definedName>
    <definedName name="_50__________________123Graph_ECHART_6" hidden="1">#REF!</definedName>
    <definedName name="_50______123Graph_ECHART_5" hidden="1">#REF!</definedName>
    <definedName name="_50______123Graph_ECHART_6" hidden="1">#REF!</definedName>
    <definedName name="_50__123Graph_BCHART_5" hidden="1">#REF!</definedName>
    <definedName name="_50__123Graph_ECHART_6" hidden="1">#REF!</definedName>
    <definedName name="_50__123Graph_FCHART_1" hidden="1">#REF!</definedName>
    <definedName name="_50__123Graph_FCHART_5" hidden="1">#REF!</definedName>
    <definedName name="_50__FDSAUDITLINK__"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0____________123Graph_DCHART_2" hidden="1">#REF!</definedName>
    <definedName name="_500__123Graph_CCHART_4" hidden="1">#REF!</definedName>
    <definedName name="_5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1_______________123Graph_DCHART_4" hidden="1">#REF!</definedName>
    <definedName name="_501____________123Graph_DCHART_3" hidden="1">#REF!</definedName>
    <definedName name="_5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2____________123Graph_DCHART_4" hidden="1">#REF!</definedName>
    <definedName name="_5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3____________123Graph_DCHART_5" hidden="1">#REF!</definedName>
    <definedName name="_5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4____________123Graph_DCHART_6" hidden="1">#REF!</definedName>
    <definedName name="_504__123Graph_BCHART_8" hidden="1">#REF!</definedName>
    <definedName name="_5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5____________123Graph_DCHART_7" hidden="1">#REF!</definedName>
    <definedName name="_5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6____________123Graph_DCHART_8" hidden="1">#REF!</definedName>
    <definedName name="_506__123Graph_CCHART_5" hidden="1">#REF!</definedName>
    <definedName name="_5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7____________123Graph_ECHART_1" hidden="1">#REF!</definedName>
    <definedName name="_5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8____________123Graph_ECHART_2" hidden="1">#REF!</definedName>
    <definedName name="_5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09____________123Graph_ECHART_3" hidden="1">#REF!</definedName>
    <definedName name="_5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_____________________123Graph_ECHART_8" hidden="1">#REF!</definedName>
    <definedName name="_51__________________123Graph_ECHART_7" hidden="1">#REF!</definedName>
    <definedName name="_51______123Graph_ECHART_6" hidden="1">#REF!</definedName>
    <definedName name="_51______123Graph_ECHART_7" hidden="1">#REF!</definedName>
    <definedName name="_51__123Graph_ECHART_2" hidden="1">#REF!</definedName>
    <definedName name="_51__123Graph_ECHART_7" hidden="1">#REF!</definedName>
    <definedName name="_51__123Graph_LBL_ACHART_2" hidden="1">#REF!</definedName>
    <definedName name="_51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0____________123Graph_ECHART_4" hidden="1">#REF!</definedName>
    <definedName name="_5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1____________123Graph_ECHART_5" hidden="1">#REF!</definedName>
    <definedName name="_511__123Graph_CCHART_1" hidden="1">#REF!</definedName>
    <definedName name="_5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2____________123Graph_ECHART_6" hidden="1">#REF!</definedName>
    <definedName name="_512__123Graph_CCHART_6" hidden="1">#REF!</definedName>
    <definedName name="_5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3____________123Graph_ECHART_7" hidden="1">#REF!</definedName>
    <definedName name="_5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4____________123Graph_ECHART_8" hidden="1">#REF!</definedName>
    <definedName name="_5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5____________123Graph_FCHART_1" hidden="1">#REF!</definedName>
    <definedName name="_5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6____________123Graph_FCHART_2" hidden="1">#REF!</definedName>
    <definedName name="_5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7____________123Graph_FCHART_3" hidden="1">#REF!</definedName>
    <definedName name="_5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8____________123Graph_FCHART_4" hidden="1">#REF!</definedName>
    <definedName name="_518__123Graph_CCHART_2" hidden="1">#REF!</definedName>
    <definedName name="_518__123Graph_CCHART_7" hidden="1">#REF!</definedName>
    <definedName name="_5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19____________123Graph_FCHART_6" hidden="1">#REF!</definedName>
    <definedName name="_5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_____________________123Graph_FCHART_1" hidden="1">#REF!</definedName>
    <definedName name="_52__________________123Graph_ECHART_8" hidden="1">#REF!</definedName>
    <definedName name="_52______123Graph_ECHART_7" hidden="1">#REF!</definedName>
    <definedName name="_52______123Graph_ECHART_8" hidden="1">#REF!</definedName>
    <definedName name="_52__123Graph_BCHART_6" hidden="1">#REF!</definedName>
    <definedName name="_52__123Graph_ECHART_8" hidden="1">#REF!</definedName>
    <definedName name="_52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0____________123Graph_FCHART_7" hidden="1">#REF!</definedName>
    <definedName name="_5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1____________123Graph_FCHART_8" hidden="1">#REF!</definedName>
    <definedName name="_5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2____________123Graph_XCHART_1" hidden="1">#REF!</definedName>
    <definedName name="_5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3____________123Graph_XCHART_10" hidden="1">#REF!</definedName>
    <definedName name="_5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4____________123Graph_XCHART_11" hidden="1">#REF!</definedName>
    <definedName name="_524__123Graph_CCHART_8" hidden="1">#REF!</definedName>
    <definedName name="_5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5____________123Graph_XCHART_12" hidden="1">#REF!</definedName>
    <definedName name="_525__123Graph_CCHART_3" hidden="1">#REF!</definedName>
    <definedName name="_5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6____________123Graph_XCHART_13" hidden="1">#REF!</definedName>
    <definedName name="_5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7____________123Graph_XCHART_14" hidden="1">#REF!</definedName>
    <definedName name="_5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8____________123Graph_XCHART_15" hidden="1">#REF!</definedName>
    <definedName name="_5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29____________123Graph_XCHART_16" hidden="1">#REF!</definedName>
    <definedName name="_5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_____________________123Graph_FCHART_2" hidden="1">#REF!</definedName>
    <definedName name="_53__________________123Graph_FCHART_1" hidden="1">#REF!</definedName>
    <definedName name="_53______123Graph_ECHART_8" hidden="1">#REF!</definedName>
    <definedName name="_53______123Graph_FCHART_1" hidden="1">#REF!</definedName>
    <definedName name="_53__123Graph_FCHART_1" hidden="1">#REF!</definedName>
    <definedName name="_53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0____________123Graph_XCHART_17" hidden="1">#REF!</definedName>
    <definedName name="_530__123Graph_DCHART_1" hidden="1">#REF!</definedName>
    <definedName name="_5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1____________123Graph_XCHART_18" hidden="1">#REF!</definedName>
    <definedName name="_5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2____________123Graph_XCHART_2" hidden="1">#REF!</definedName>
    <definedName name="_532__123Graph_CCHART_4" hidden="1">#REF!</definedName>
    <definedName name="_5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3____________123Graph_XCHART_3" hidden="1">#REF!</definedName>
    <definedName name="_5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4____________123Graph_XCHART_4" hidden="1">#REF!</definedName>
    <definedName name="_5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5____________123Graph_XCHART_5" hidden="1">#REF!</definedName>
    <definedName name="_5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6____________123Graph_XCHART_6" hidden="1">#REF!</definedName>
    <definedName name="_536__123Graph_DCHART_2" hidden="1">#REF!</definedName>
    <definedName name="_5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7____________123Graph_XCHART_7" hidden="1">#REF!</definedName>
    <definedName name="_5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8____________123Graph_XCHART_8" hidden="1">#REF!</definedName>
    <definedName name="_5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39______________123Graph_ACHART_1" hidden="1">#REF!</definedName>
    <definedName name="_539____________123Graph_XCHART_9" hidden="1">#REF!</definedName>
    <definedName name="_539__123Graph_CCHART_5" hidden="1">#REF!</definedName>
    <definedName name="_5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_____________________123Graph_FCHART_3" hidden="1">#REF!</definedName>
    <definedName name="_54__________________123Graph_FCHART_2" hidden="1">#REF!</definedName>
    <definedName name="_54______123Graph_FCHART_1" hidden="1">#REF!</definedName>
    <definedName name="_54______123Graph_FCHART_2" hidden="1">#REF!</definedName>
    <definedName name="_54__123Graph_BCHART_7" hidden="1">#REF!</definedName>
    <definedName name="_54__123Graph_ECHART_3" hidden="1">#REF!</definedName>
    <definedName name="_54__123Graph_FCHART_2" hidden="1">#REF!</definedName>
    <definedName name="_54__123Graph_LBL_ACHART_4" hidden="1">#REF!</definedName>
    <definedName name="_54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0______________123Graph_ACHART_10" hidden="1">#REF!</definedName>
    <definedName name="_540___________123Graph_ACHART_1" hidden="1">#REF!</definedName>
    <definedName name="_5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1______________123Graph_ACHART_11" hidden="1">#REF!</definedName>
    <definedName name="_541___________123Graph_ACHART_10" hidden="1">#REF!</definedName>
    <definedName name="_5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2______________123Graph_ACHART_12" hidden="1">#REF!</definedName>
    <definedName name="_542___________123Graph_ACHART_11" hidden="1">#REF!</definedName>
    <definedName name="_542__123Graph_DCHART_3" hidden="1">#REF!</definedName>
    <definedName name="_5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3______________123Graph_ACHART_13" hidden="1">#REF!</definedName>
    <definedName name="_543___________123Graph_ACHART_12" hidden="1">#REF!</definedName>
    <definedName name="_5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4______________123Graph_ACHART_14" hidden="1">#REF!</definedName>
    <definedName name="_544___________123Graph_ACHART_13" hidden="1">#REF!</definedName>
    <definedName name="_5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5______________123Graph_ACHART_15" hidden="1">#REF!</definedName>
    <definedName name="_545___________123Graph_ACHART_14" hidden="1">#REF!</definedName>
    <definedName name="_5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6______________123Graph_ACHART_16" hidden="1">#REF!</definedName>
    <definedName name="_546___________123Graph_ACHART_15" hidden="1">#REF!</definedName>
    <definedName name="_546__123Graph_CCHART_6" hidden="1">#REF!</definedName>
    <definedName name="_5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7______________123Graph_ACHART_17" hidden="1">#REF!</definedName>
    <definedName name="_547___________123Graph_ACHART_16" hidden="1">#REF!</definedName>
    <definedName name="_5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8______________123Graph_ACHART_18" hidden="1">#REF!</definedName>
    <definedName name="_548___________123Graph_ACHART_17" hidden="1">#REF!</definedName>
    <definedName name="_548__123Graph_DCHART_4" hidden="1">#REF!</definedName>
    <definedName name="_5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49______________123Graph_ACHART_2" hidden="1">#REF!</definedName>
    <definedName name="_549___________123Graph_ACHART_18" hidden="1">#REF!</definedName>
    <definedName name="_5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_____________________123Graph_FCHART_4" hidden="1">#REF!</definedName>
    <definedName name="_55__________________123Graph_FCHART_3" hidden="1">#REF!</definedName>
    <definedName name="_55______123Graph_FCHART_2" hidden="1">#REF!</definedName>
    <definedName name="_55______123Graph_FCHART_3" hidden="1">#REF!</definedName>
    <definedName name="_55__123Graph_BCHART_2" hidden="1">#REF!</definedName>
    <definedName name="_55__123Graph_FCHART_3" hidden="1">#REF!</definedName>
    <definedName name="_55__123Graph_LBL_BCHART_2" hidden="1">#REF!</definedName>
    <definedName name="_55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0______________123Graph_ACHART_3" hidden="1">#REF!</definedName>
    <definedName name="_550___________123Graph_ACHART_2" hidden="1">#REF!</definedName>
    <definedName name="_5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1______________123Graph_ACHART_4" hidden="1">#REF!</definedName>
    <definedName name="_551___________123Graph_ACHART_3" hidden="1">#REF!</definedName>
    <definedName name="_5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2______________123Graph_ACHART_5" hidden="1">#REF!</definedName>
    <definedName name="_552___________123Graph_ACHART_4" hidden="1">#REF!</definedName>
    <definedName name="_5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3______________123Graph_ACHART_6" hidden="1">#REF!</definedName>
    <definedName name="_553___________123Graph_ACHART_5" hidden="1">#REF!</definedName>
    <definedName name="_553__123Graph_CCHART_7" hidden="1">#REF!</definedName>
    <definedName name="_5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4______________123Graph_ACHART_7" hidden="1">#REF!</definedName>
    <definedName name="_554___________123Graph_ACHART_6" hidden="1">#REF!</definedName>
    <definedName name="_554__123Graph_DCHART_5" hidden="1">#REF!</definedName>
    <definedName name="_5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5______________123Graph_ACHART_8" hidden="1">#REF!</definedName>
    <definedName name="_555___________123Graph_ACHART_7" hidden="1">#REF!</definedName>
    <definedName name="_5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6______________123Graph_ACHART_9" hidden="1">#REF!</definedName>
    <definedName name="_556___________123Graph_ACHART_8" hidden="1">#REF!</definedName>
    <definedName name="_5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7______________123Graph_BCHART_1" hidden="1">#REF!</definedName>
    <definedName name="_557___________123Graph_ACHART_9" hidden="1">#REF!</definedName>
    <definedName name="_5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8______________123Graph_BCHART_17" hidden="1">#REF!</definedName>
    <definedName name="_558___________123Graph_BCHART_1" hidden="1">#REF!</definedName>
    <definedName name="_5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59______________123Graph_BCHART_18" hidden="1">#REF!</definedName>
    <definedName name="_559___________123Graph_BCHART_17" hidden="1">#REF!</definedName>
    <definedName name="_5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_____________________123Graph_FCHART_6" hidden="1">#REF!</definedName>
    <definedName name="_56__________________123Graph_FCHART_4" hidden="1">#REF!</definedName>
    <definedName name="_56______123Graph_FCHART_3" hidden="1">#REF!</definedName>
    <definedName name="_56______123Graph_FCHART_4" hidden="1">#REF!</definedName>
    <definedName name="_56__123Graph_BCHART_8" hidden="1">#REF!</definedName>
    <definedName name="_56__123Graph_FCHART_4" hidden="1">#REF!</definedName>
    <definedName name="_56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0______________123Graph_BCHART_2" hidden="1">#REF!</definedName>
    <definedName name="_560___________123Graph_BCHART_18" hidden="1">#REF!</definedName>
    <definedName name="_560__123Graph_CCHART_8" hidden="1">#REF!</definedName>
    <definedName name="_560__123Graph_DCHART_6" hidden="1">#REF!</definedName>
    <definedName name="_5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1______________123Graph_BCHART_3" hidden="1">#REF!</definedName>
    <definedName name="_561___________123Graph_BCHART_2" hidden="1">#REF!</definedName>
    <definedName name="_5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2______________123Graph_BCHART_4" hidden="1">#REF!</definedName>
    <definedName name="_562___________123Graph_BCHART_3" hidden="1">#REF!</definedName>
    <definedName name="_5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3______________123Graph_BCHART_5" hidden="1">#REF!</definedName>
    <definedName name="_563___________123Graph_BCHART_4" hidden="1">#REF!</definedName>
    <definedName name="_5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4______________123Graph_BCHART_6" hidden="1">#REF!</definedName>
    <definedName name="_564___________123Graph_BCHART_5" hidden="1">#REF!</definedName>
    <definedName name="_5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5______________123Graph_BCHART_7" hidden="1">#REF!</definedName>
    <definedName name="_565___________123Graph_BCHART_6" hidden="1">#REF!</definedName>
    <definedName name="_5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6______________123Graph_BCHART_8" hidden="1">#REF!</definedName>
    <definedName name="_566___________123Graph_BCHART_7" hidden="1">#REF!</definedName>
    <definedName name="_566__123Graph_DCHART_7" hidden="1">#REF!</definedName>
    <definedName name="_5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7______________123Graph_CCHART_1" hidden="1">#REF!</definedName>
    <definedName name="_567___________123Graph_BCHART_8" hidden="1">#REF!</definedName>
    <definedName name="_567__123Graph_DCHART_1" hidden="1">#REF!</definedName>
    <definedName name="_5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8______________123Graph_CCHART_2" hidden="1">#REF!</definedName>
    <definedName name="_568___________123Graph_CCHART_1" hidden="1">#REF!</definedName>
    <definedName name="_5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69______________123Graph_CCHART_3" hidden="1">#REF!</definedName>
    <definedName name="_569___________123Graph_CCHART_2" hidden="1">#REF!</definedName>
    <definedName name="_5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_____________________123Graph_FCHART_7" hidden="1">#REF!</definedName>
    <definedName name="_57__________________123Graph_FCHART_6" hidden="1">#REF!</definedName>
    <definedName name="_57______123Graph_FCHART_4" hidden="1">#REF!</definedName>
    <definedName name="_57______123Graph_FCHART_6" hidden="1">#REF!</definedName>
    <definedName name="_57__123Graph_ECHART_4" hidden="1">#REF!</definedName>
    <definedName name="_57__123Graph_FCHART_6" hidden="1">#REF!</definedName>
    <definedName name="_57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0______________123Graph_CCHART_4" hidden="1">#REF!</definedName>
    <definedName name="_570___________123Graph_CCHART_3" hidden="1">#REF!</definedName>
    <definedName name="_5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1______________123Graph_CCHART_5" hidden="1">#REF!</definedName>
    <definedName name="_571___________123Graph_CCHART_4" hidden="1">#REF!</definedName>
    <definedName name="_5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2______________123Graph_CCHART_6" hidden="1">#REF!</definedName>
    <definedName name="_572___________123Graph_CCHART_5" hidden="1">#REF!</definedName>
    <definedName name="_572__123Graph_DCHART_8" hidden="1">#REF!</definedName>
    <definedName name="_5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3______________123Graph_CCHART_7" hidden="1">#REF!</definedName>
    <definedName name="_573___________123Graph_CCHART_6" hidden="1">#REF!</definedName>
    <definedName name="_5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4______________123Graph_CCHART_8" hidden="1">#REF!</definedName>
    <definedName name="_574___________123Graph_CCHART_7" hidden="1">#REF!</definedName>
    <definedName name="_574__123Graph_DCHART_2" hidden="1">#REF!</definedName>
    <definedName name="_5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5______________123Graph_DCHART_1" hidden="1">#REF!</definedName>
    <definedName name="_575___________123Graph_CCHART_8" hidden="1">#REF!</definedName>
    <definedName name="_5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6______________123Graph_DCHART_2" hidden="1">#REF!</definedName>
    <definedName name="_576___________123Graph_DCHART_1" hidden="1">#REF!</definedName>
    <definedName name="_5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7______________123Graph_DCHART_3" hidden="1">#REF!</definedName>
    <definedName name="_577___________123Graph_DCHART_2" hidden="1">#REF!</definedName>
    <definedName name="_5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8___________123Graph_DCHART_3" hidden="1">#REF!</definedName>
    <definedName name="_578__123Graph_ECHART_1" hidden="1">#REF!</definedName>
    <definedName name="_5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79______________123Graph_DCHART_5" hidden="1">#REF!</definedName>
    <definedName name="_579___________123Graph_DCHART_4" hidden="1">#REF!</definedName>
    <definedName name="_5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_____________________123Graph_FCHART_8" hidden="1">#REF!</definedName>
    <definedName name="_58__________________123Graph_FCHART_7" hidden="1">#REF!</definedName>
    <definedName name="_58______123Graph_FCHART_6" hidden="1">#REF!</definedName>
    <definedName name="_58______123Graph_FCHART_7" hidden="1">#REF!</definedName>
    <definedName name="_58__123Graph_CCHART_1" hidden="1">#REF!</definedName>
    <definedName name="_58__123Graph_FCHART_7" hidden="1">#REF!</definedName>
    <definedName name="_58__123Graph_LBL_CCHART_2" hidden="1">#REF!</definedName>
    <definedName name="_58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0______________123Graph_DCHART_6" hidden="1">#REF!</definedName>
    <definedName name="_580___________123Graph_DCHART_5" hidden="1">#REF!</definedName>
    <definedName name="_5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1______________123Graph_DCHART_7" hidden="1">#REF!</definedName>
    <definedName name="_581___________123Graph_DCHART_6" hidden="1">#REF!</definedName>
    <definedName name="_581__123Graph_DCHART_3" hidden="1">#REF!</definedName>
    <definedName name="_5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2______________123Graph_DCHART_8" hidden="1">#REF!</definedName>
    <definedName name="_582___________123Graph_DCHART_7" hidden="1">#REF!</definedName>
    <definedName name="_5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3______________123Graph_ECHART_1" hidden="1">#REF!</definedName>
    <definedName name="_583___________123Graph_DCHART_8" hidden="1">#REF!</definedName>
    <definedName name="_5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4______________123Graph_ECHART_2" hidden="1">#REF!</definedName>
    <definedName name="_584___________123Graph_ECHART_1" hidden="1">#REF!</definedName>
    <definedName name="_584__123Graph_ECHART_2" hidden="1">#REF!</definedName>
    <definedName name="_5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5______________123Graph_ECHART_3" hidden="1">#REF!</definedName>
    <definedName name="_585___________123Graph_ECHART_2" hidden="1">#REF!</definedName>
    <definedName name="_5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6______________123Graph_ECHART_4" hidden="1">#REF!</definedName>
    <definedName name="_586___________123Graph_ECHART_3" hidden="1">#REF!</definedName>
    <definedName name="_5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7______________123Graph_ECHART_5" hidden="1">#REF!</definedName>
    <definedName name="_587___________123Graph_ECHART_4" hidden="1">#REF!</definedName>
    <definedName name="_5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8______________123Graph_ECHART_6" hidden="1">#REF!</definedName>
    <definedName name="_588___________123Graph_ECHART_5" hidden="1">#REF!</definedName>
    <definedName name="_588__123Graph_DCHART_4" hidden="1">#REF!</definedName>
    <definedName name="_5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89______________123Graph_ECHART_7" hidden="1">#REF!</definedName>
    <definedName name="_589___________123Graph_ECHART_6" hidden="1">#REF!</definedName>
    <definedName name="_5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_____________________123Graph_XCHART_1" hidden="1">#REF!</definedName>
    <definedName name="_59__________________123Graph_FCHART_8" hidden="1">#REF!</definedName>
    <definedName name="_59______123Graph_FCHART_7" hidden="1">#REF!</definedName>
    <definedName name="_59______123Graph_FCHART_8" hidden="1">#REF!</definedName>
    <definedName name="_59__123Graph_FCHART_8" hidden="1">#REF!</definedName>
    <definedName name="_59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0______________123Graph_ECHART_8" hidden="1">#REF!</definedName>
    <definedName name="_590___________123Graph_ECHART_7" hidden="1">#REF!</definedName>
    <definedName name="_590__123Graph_ECHART_3" hidden="1">#REF!</definedName>
    <definedName name="_5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1______________123Graph_FCHART_1" hidden="1">#REF!</definedName>
    <definedName name="_591___________123Graph_ECHART_8" hidden="1">#REF!</definedName>
    <definedName name="_5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2______________123Graph_FCHART_2" hidden="1">#REF!</definedName>
    <definedName name="_592___________123Graph_FCHART_1" hidden="1">#REF!</definedName>
    <definedName name="_5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3______________123Graph_FCHART_3" hidden="1">#REF!</definedName>
    <definedName name="_593___________123Graph_FCHART_2" hidden="1">#REF!</definedName>
    <definedName name="_5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4______________123Graph_FCHART_4" hidden="1">#REF!</definedName>
    <definedName name="_594___________123Graph_FCHART_3" hidden="1">#REF!</definedName>
    <definedName name="_5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5______________123Graph_FCHART_6" hidden="1">#REF!</definedName>
    <definedName name="_595___________123Graph_FCHART_4" hidden="1">#REF!</definedName>
    <definedName name="_595__123Graph_DCHART_5" hidden="1">#REF!</definedName>
    <definedName name="_5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6______________123Graph_FCHART_7" hidden="1">#REF!</definedName>
    <definedName name="_596___________123Graph_FCHART_6" hidden="1">#REF!</definedName>
    <definedName name="_596__123Graph_ECHART_4" hidden="1">#REF!</definedName>
    <definedName name="_5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7______________123Graph_FCHART_8" hidden="1">#REF!</definedName>
    <definedName name="_597___________123Graph_FCHART_7" hidden="1">#REF!</definedName>
    <definedName name="_5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8______________123Graph_XCHART_1" hidden="1">#REF!</definedName>
    <definedName name="_598___________123Graph_FCHART_8" hidden="1">#REF!</definedName>
    <definedName name="_5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599______________123Graph_XCHART_10" hidden="1">#REF!</definedName>
    <definedName name="_599___________123Graph_XCHART_1" hidden="1">#REF!</definedName>
    <definedName name="_5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 localSheetId="10"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___________________123Graph_ACHART_14" hidden="1">#REF!</definedName>
    <definedName name="_6__________________123Graph_ACHART_14" hidden="1">#REF!</definedName>
    <definedName name="_6______123Graph_ACHART_13" hidden="1">#REF!</definedName>
    <definedName name="_6______123Graph_ACHART_14" hidden="1">#REF!</definedName>
    <definedName name="_6___123Graph_BCHART_3" hidden="1">#REF!</definedName>
    <definedName name="_6__123Graph_ACHART_11" hidden="1">#REF!</definedName>
    <definedName name="_6__123Graph_ACHART_14" hidden="1">#REF!</definedName>
    <definedName name="_6__123Graph_ACHART_3" hidden="1">#REF!</definedName>
    <definedName name="_6__123Graph_ACHART_8" localSheetId="10" hidden="1">#REF!</definedName>
    <definedName name="_6__123Graph_ACHART_8" localSheetId="9" hidden="1">#REF!</definedName>
    <definedName name="_6__123Graph_ACHART_8" localSheetId="8" hidden="1">#REF!</definedName>
    <definedName name="_6__123Graph_ACHART_8" localSheetId="16" hidden="1">#REF!</definedName>
    <definedName name="_6__123Graph_ACHART_8" hidden="1">#REF!</definedName>
    <definedName name="_6__123Graph_BCHART_2" hidden="1">#REF!</definedName>
    <definedName name="_6__123Graph_BCHART_3" localSheetId="10" hidden="1">#REF!</definedName>
    <definedName name="_6__123Graph_BCHART_3" localSheetId="9" hidden="1">#REF!</definedName>
    <definedName name="_6__123Graph_BCHART_3" localSheetId="8" hidden="1">#REF!</definedName>
    <definedName name="_6__123Graph_BCHART_3" localSheetId="16" hidden="1">#REF!</definedName>
    <definedName name="_6__123Graph_BCHART_3" hidden="1">#REF!</definedName>
    <definedName name="_6__123Graph_FCHART_4" hidden="1">#REF!</definedName>
    <definedName name="_6__FDSAUDITLINK__" localSheetId="10"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0Swvu.Pag" hidden="1">#REF!</definedName>
    <definedName name="_6_1" localSheetId="10" hidden="1">{#N/A,#N/A,FALSE,"Title";#N/A,#N/A,FALSE,"Index";#N/A,#N/A,FALSE,"1";#N/A,#N/A,FALSE,"2";#N/A,#N/A,FALSE,"3";#N/A,#N/A,FALSE,"4";#N/A,#N/A,FALSE,"5";#N/A,#N/A,FALSE,"5A";#N/A,#N/A,FALSE,"6";#N/A,#N/A,FALSE,"7";#N/A,#N/A,FALSE,"8"}</definedName>
    <definedName name="_6_1" hidden="1">{#N/A,#N/A,FALSE,"Title";#N/A,#N/A,FALSE,"Index";#N/A,#N/A,FALSE,"1";#N/A,#N/A,FALSE,"2";#N/A,#N/A,FALSE,"3";#N/A,#N/A,FALSE,"4";#N/A,#N/A,FALSE,"5";#N/A,#N/A,FALSE,"5A";#N/A,#N/A,FALSE,"6";#N/A,#N/A,FALSE,"7";#N/A,#N/A,FALSE,"8"}</definedName>
    <definedName name="_6_13" localSheetId="10">#REF!</definedName>
    <definedName name="_6_13">#REF!</definedName>
    <definedName name="_60_____________________123Graph_XCHART_10" localSheetId="10" hidden="1">#REF!</definedName>
    <definedName name="_60_____________________123Graph_XCHART_10" hidden="1">#REF!</definedName>
    <definedName name="_60__________________123Graph_XCHART_1" localSheetId="10" hidden="1">#REF!</definedName>
    <definedName name="_60__________________123Graph_XCHART_1" hidden="1">#REF!</definedName>
    <definedName name="_60______123Graph_FCHART_8" hidden="1">#REF!</definedName>
    <definedName name="_60______123Graph_XCHART_1" hidden="1">#REF!</definedName>
    <definedName name="_60__123Graph_CCHART_2" hidden="1">#REF!</definedName>
    <definedName name="_60__123Graph_ECHART_5" hidden="1">#REF!</definedName>
    <definedName name="_60__123Graph_XCHART_1" hidden="1">#REF!</definedName>
    <definedName name="_60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0______________123Graph_XCHART_11" hidden="1">#REF!</definedName>
    <definedName name="_600___________123Graph_XCHART_10" hidden="1">#REF!</definedName>
    <definedName name="_6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1______________123Graph_XCHART_12" hidden="1">#REF!</definedName>
    <definedName name="_601___________123Graph_XCHART_11" hidden="1">#REF!</definedName>
    <definedName name="_6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2______________123Graph_XCHART_13" hidden="1">#REF!</definedName>
    <definedName name="_602___________123Graph_XCHART_12" hidden="1">#REF!</definedName>
    <definedName name="_602__123Graph_DCHART_6" hidden="1">#REF!</definedName>
    <definedName name="_602__123Graph_ECHART_5" hidden="1">#REF!</definedName>
    <definedName name="_6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3______________123Graph_XCHART_14" hidden="1">#REF!</definedName>
    <definedName name="_603___________123Graph_XCHART_13" hidden="1">#REF!</definedName>
    <definedName name="_6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4______________123Graph_XCHART_15" hidden="1">#REF!</definedName>
    <definedName name="_604___________123Graph_XCHART_14" hidden="1">#REF!</definedName>
    <definedName name="_6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5______________123Graph_XCHART_16" hidden="1">#REF!</definedName>
    <definedName name="_605___________123Graph_XCHART_15" hidden="1">#REF!</definedName>
    <definedName name="_6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6______________123Graph_XCHART_17" hidden="1">#REF!</definedName>
    <definedName name="_606___________123Graph_XCHART_16" hidden="1">#REF!</definedName>
    <definedName name="_6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7______________123Graph_XCHART_18" hidden="1">#REF!</definedName>
    <definedName name="_607___________123Graph_XCHART_17" hidden="1">#REF!</definedName>
    <definedName name="_6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8______________123Graph_XCHART_2" hidden="1">#REF!</definedName>
    <definedName name="_608___________123Graph_XCHART_18" hidden="1">#REF!</definedName>
    <definedName name="_608__123Graph_ECHART_6" hidden="1">#REF!</definedName>
    <definedName name="_6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09______________123Graph_XCHART_3" hidden="1">#REF!</definedName>
    <definedName name="_609___________123Graph_XCHART_2" hidden="1">#REF!</definedName>
    <definedName name="_609__123Graph_DCHART_7" hidden="1">#REF!</definedName>
    <definedName name="_6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_____________________123Graph_XCHART_11" hidden="1">#REF!</definedName>
    <definedName name="_61__________________123Graph_XCHART_10" hidden="1">#REF!</definedName>
    <definedName name="_61______123Graph_XCHART_1" hidden="1">#REF!</definedName>
    <definedName name="_61______123Graph_XCHART_10" hidden="1">#REF!</definedName>
    <definedName name="_61__123Graph_XCHART_10" hidden="1">#REF!</definedName>
    <definedName name="_61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0______________123Graph_XCHART_4" hidden="1">#REF!</definedName>
    <definedName name="_610___________123Graph_XCHART_3" hidden="1">#REF!</definedName>
    <definedName name="_6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1______________123Graph_XCHART_5" hidden="1">#REF!</definedName>
    <definedName name="_611___________123Graph_XCHART_4" hidden="1">#REF!</definedName>
    <definedName name="_6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2______________123Graph_XCHART_6" hidden="1">#REF!</definedName>
    <definedName name="_612___________123Graph_XCHART_5" hidden="1">#REF!</definedName>
    <definedName name="_6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3______________123Graph_XCHART_7" hidden="1">#REF!</definedName>
    <definedName name="_613___________123Graph_XCHART_6" hidden="1">#REF!</definedName>
    <definedName name="_6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4______________123Graph_XCHART_8" hidden="1">#REF!</definedName>
    <definedName name="_614___________123Graph_XCHART_7" hidden="1">#REF!</definedName>
    <definedName name="_614__123Graph_ECHART_7" hidden="1">#REF!</definedName>
    <definedName name="_6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5______________123Graph_XCHART_9" hidden="1">#REF!</definedName>
    <definedName name="_615___________123Graph_XCHART_8" hidden="1">#REF!</definedName>
    <definedName name="_6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6___________123Graph_XCHART_9" hidden="1">#REF!</definedName>
    <definedName name="_616__123Graph_DCHART_8" hidden="1">#REF!</definedName>
    <definedName name="_6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7__________123Graph_ACHART_1" hidden="1">#REF!</definedName>
    <definedName name="_6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8__________123Graph_ACHART_10" hidden="1">#REF!</definedName>
    <definedName name="_6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19__________123Graph_ACHART_11" hidden="1">#REF!</definedName>
    <definedName name="_6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_____________________123Graph_XCHART_12" hidden="1">#REF!</definedName>
    <definedName name="_62__________________123Graph_XCHART_11" hidden="1">#REF!</definedName>
    <definedName name="_62______123Graph_XCHART_10" hidden="1">#REF!</definedName>
    <definedName name="_62______123Graph_XCHART_11" hidden="1">#REF!</definedName>
    <definedName name="_62__123Graph_CCHART_3" hidden="1">#REF!</definedName>
    <definedName name="_62__123Graph_XCHART_11" hidden="1">#REF!</definedName>
    <definedName name="_62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0__________123Graph_ACHART_12" hidden="1">#REF!</definedName>
    <definedName name="_620__123Graph_ECHART_8" hidden="1">#REF!</definedName>
    <definedName name="_6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1__________123Graph_ACHART_13" hidden="1">#REF!</definedName>
    <definedName name="_6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2__________123Graph_ACHART_14" hidden="1">#REF!</definedName>
    <definedName name="_6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3__________123Graph_ACHART_15" hidden="1">#REF!</definedName>
    <definedName name="_623__123Graph_ECHART_1" hidden="1">#REF!</definedName>
    <definedName name="_6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4__________123Graph_ACHART_16" hidden="1">#REF!</definedName>
    <definedName name="_6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5__________123Graph_ACHART_17" hidden="1">#REF!</definedName>
    <definedName name="_6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6__________123Graph_ACHART_18" hidden="1">#REF!</definedName>
    <definedName name="_626__123Graph_FCHART_1" hidden="1">#REF!</definedName>
    <definedName name="_6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7__________123Graph_ACHART_2" hidden="1">#REF!</definedName>
    <definedName name="_6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8__________123Graph_ACHART_3" hidden="1">#REF!</definedName>
    <definedName name="_6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29__________123Graph_ACHART_4" hidden="1">#REF!</definedName>
    <definedName name="_6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_____________________123Graph_XCHART_13" hidden="1">#REF!</definedName>
    <definedName name="_63__________________123Graph_XCHART_12" hidden="1">#REF!</definedName>
    <definedName name="_63______123Graph_XCHART_11" hidden="1">#REF!</definedName>
    <definedName name="_63______123Graph_XCHART_12" hidden="1">#REF!</definedName>
    <definedName name="_63__123Graph_FCHART_2" hidden="1">#REF!</definedName>
    <definedName name="_63__123Graph_XCHART_12" hidden="1">#REF!</definedName>
    <definedName name="_63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0__________123Graph_ACHART_5" hidden="1">#REF!</definedName>
    <definedName name="_630__123Graph_ECHART_2" hidden="1">#REF!</definedName>
    <definedName name="_6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1__________123Graph_ACHART_6" hidden="1">#REF!</definedName>
    <definedName name="_6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2__________123Graph_ACHART_7" hidden="1">#REF!</definedName>
    <definedName name="_632__123Graph_FCHART_2" hidden="1">#REF!</definedName>
    <definedName name="_6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3__________123Graph_ACHART_8" hidden="1">#REF!</definedName>
    <definedName name="_6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4__________123Graph_ACHART_9" hidden="1">#REF!</definedName>
    <definedName name="_6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5__________123Graph_BCHART_1" hidden="1">#REF!</definedName>
    <definedName name="_6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6__________123Graph_BCHART_17" hidden="1">#REF!</definedName>
    <definedName name="_6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7__________123Graph_BCHART_18" hidden="1">#REF!</definedName>
    <definedName name="_637__123Graph_ECHART_3" hidden="1">#REF!</definedName>
    <definedName name="_6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8__________123Graph_BCHART_2" hidden="1">#REF!</definedName>
    <definedName name="_638__123Graph_FCHART_3" hidden="1">#REF!</definedName>
    <definedName name="_6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39__________123Graph_BCHART_3" hidden="1">#REF!</definedName>
    <definedName name="_6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_____________________123Graph_XCHART_14" hidden="1">#REF!</definedName>
    <definedName name="_64__________________123Graph_XCHART_13" hidden="1">#REF!</definedName>
    <definedName name="_64______123Graph_XCHART_12" hidden="1">#REF!</definedName>
    <definedName name="_64______123Graph_XCHART_13" hidden="1">#REF!</definedName>
    <definedName name="_64__123Graph_CCHART_4" hidden="1">#REF!</definedName>
    <definedName name="_64__123Graph_XCHART_13" hidden="1">#REF!</definedName>
    <definedName name="_64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0__________123Graph_BCHART_4" hidden="1">#REF!</definedName>
    <definedName name="_6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1__________123Graph_BCHART_5" hidden="1">#REF!</definedName>
    <definedName name="_6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2__________123Graph_BCHART_6" hidden="1">#REF!</definedName>
    <definedName name="_6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3__________123Graph_BCHART_7" hidden="1">#REF!</definedName>
    <definedName name="_6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4__________123Graph_BCHART_8" hidden="1">#REF!</definedName>
    <definedName name="_644__123Graph_ECHART_4" hidden="1">#REF!</definedName>
    <definedName name="_644__123Graph_FCHART_4" hidden="1">#REF!</definedName>
    <definedName name="_6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5__________123Graph_CCHART_1" hidden="1">#REF!</definedName>
    <definedName name="_6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6__________123Graph_CCHART_2" hidden="1">#REF!</definedName>
    <definedName name="_6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7__________123Graph_CCHART_3" hidden="1">#REF!</definedName>
    <definedName name="_6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8__________123Graph_CCHART_4" hidden="1">#REF!</definedName>
    <definedName name="_6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49__________123Graph_CCHART_5" hidden="1">#REF!</definedName>
    <definedName name="_6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_____________________123Graph_XCHART_15" hidden="1">#REF!</definedName>
    <definedName name="_65__________________123Graph_XCHART_14" hidden="1">#REF!</definedName>
    <definedName name="_65______123Graph_XCHART_13" hidden="1">#REF!</definedName>
    <definedName name="_65______123Graph_XCHART_14" hidden="1">#REF!</definedName>
    <definedName name="_65__123Graph_XCHART_14" hidden="1">#REF!</definedName>
    <definedName name="_65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0__________123Graph_CCHART_6" hidden="1">#REF!</definedName>
    <definedName name="_650__123Graph_FCHART_6" hidden="1">#REF!</definedName>
    <definedName name="_6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1__________123Graph_CCHART_7" hidden="1">#REF!</definedName>
    <definedName name="_651__123Graph_ECHART_5" hidden="1">#REF!</definedName>
    <definedName name="_6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2__________123Graph_CCHART_8" hidden="1">#REF!</definedName>
    <definedName name="_6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3__________123Graph_DCHART_1" hidden="1">#REF!</definedName>
    <definedName name="_6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4__________123Graph_DCHART_2" hidden="1">#REF!</definedName>
    <definedName name="_6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5_____________123Graph_DCHART_4" hidden="1">#REF!</definedName>
    <definedName name="_655__________123Graph_DCHART_3" hidden="1">#REF!</definedName>
    <definedName name="_6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6__________123Graph_DCHART_4" hidden="1">#REF!</definedName>
    <definedName name="_656__123Graph_FCHART_7" hidden="1">#REF!</definedName>
    <definedName name="_6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7__________123Graph_DCHART_5" hidden="1">#REF!</definedName>
    <definedName name="_6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8__________123Graph_DCHART_6" hidden="1">#REF!</definedName>
    <definedName name="_658__123Graph_ECHART_6" hidden="1">#REF!</definedName>
    <definedName name="_6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59__________123Graph_DCHART_7" hidden="1">#REF!</definedName>
    <definedName name="_6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_____________________123Graph_XCHART_16" hidden="1">#REF!</definedName>
    <definedName name="_66__________________123Graph_XCHART_15" hidden="1">#REF!</definedName>
    <definedName name="_66______123Graph_XCHART_14" hidden="1">#REF!</definedName>
    <definedName name="_66______123Graph_XCHART_15" hidden="1">#REF!</definedName>
    <definedName name="_66__123Graph_BCHART_3" hidden="1">#REF!</definedName>
    <definedName name="_66__123Graph_CCHART_5" hidden="1">#REF!</definedName>
    <definedName name="_66__123Graph_FCHART_3" hidden="1">#REF!</definedName>
    <definedName name="_66__123Graph_XCHART_15" hidden="1">#REF!</definedName>
    <definedName name="_66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0__________123Graph_DCHART_8" hidden="1">#REF!</definedName>
    <definedName name="_6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1__________123Graph_ECHART_1" hidden="1">#REF!</definedName>
    <definedName name="_6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2__________123Graph_ECHART_2" hidden="1">#REF!</definedName>
    <definedName name="_662__123Graph_FCHART_8" hidden="1">#REF!</definedName>
    <definedName name="_6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3__________123Graph_ECHART_3" hidden="1">#REF!</definedName>
    <definedName name="_6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4__________123Graph_ECHART_4" hidden="1">#REF!</definedName>
    <definedName name="_6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5__________123Graph_ECHART_5" hidden="1">#REF!</definedName>
    <definedName name="_665__123Graph_ECHART_7" hidden="1">#REF!</definedName>
    <definedName name="_6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6__________123Graph_ECHART_6" hidden="1">#REF!</definedName>
    <definedName name="_6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7__________123Graph_ECHART_7" hidden="1">#REF!</definedName>
    <definedName name="_6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8__________123Graph_ECHART_8" hidden="1">#REF!</definedName>
    <definedName name="_668__123Graph_XCHART_1" hidden="1">#REF!</definedName>
    <definedName name="_6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69__________123Graph_FCHART_1" hidden="1">#REF!</definedName>
    <definedName name="_6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_____________________123Graph_XCHART_17" hidden="1">#REF!</definedName>
    <definedName name="_67__________________123Graph_XCHART_16" hidden="1">#REF!</definedName>
    <definedName name="_67______123Graph_XCHART_15" hidden="1">#REF!</definedName>
    <definedName name="_67______123Graph_XCHART_16" hidden="1">#REF!</definedName>
    <definedName name="_67__123Graph_XCHART_16" hidden="1">#REF!</definedName>
    <definedName name="_67__FDSAUDITLINK__"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_1" localSheetId="1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_1"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0__________123Graph_FCHART_2" hidden="1">#REF!</definedName>
    <definedName name="_6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1__________123Graph_FCHART_3" hidden="1">#REF!</definedName>
    <definedName name="_6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2__________123Graph_FCHART_4" hidden="1">#REF!</definedName>
    <definedName name="_672__123Graph_ECHART_8" hidden="1">#REF!</definedName>
    <definedName name="_6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3__________123Graph_FCHART_6" hidden="1">#REF!</definedName>
    <definedName name="_6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4__________123Graph_FCHART_7" hidden="1">#REF!</definedName>
    <definedName name="_674__123Graph_XCHART_10" hidden="1">#REF!</definedName>
    <definedName name="_6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5__________123Graph_FCHART_8" hidden="1">#REF!</definedName>
    <definedName name="_6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6__________123Graph_XCHART_1" hidden="1">#REF!</definedName>
    <definedName name="_6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7__________123Graph_XCHART_10" hidden="1">#REF!</definedName>
    <definedName name="_6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8__________123Graph_XCHART_11" hidden="1">#REF!</definedName>
    <definedName name="_6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79__________123Graph_XCHART_12" hidden="1">#REF!</definedName>
    <definedName name="_679__123Graph_FCHART_1" hidden="1">#REF!</definedName>
    <definedName name="_6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_____________________123Graph_XCHART_18" hidden="1">#REF!</definedName>
    <definedName name="_68__________________123Graph_XCHART_17" hidden="1">#REF!</definedName>
    <definedName name="_68______123Graph_XCHART_16" hidden="1">#REF!</definedName>
    <definedName name="_68______123Graph_XCHART_17" hidden="1">#REF!</definedName>
    <definedName name="_68__123Graph_CCHART_6" hidden="1">#REF!</definedName>
    <definedName name="_68__123Graph_XCHART_17" hidden="1">#REF!</definedName>
    <definedName name="_68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1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8__FDSAUDITLINK___1"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80__________123Graph_XCHART_13" hidden="1">#REF!</definedName>
    <definedName name="_680__123Graph_XCHART_11" hidden="1">#REF!</definedName>
    <definedName name="_6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1__________123Graph_XCHART_14" hidden="1">#REF!</definedName>
    <definedName name="_6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2__________123Graph_XCHART_15" hidden="1">#REF!</definedName>
    <definedName name="_6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3__________123Graph_XCHART_16" hidden="1">#REF!</definedName>
    <definedName name="_6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4__________123Graph_XCHART_17" hidden="1">#REF!</definedName>
    <definedName name="_6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5__________123Graph_XCHART_18" hidden="1">#REF!</definedName>
    <definedName name="_6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6__________123Graph_XCHART_2" hidden="1">#REF!</definedName>
    <definedName name="_686__123Graph_FCHART_2" hidden="1">#REF!</definedName>
    <definedName name="_686__123Graph_XCHART_12" hidden="1">#REF!</definedName>
    <definedName name="_6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7__________123Graph_XCHART_3" hidden="1">#REF!</definedName>
    <definedName name="_6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8__________123Graph_XCHART_4" hidden="1">#REF!</definedName>
    <definedName name="_6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89__________123Graph_XCHART_5" hidden="1">#REF!</definedName>
    <definedName name="_6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_____________________123Graph_XCHART_2" hidden="1">#REF!</definedName>
    <definedName name="_69__________________123Graph_XCHART_18" hidden="1">#REF!</definedName>
    <definedName name="_69______123Graph_XCHART_17" hidden="1">#REF!</definedName>
    <definedName name="_69______123Graph_XCHART_18" hidden="1">#REF!</definedName>
    <definedName name="_69__123Graph_FCHART_4" hidden="1">#REF!</definedName>
    <definedName name="_69__123Graph_XCHART_18" hidden="1">#REF!</definedName>
    <definedName name="_69__FDSAUDITLINK__"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_1" localSheetId="1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_1"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0__________123Graph_XCHART_6" hidden="1">#REF!</definedName>
    <definedName name="_6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1__________123Graph_XCHART_7" hidden="1">#REF!</definedName>
    <definedName name="_6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2__________123Graph_XCHART_8" hidden="1">#REF!</definedName>
    <definedName name="_692__123Graph_XCHART_13" hidden="1">#REF!</definedName>
    <definedName name="_6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3____________123Graph_ACHART_1" hidden="1">#REF!</definedName>
    <definedName name="_693__________123Graph_XCHART_9" hidden="1">#REF!</definedName>
    <definedName name="_693__123Graph_FCHART_3" hidden="1">#REF!</definedName>
    <definedName name="_6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4____________123Graph_ACHART_10" hidden="1">#REF!</definedName>
    <definedName name="_694_________123Graph_ACHART_1" hidden="1">#REF!</definedName>
    <definedName name="_6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5____________123Graph_ACHART_11" hidden="1">#REF!</definedName>
    <definedName name="_695_________123Graph_ACHART_10" hidden="1">#REF!</definedName>
    <definedName name="_6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6____________123Graph_ACHART_12" hidden="1">#REF!</definedName>
    <definedName name="_696_________123Graph_ACHART_11" hidden="1">#REF!</definedName>
    <definedName name="_6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7____________123Graph_ACHART_13" hidden="1">#REF!</definedName>
    <definedName name="_697_________123Graph_ACHART_12" hidden="1">#REF!</definedName>
    <definedName name="_6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8____________123Graph_ACHART_14" hidden="1">#REF!</definedName>
    <definedName name="_698_________123Graph_ACHART_13" hidden="1">#REF!</definedName>
    <definedName name="_698__123Graph_XCHART_14" hidden="1">#REF!</definedName>
    <definedName name="_6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699____________123Graph_ACHART_15" hidden="1">#REF!</definedName>
    <definedName name="_699_________123Graph_ACHART_14" hidden="1">#REF!</definedName>
    <definedName name="_6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#REF!</definedName>
    <definedName name="_7.6_D">#REF!</definedName>
    <definedName name="_7_____________________123Graph_ACHART_15" hidden="1">#REF!</definedName>
    <definedName name="_7__________________123Graph_ACHART_15" hidden="1">#REF!</definedName>
    <definedName name="_7______123Graph_ACHART_14" hidden="1">#REF!</definedName>
    <definedName name="_7______123Graph_ACHART_15" hidden="1">#REF!</definedName>
    <definedName name="_7___123Graph_BCHART_4" hidden="1">#REF!</definedName>
    <definedName name="_7__123Graph_ACHART_1" localSheetId="10" hidden="1">#REF!</definedName>
    <definedName name="_7__123Graph_ACHART_1" localSheetId="9" hidden="1">#REF!</definedName>
    <definedName name="_7__123Graph_ACHART_1" localSheetId="8" hidden="1">#REF!</definedName>
    <definedName name="_7__123Graph_ACHART_1" localSheetId="16" hidden="1">#REF!</definedName>
    <definedName name="_7__123Graph_ACHART_1" hidden="1">#REF!</definedName>
    <definedName name="_7__123Graph_ACHART_15" hidden="1">#REF!</definedName>
    <definedName name="_7__123Graph_ACHART_4" hidden="1">#REF!</definedName>
    <definedName name="_7__123Graph_BCHART_1" localSheetId="10" hidden="1">#REF!</definedName>
    <definedName name="_7__123Graph_BCHART_1" localSheetId="9" hidden="1">#REF!</definedName>
    <definedName name="_7__123Graph_BCHART_1" localSheetId="8" hidden="1">#REF!</definedName>
    <definedName name="_7__123Graph_BCHART_1" localSheetId="16" hidden="1">#REF!</definedName>
    <definedName name="_7__123Graph_BCHART_1" hidden="1">#REF!</definedName>
    <definedName name="_7__123Graph_BCHART_3" hidden="1">#REF!</definedName>
    <definedName name="_7__123Graph_BCHART_4" localSheetId="10" hidden="1">#REF!</definedName>
    <definedName name="_7__123Graph_BCHART_4" localSheetId="9" hidden="1">#REF!</definedName>
    <definedName name="_7__123Graph_BCHART_4" localSheetId="8" hidden="1">#REF!</definedName>
    <definedName name="_7__123Graph_BCHART_4" localSheetId="16" hidden="1">#REF!</definedName>
    <definedName name="_7__123Graph_BCHART_4" hidden="1">#REF!</definedName>
    <definedName name="_7__123Graph_DCHART_1" hidden="1">#REF!</definedName>
    <definedName name="_7__123Graph_LBL_ACHART_2" hidden="1">#REF!</definedName>
    <definedName name="_7__FDSAUDITLINK__" localSheetId="10"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__FDSAUDITLINK___1" localSheetId="10"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_1"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14">#REF!</definedName>
    <definedName name="_70_____________________123Graph_XCHART_3" hidden="1">#REF!</definedName>
    <definedName name="_70__________________123Graph_XCHART_2" hidden="1">#REF!</definedName>
    <definedName name="_70______123Graph_XCHART_18" hidden="1">#REF!</definedName>
    <definedName name="_70______123Graph_XCHART_2" hidden="1">#REF!</definedName>
    <definedName name="_70__123Graph_CCHART_7" hidden="1">#REF!</definedName>
    <definedName name="_70__123Graph_XCHART_2" hidden="1">#REF!</definedName>
    <definedName name="_70__FDSAUDITLINK__"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_1" localSheetId="1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_1"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0____________123Graph_ACHART_16" hidden="1">#REF!</definedName>
    <definedName name="_700_________123Graph_ACHART_15" hidden="1">#REF!</definedName>
    <definedName name="_700__123Graph_FCHART_4" hidden="1">#REF!</definedName>
    <definedName name="_7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1____________123Graph_ACHART_17" hidden="1">#REF!</definedName>
    <definedName name="_701_________123Graph_ACHART_16" hidden="1">#REF!</definedName>
    <definedName name="_7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2____________123Graph_ACHART_18" hidden="1">#REF!</definedName>
    <definedName name="_702_________123Graph_ACHART_17" hidden="1">#REF!</definedName>
    <definedName name="_7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3____________123Graph_ACHART_2" hidden="1">#REF!</definedName>
    <definedName name="_703_________123Graph_ACHART_18" hidden="1">#REF!</definedName>
    <definedName name="_7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4____________123Graph_ACHART_3" hidden="1">#REF!</definedName>
    <definedName name="_704_________123Graph_ACHART_2" hidden="1">#REF!</definedName>
    <definedName name="_704__123Graph_XCHART_15" hidden="1">#REF!</definedName>
    <definedName name="_7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5____________123Graph_ACHART_4" hidden="1">#REF!</definedName>
    <definedName name="_705_________123Graph_ACHART_3" hidden="1">#REF!</definedName>
    <definedName name="_7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6____________123Graph_ACHART_5" hidden="1">#REF!</definedName>
    <definedName name="_706_________123Graph_ACHART_4" hidden="1">#REF!</definedName>
    <definedName name="_7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7____________123Graph_ACHART_6" hidden="1">#REF!</definedName>
    <definedName name="_707_________123Graph_ACHART_5" hidden="1">#REF!</definedName>
    <definedName name="_707__123Graph_FCHART_6" hidden="1">#REF!</definedName>
    <definedName name="_7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8____________123Graph_ACHART_7" hidden="1">#REF!</definedName>
    <definedName name="_708_________123Graph_ACHART_6" hidden="1">#REF!</definedName>
    <definedName name="_7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09____________123Graph_ACHART_8" hidden="1">#REF!</definedName>
    <definedName name="_709_________123Graph_ACHART_7" hidden="1">#REF!</definedName>
    <definedName name="_7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_____________________123Graph_XCHART_4" hidden="1">#REF!</definedName>
    <definedName name="_71__________________123Graph_XCHART_3" hidden="1">#REF!</definedName>
    <definedName name="_71______123Graph_XCHART_2" hidden="1">#REF!</definedName>
    <definedName name="_71______123Graph_XCHART_3" hidden="1">#REF!</definedName>
    <definedName name="_71__123Graph_XCHART_3" hidden="1">#REF!</definedName>
    <definedName name="_71__FDSAUDITLINK__"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0____________123Graph_ACHART_9" hidden="1">#REF!</definedName>
    <definedName name="_710_________123Graph_ACHART_8" hidden="1">#REF!</definedName>
    <definedName name="_710__123Graph_XCHART_16" hidden="1">#REF!</definedName>
    <definedName name="_7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1____________123Graph_BCHART_1" hidden="1">#REF!</definedName>
    <definedName name="_711_________123Graph_ACHART_9" hidden="1">#REF!</definedName>
    <definedName name="_7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2____________123Graph_BCHART_17" hidden="1">#REF!</definedName>
    <definedName name="_712_________123Graph_BCHART_1" hidden="1">#REF!</definedName>
    <definedName name="_7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3____________123Graph_BCHART_18" hidden="1">#REF!</definedName>
    <definedName name="_713_________123Graph_BCHART_17" hidden="1">#REF!</definedName>
    <definedName name="_7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4____________123Graph_BCHART_2" hidden="1">#REF!</definedName>
    <definedName name="_714_________123Graph_BCHART_18" hidden="1">#REF!</definedName>
    <definedName name="_714__123Graph_FCHART_7" hidden="1">#REF!</definedName>
    <definedName name="_7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5____________123Graph_BCHART_3" hidden="1">#REF!</definedName>
    <definedName name="_715_________123Graph_BCHART_2" hidden="1">#REF!</definedName>
    <definedName name="_7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6____________123Graph_BCHART_4" hidden="1">#REF!</definedName>
    <definedName name="_716_________123Graph_BCHART_3" hidden="1">#REF!</definedName>
    <definedName name="_716__123Graph_XCHART_17" hidden="1">#REF!</definedName>
    <definedName name="_7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7____________123Graph_BCHART_5" hidden="1">#REF!</definedName>
    <definedName name="_717_________123Graph_BCHART_4" hidden="1">#REF!</definedName>
    <definedName name="_7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8____________123Graph_BCHART_6" hidden="1">#REF!</definedName>
    <definedName name="_718_________123Graph_BCHART_5" hidden="1">#REF!</definedName>
    <definedName name="_7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19____________123Graph_BCHART_7" hidden="1">#REF!</definedName>
    <definedName name="_719_________123Graph_BCHART_6" hidden="1">#REF!</definedName>
    <definedName name="_7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_____________________123Graph_XCHART_5" hidden="1">#REF!</definedName>
    <definedName name="_72__________________123Graph_XCHART_4" hidden="1">#REF!</definedName>
    <definedName name="_72______123Graph_XCHART_3" hidden="1">#REF!</definedName>
    <definedName name="_72______123Graph_XCHART_4" hidden="1">#REF!</definedName>
    <definedName name="_72__123Graph_CCHART_8" hidden="1">#REF!</definedName>
    <definedName name="_72__123Graph_FCHART_5" hidden="1">#REF!</definedName>
    <definedName name="_72__123Graph_XCHART_4" hidden="1">#REF!</definedName>
    <definedName name="_72__FDSAUDITLINK__"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_1" localSheetId="1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_1"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0____________123Graph_BCHART_8" hidden="1">#REF!</definedName>
    <definedName name="_720_________123Graph_BCHART_7" hidden="1">#REF!</definedName>
    <definedName name="_7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1____________123Graph_CCHART_1" hidden="1">#REF!</definedName>
    <definedName name="_721_________123Graph_BCHART_8" hidden="1">#REF!</definedName>
    <definedName name="_721__123Graph_FCHART_8" hidden="1">#REF!</definedName>
    <definedName name="_7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2____________123Graph_CCHART_2" hidden="1">#REF!</definedName>
    <definedName name="_722_________123Graph_CCHART_1" hidden="1">#REF!</definedName>
    <definedName name="_722__123Graph_XCHART_18" hidden="1">#REF!</definedName>
    <definedName name="_7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3____________123Graph_CCHART_3" hidden="1">#REF!</definedName>
    <definedName name="_723_________123Graph_CCHART_2" hidden="1">#REF!</definedName>
    <definedName name="_7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4____________123Graph_CCHART_4" hidden="1">#REF!</definedName>
    <definedName name="_724_________123Graph_CCHART_3" hidden="1">#REF!</definedName>
    <definedName name="_7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5____________123Graph_CCHART_5" hidden="1">#REF!</definedName>
    <definedName name="_725_________123Graph_CCHART_4" hidden="1">#REF!</definedName>
    <definedName name="_7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6____________123Graph_CCHART_6" hidden="1">#REF!</definedName>
    <definedName name="_726_________123Graph_CCHART_5" hidden="1">#REF!</definedName>
    <definedName name="_7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7____________123Graph_CCHART_7" hidden="1">#REF!</definedName>
    <definedName name="_727_________123Graph_CCHART_6" hidden="1">#REF!</definedName>
    <definedName name="_7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8____________123Graph_CCHART_8" hidden="1">#REF!</definedName>
    <definedName name="_728_________123Graph_CCHART_7" hidden="1">#REF!</definedName>
    <definedName name="_728__123Graph_XCHART_1" hidden="1">#REF!</definedName>
    <definedName name="_728__123Graph_XCHART_2" hidden="1">#REF!</definedName>
    <definedName name="_7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29____________123Graph_DCHART_1" hidden="1">#REF!</definedName>
    <definedName name="_729_________123Graph_CCHART_8" hidden="1">#REF!</definedName>
    <definedName name="_7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_____________________123Graph_XCHART_6" hidden="1">#REF!</definedName>
    <definedName name="_73__________________123Graph_XCHART_5" hidden="1">#REF!</definedName>
    <definedName name="_73______123Graph_XCHART_4" hidden="1">#REF!</definedName>
    <definedName name="_73______123Graph_XCHART_5" hidden="1">#REF!</definedName>
    <definedName name="_73__123Graph_XCHART_5" hidden="1">#REF!</definedName>
    <definedName name="_73__FDSAUDITLINK__"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_1" localSheetId="1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_1"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0____________123Graph_DCHART_2" hidden="1">#REF!</definedName>
    <definedName name="_730_________123Graph_DCHART_1" hidden="1">#REF!</definedName>
    <definedName name="_7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1____________123Graph_DCHART_3" hidden="1">#REF!</definedName>
    <definedName name="_731_________123Graph_DCHART_2" hidden="1">#REF!</definedName>
    <definedName name="_7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2_________123Graph_DCHART_3" hidden="1">#REF!</definedName>
    <definedName name="_7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3____________123Graph_DCHART_5" hidden="1">#REF!</definedName>
    <definedName name="_733_________123Graph_DCHART_4" hidden="1">#REF!</definedName>
    <definedName name="_7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4____________123Graph_DCHART_6" hidden="1">#REF!</definedName>
    <definedName name="_734_________123Graph_DCHART_5" hidden="1">#REF!</definedName>
    <definedName name="_734__123Graph_XCHART_3" hidden="1">#REF!</definedName>
    <definedName name="_7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5____________123Graph_DCHART_7" hidden="1">#REF!</definedName>
    <definedName name="_735_________123Graph_DCHART_6" hidden="1">#REF!</definedName>
    <definedName name="_735__123Graph_XCHART_10" hidden="1">#REF!</definedName>
    <definedName name="_7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6____________123Graph_DCHART_8" hidden="1">#REF!</definedName>
    <definedName name="_736_________123Graph_DCHART_7" hidden="1">#REF!</definedName>
    <definedName name="_7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7____________123Graph_ECHART_1" hidden="1">#REF!</definedName>
    <definedName name="_737_________123Graph_DCHART_8" hidden="1">#REF!</definedName>
    <definedName name="_7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8____________123Graph_ECHART_2" hidden="1">#REF!</definedName>
    <definedName name="_738_________123Graph_ECHART_1" hidden="1">#REF!</definedName>
    <definedName name="_7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39____________123Graph_ECHART_3" hidden="1">#REF!</definedName>
    <definedName name="_739_________123Graph_ECHART_2" hidden="1">#REF!</definedName>
    <definedName name="_7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_____________________123Graph_XCHART_7" hidden="1">#REF!</definedName>
    <definedName name="_74__________________123Graph_XCHART_6" hidden="1">#REF!</definedName>
    <definedName name="_74______123Graph_XCHART_5" hidden="1">#REF!</definedName>
    <definedName name="_74______123Graph_XCHART_6" hidden="1">#REF!</definedName>
    <definedName name="_74__123Graph_DCHART_1" hidden="1">#REF!</definedName>
    <definedName name="_74__123Graph_XCHART_6" hidden="1">#REF!</definedName>
    <definedName name="_74__FDSAUDITLINK__"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_1" localSheetId="1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_1"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0____________123Graph_ECHART_4" hidden="1">#REF!</definedName>
    <definedName name="_740_________123Graph_ECHART_3" hidden="1">#REF!</definedName>
    <definedName name="_740__123Graph_XCHART_4" hidden="1">#REF!</definedName>
    <definedName name="_7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1____________123Graph_ECHART_5" hidden="1">#REF!</definedName>
    <definedName name="_741_________123Graph_ECHART_4" hidden="1">#REF!</definedName>
    <definedName name="_7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2____________123Graph_ECHART_6" hidden="1">#REF!</definedName>
    <definedName name="_742_________123Graph_ECHART_5" hidden="1">#REF!</definedName>
    <definedName name="_742__123Graph_XCHART_11" hidden="1">#REF!</definedName>
    <definedName name="_7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3____________123Graph_ECHART_7" hidden="1">#REF!</definedName>
    <definedName name="_743_________123Graph_ECHART_6" hidden="1">#REF!</definedName>
    <definedName name="_7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4____________123Graph_ECHART_8" hidden="1">#REF!</definedName>
    <definedName name="_744_________123Graph_ECHART_7" hidden="1">#REF!</definedName>
    <definedName name="_7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5____________123Graph_FCHART_1" hidden="1">#REF!</definedName>
    <definedName name="_745_________123Graph_ECHART_8" hidden="1">#REF!</definedName>
    <definedName name="_7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6____________123Graph_FCHART_2" hidden="1">#REF!</definedName>
    <definedName name="_746_________123Graph_FCHART_1" hidden="1">#REF!</definedName>
    <definedName name="_746__123Graph_XCHART_5" hidden="1">#REF!</definedName>
    <definedName name="_7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7____________123Graph_FCHART_3" hidden="1">#REF!</definedName>
    <definedName name="_747_________123Graph_FCHART_2" hidden="1">#REF!</definedName>
    <definedName name="_7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8____________123Graph_FCHART_4" hidden="1">#REF!</definedName>
    <definedName name="_748_________123Graph_FCHART_3" hidden="1">#REF!</definedName>
    <definedName name="_7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49____________123Graph_FCHART_6" hidden="1">#REF!</definedName>
    <definedName name="_749_________123Graph_FCHART_4" hidden="1">#REF!</definedName>
    <definedName name="_749__123Graph_XCHART_12" hidden="1">#REF!</definedName>
    <definedName name="_7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_____________________123Graph_XCHART_8" hidden="1">#REF!</definedName>
    <definedName name="_75__________________123Graph_XCHART_7" hidden="1">#REF!</definedName>
    <definedName name="_75______123Graph_XCHART_6" hidden="1">#REF!</definedName>
    <definedName name="_75______123Graph_XCHART_7" hidden="1">#REF!</definedName>
    <definedName name="_75__123Graph_XCHART_7" hidden="1">#REF!</definedName>
    <definedName name="_75__FDSAUDITLINK__"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_1" localSheetId="1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_1"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0____________123Graph_FCHART_7" hidden="1">#REF!</definedName>
    <definedName name="_750_________123Graph_FCHART_6" hidden="1">#REF!</definedName>
    <definedName name="_7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1____________123Graph_FCHART_8" hidden="1">#REF!</definedName>
    <definedName name="_751_________123Graph_FCHART_7" hidden="1">#REF!</definedName>
    <definedName name="_7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2____________123Graph_XCHART_1" hidden="1">#REF!</definedName>
    <definedName name="_752_________123Graph_FCHART_8" hidden="1">#REF!</definedName>
    <definedName name="_752__123Graph_XCHART_6" hidden="1">#REF!</definedName>
    <definedName name="_7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3____________123Graph_XCHART_10" hidden="1">#REF!</definedName>
    <definedName name="_753_________123Graph_XCHART_1" hidden="1">#REF!</definedName>
    <definedName name="_7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4____________123Graph_XCHART_11" hidden="1">#REF!</definedName>
    <definedName name="_754_________123Graph_XCHART_10" hidden="1">#REF!</definedName>
    <definedName name="_7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5____________123Graph_XCHART_12" hidden="1">#REF!</definedName>
    <definedName name="_755_________123Graph_XCHART_11" hidden="1">#REF!</definedName>
    <definedName name="_7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6____________123Graph_XCHART_13" hidden="1">#REF!</definedName>
    <definedName name="_756_________123Graph_XCHART_12" hidden="1">#REF!</definedName>
    <definedName name="_756__123Graph_XCHART_13" hidden="1">#REF!</definedName>
    <definedName name="_7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7____________123Graph_XCHART_14" hidden="1">#REF!</definedName>
    <definedName name="_757_________123Graph_XCHART_13" hidden="1">#REF!</definedName>
    <definedName name="_7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8____________123Graph_XCHART_15" hidden="1">#REF!</definedName>
    <definedName name="_758_________123Graph_XCHART_14" hidden="1">#REF!</definedName>
    <definedName name="_758__123Graph_XCHART_7" hidden="1">#REF!</definedName>
    <definedName name="_7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59____________123Graph_XCHART_16" hidden="1">#REF!</definedName>
    <definedName name="_759_________123Graph_XCHART_15" hidden="1">#REF!</definedName>
    <definedName name="_7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_____________________123Graph_XCHART_9" hidden="1">#REF!</definedName>
    <definedName name="_76__________________123Graph_XCHART_8" hidden="1">#REF!</definedName>
    <definedName name="_76______123Graph_XCHART_7" hidden="1">#REF!</definedName>
    <definedName name="_76______123Graph_XCHART_8" hidden="1">#REF!</definedName>
    <definedName name="_76__123Graph_DCHART_2" hidden="1">#REF!</definedName>
    <definedName name="_76__123Graph_XCHART_8" hidden="1">#REF!</definedName>
    <definedName name="_76__FDSAUDITLINK__"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_1" localSheetId="1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_1"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0____________123Graph_XCHART_17" hidden="1">#REF!</definedName>
    <definedName name="_760_________123Graph_XCHART_16" hidden="1">#REF!</definedName>
    <definedName name="_7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1____________123Graph_XCHART_18" hidden="1">#REF!</definedName>
    <definedName name="_761_________123Graph_XCHART_17" hidden="1">#REF!</definedName>
    <definedName name="_7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2____________123Graph_XCHART_2" hidden="1">#REF!</definedName>
    <definedName name="_762_________123Graph_XCHART_18" hidden="1">#REF!</definedName>
    <definedName name="_7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3____________123Graph_XCHART_3" hidden="1">#REF!</definedName>
    <definedName name="_763_________123Graph_XCHART_2" hidden="1">#REF!</definedName>
    <definedName name="_763__123Graph_XCHART_14" hidden="1">#REF!</definedName>
    <definedName name="_7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4____________123Graph_XCHART_4" hidden="1">#REF!</definedName>
    <definedName name="_764_________123Graph_XCHART_3" hidden="1">#REF!</definedName>
    <definedName name="_764__123Graph_XCHART_8" hidden="1">#REF!</definedName>
    <definedName name="_7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5____________123Graph_XCHART_5" hidden="1">#REF!</definedName>
    <definedName name="_765_________123Graph_XCHART_4" hidden="1">#REF!</definedName>
    <definedName name="_7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6____________123Graph_XCHART_6" hidden="1">#REF!</definedName>
    <definedName name="_766_________123Graph_XCHART_5" hidden="1">#REF!</definedName>
    <definedName name="_7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7____________123Graph_XCHART_7" hidden="1">#REF!</definedName>
    <definedName name="_767_________123Graph_XCHART_6" hidden="1">#REF!</definedName>
    <definedName name="_7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8____________123Graph_XCHART_8" hidden="1">#REF!</definedName>
    <definedName name="_768_________123Graph_XCHART_7" hidden="1">#REF!</definedName>
    <definedName name="_7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69____________123Graph_XCHART_9" hidden="1">#REF!</definedName>
    <definedName name="_769_________123Graph_XCHART_8" hidden="1">#REF!</definedName>
    <definedName name="_7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____________________123Graph_ACHART_1" hidden="1">#REF!</definedName>
    <definedName name="_77__________________123Graph_XCHART_9" hidden="1">#REF!</definedName>
    <definedName name="_77______123Graph_XCHART_8" hidden="1">#REF!</definedName>
    <definedName name="_77______123Graph_XCHART_9" hidden="1">#REF!</definedName>
    <definedName name="_77__123Graph_BCHART_4" hidden="1">#REF!</definedName>
    <definedName name="_77__123Graph_XCHART_9" hidden="1">#REF!</definedName>
    <definedName name="_77__FDSAUDITLINK__"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_1" localSheetId="1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_1"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0_________123Graph_XCHART_9" hidden="1">#REF!</definedName>
    <definedName name="_770__123Graph_XCHART_15" hidden="1">#REF!</definedName>
    <definedName name="_770__123Graph_XCHART_9" hidden="1">#REF!</definedName>
    <definedName name="_7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1________123Graph_ACHART_1" hidden="1">#REF!</definedName>
    <definedName name="_7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2________123Graph_ACHART_10" hidden="1">#REF!</definedName>
    <definedName name="_7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3________123Graph_ACHART_11" hidden="1">#REF!</definedName>
    <definedName name="_7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4________123Graph_ACHART_12" hidden="1">#REF!</definedName>
    <definedName name="_7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5________123Graph_ACHART_13" hidden="1">#REF!</definedName>
    <definedName name="_7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6________123Graph_ACHART_14" hidden="1">#REF!</definedName>
    <definedName name="_7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7________123Graph_ACHART_15" hidden="1">#REF!</definedName>
    <definedName name="_777__123Graph_XCHART_16" hidden="1">#REF!</definedName>
    <definedName name="_7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8________123Graph_ACHART_16" hidden="1">#REF!</definedName>
    <definedName name="_7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79________123Graph_ACHART_17" hidden="1">#REF!</definedName>
    <definedName name="_7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____________________123Graph_ACHART_10" hidden="1">#REF!</definedName>
    <definedName name="_78_________________123Graph_ACHART_1" hidden="1">#REF!</definedName>
    <definedName name="_78______123Graph_XCHART_9" hidden="1">#REF!</definedName>
    <definedName name="_78_____123Graph_ACHART_1" hidden="1">#REF!</definedName>
    <definedName name="_78__123Graph_DCHART_3" hidden="1">#REF!</definedName>
    <definedName name="_78__FDSAUDITLINK__"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_1" localSheetId="1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_1"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0_0Cwvu.GREY_A" hidden="1">#REF!</definedName>
    <definedName name="_780________123Graph_ACHART_18" hidden="1">#REF!</definedName>
    <definedName name="_7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1________123Graph_ACHART_2" hidden="1">#REF!</definedName>
    <definedName name="_7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2________123Graph_ACHART_3" hidden="1">#REF!</definedName>
    <definedName name="_7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3________123Graph_ACHART_4" hidden="1">#REF!</definedName>
    <definedName name="_7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4________123Graph_ACHART_5" hidden="1">#REF!</definedName>
    <definedName name="_784__123Graph_XCHART_17" hidden="1">#REF!</definedName>
    <definedName name="_7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5________123Graph_ACHART_6" hidden="1">#REF!</definedName>
    <definedName name="_7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6________123Graph_ACHART_7" hidden="1">#REF!</definedName>
    <definedName name="_7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7________123Graph_ACHART_8" hidden="1">#REF!</definedName>
    <definedName name="_7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8________123Graph_ACHART_9" hidden="1">#REF!</definedName>
    <definedName name="_7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89________123Graph_BCHART_1" hidden="1">#REF!</definedName>
    <definedName name="_7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____________________123Graph_ACHART_11" hidden="1">#REF!</definedName>
    <definedName name="_79_________________123Graph_ACHART_10" hidden="1">#REF!</definedName>
    <definedName name="_79_____123Graph_ACHART_1" hidden="1">#REF!</definedName>
    <definedName name="_79_____123Graph_ACHART_10" hidden="1">#REF!</definedName>
    <definedName name="_79__FDSAUDITLINK__"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_1" localSheetId="1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_1"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0_0Cwvu.GREY_A" hidden="1">#REF!</definedName>
    <definedName name="_790________123Graph_BCHART_17" hidden="1">#REF!</definedName>
    <definedName name="_7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1________123Graph_BCHART_18" hidden="1">#REF!</definedName>
    <definedName name="_791__123Graph_XCHART_18" hidden="1">#REF!</definedName>
    <definedName name="_7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2________123Graph_BCHART_2" hidden="1">#REF!</definedName>
    <definedName name="_7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3________123Graph_BCHART_3" hidden="1">#REF!</definedName>
    <definedName name="_7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4________123Graph_BCHART_4" hidden="1">#REF!</definedName>
    <definedName name="_7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5________123Graph_BCHART_5" hidden="1">#REF!</definedName>
    <definedName name="_7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6________123Graph_BCHART_6" hidden="1">#REF!</definedName>
    <definedName name="_7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7________123Graph_BCHART_7" hidden="1">#REF!</definedName>
    <definedName name="_7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8________123Graph_BCHART_8" hidden="1">#REF!</definedName>
    <definedName name="_798__123Graph_XCHART_2" hidden="1">#REF!</definedName>
    <definedName name="_7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799________123Graph_CCHART_1" hidden="1">#REF!</definedName>
    <definedName name="_7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#REF!</definedName>
    <definedName name="_8_____________________123Graph_ACHART_16" hidden="1">#REF!</definedName>
    <definedName name="_8__________________123Graph_ACHART_16" hidden="1">#REF!</definedName>
    <definedName name="_8______123Graph_ACHART_15" hidden="1">#REF!</definedName>
    <definedName name="_8______123Graph_ACHART_16" hidden="1">#REF!</definedName>
    <definedName name="_8___123Graph_BCHART_5" hidden="1">#REF!</definedName>
    <definedName name="_8__123Graph_ACHART_10" hidden="1">#REF!</definedName>
    <definedName name="_8__123Graph_ACHART_12" hidden="1">#REF!</definedName>
    <definedName name="_8__123Graph_ACHART_16" hidden="1">#REF!</definedName>
    <definedName name="_8__123Graph_ACHART_3" localSheetId="10" hidden="1">#REF!</definedName>
    <definedName name="_8__123Graph_ACHART_3" localSheetId="9" hidden="1">#REF!</definedName>
    <definedName name="_8__123Graph_ACHART_3" localSheetId="8" hidden="1">#REF!</definedName>
    <definedName name="_8__123Graph_ACHART_3" localSheetId="16" hidden="1">#REF!</definedName>
    <definedName name="_8__123Graph_ACHART_3" hidden="1">#REF!</definedName>
    <definedName name="_8__123Graph_ACHART_5" hidden="1">#REF!</definedName>
    <definedName name="_8__123Graph_BCHART_3" localSheetId="10" hidden="1">#REF!</definedName>
    <definedName name="_8__123Graph_BCHART_3" localSheetId="9" hidden="1">#REF!</definedName>
    <definedName name="_8__123Graph_BCHART_3" localSheetId="8" hidden="1">#REF!</definedName>
    <definedName name="_8__123Graph_BCHART_3" localSheetId="16" hidden="1">#REF!</definedName>
    <definedName name="_8__123Graph_BCHART_3" hidden="1">#REF!</definedName>
    <definedName name="_8__123Graph_BCHART_5" hidden="1">#REF!</definedName>
    <definedName name="_8__123Graph_BCHART_8" localSheetId="10" hidden="1">#REF!</definedName>
    <definedName name="_8__123Graph_BCHART_8" localSheetId="9" hidden="1">#REF!</definedName>
    <definedName name="_8__123Graph_BCHART_8" localSheetId="8" hidden="1">#REF!</definedName>
    <definedName name="_8__123Graph_BCHART_8" localSheetId="16" hidden="1">#REF!</definedName>
    <definedName name="_8__123Graph_BCHART_8" hidden="1">#REF!</definedName>
    <definedName name="_8__123Graph_CCHART_2" hidden="1">#REF!</definedName>
    <definedName name="_8__123Graph_LBL_ACHART_1" hidden="1">#REF!</definedName>
    <definedName name="_8__123Graph_LBL_ACHART_3" hidden="1">#REF!</definedName>
    <definedName name="_8__FDSAUDITLINK__" localSheetId="10"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__FDSAUDITLINK___1" localSheetId="10" hidden="1">{"fdsup:app=SCRIPT&amp;creator=factset&amp;CMD=INSTRUCTION&amp;WINDOW=NEW&amp;TARGET_APP=EDGAR\Search by Symbol&amp;INSTRUCTION_NAME=VIEW_DOCUMENT&amp;display_string=View Document&amp;IDENTIFIER=BBY&amp;START_DATE=20080110&amp;END_DATE=20080110&amp;FILING=10-Q"}</definedName>
    <definedName name="_8__FDSAUDITLINK___1" hidden="1">{"fdsup:app=SCRIPT&amp;creator=factset&amp;CMD=INSTRUCTION&amp;WINDOW=NEW&amp;TARGET_APP=EDGAR\Search by Symbol&amp;INSTRUCTION_NAME=VIEW_DOCUMENT&amp;display_string=View Document&amp;IDENTIFIER=BBY&amp;START_DATE=20080110&amp;END_DATE=20080110&amp;FILING=10-Q"}</definedName>
    <definedName name="_8_15">#REF!</definedName>
    <definedName name="_80____________________123Graph_ACHART_12" hidden="1">#REF!</definedName>
    <definedName name="_80_________________123Graph_ACHART_11" hidden="1">#REF!</definedName>
    <definedName name="_80_____123Graph_ACHART_1" hidden="1">#REF!</definedName>
    <definedName name="_80_____123Graph_ACHART_10" hidden="1">#REF!</definedName>
    <definedName name="_80_____123Graph_ACHART_11" hidden="1">#REF!</definedName>
    <definedName name="_80__123Graph_DCHART_4" hidden="1">#REF!</definedName>
    <definedName name="_80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0_0Cwvu.GREY_A" hidden="1">#REF!</definedName>
    <definedName name="_800________123Graph_CCHART_2" hidden="1">#REF!</definedName>
    <definedName name="_8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1________123Graph_CCHART_3" hidden="1">#REF!</definedName>
    <definedName name="_8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2________123Graph_CCHART_4" hidden="1">#REF!</definedName>
    <definedName name="_8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3________123Graph_CCHART_5" hidden="1">#REF!</definedName>
    <definedName name="_8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4________123Graph_CCHART_6" hidden="1">#REF!</definedName>
    <definedName name="_8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5________123Graph_CCHART_7" hidden="1">#REF!</definedName>
    <definedName name="_805__123Graph_XCHART_3" hidden="1">#REF!</definedName>
    <definedName name="_8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6________123Graph_CCHART_8" hidden="1">#REF!</definedName>
    <definedName name="_8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7________123Graph_DCHART_1" hidden="1">#REF!</definedName>
    <definedName name="_8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8________123Graph_DCHART_2" hidden="1">#REF!</definedName>
    <definedName name="_8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09___________123Graph_DCHART_4" hidden="1">#REF!</definedName>
    <definedName name="_809________123Graph_DCHART_3" hidden="1">#REF!</definedName>
    <definedName name="_8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____________________123Graph_ACHART_13" hidden="1">#REF!</definedName>
    <definedName name="_81_________________123Graph_ACHART_12" hidden="1">#REF!</definedName>
    <definedName name="_81_____123Graph_ACHART_11" hidden="1">#REF!</definedName>
    <definedName name="_81_____123Graph_ACHART_12" hidden="1">#REF!</definedName>
    <definedName name="_81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0________123Graph_DCHART_4" hidden="1">#REF!</definedName>
    <definedName name="_8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1________123Graph_DCHART_5" hidden="1">#REF!</definedName>
    <definedName name="_8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2________123Graph_DCHART_6" hidden="1">#REF!</definedName>
    <definedName name="_812__123Graph_XCHART_4" hidden="1">#REF!</definedName>
    <definedName name="_8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3________123Graph_DCHART_7" hidden="1">#REF!</definedName>
    <definedName name="_8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4________123Graph_DCHART_8" hidden="1">#REF!</definedName>
    <definedName name="_8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5________123Graph_ECHART_1" hidden="1">#REF!</definedName>
    <definedName name="_8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6________123Graph_ECHART_2" hidden="1">#REF!</definedName>
    <definedName name="_8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7________123Graph_ECHART_3" hidden="1">#REF!</definedName>
    <definedName name="_8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8________123Graph_ECHART_4" hidden="1">#REF!</definedName>
    <definedName name="_8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19________123Graph_ECHART_5" hidden="1">#REF!</definedName>
    <definedName name="_819__123Graph_XCHART_5" hidden="1">#REF!</definedName>
    <definedName name="_8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____________________123Graph_ACHART_14" hidden="1">#REF!</definedName>
    <definedName name="_82_________________123Graph_ACHART_13" hidden="1">#REF!</definedName>
    <definedName name="_82_____123Graph_ACHART_10" hidden="1">#REF!</definedName>
    <definedName name="_82_____123Graph_ACHART_12" hidden="1">#REF!</definedName>
    <definedName name="_82_____123Graph_ACHART_13" hidden="1">#REF!</definedName>
    <definedName name="_82__123Graph_DCHART_5" hidden="1">#REF!</definedName>
    <definedName name="_82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0________123Graph_ECHART_6" hidden="1">#REF!</definedName>
    <definedName name="_8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1________123Graph_ECHART_7" hidden="1">#REF!</definedName>
    <definedName name="_8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2________123Graph_ECHART_8" hidden="1">#REF!</definedName>
    <definedName name="_8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3________123Graph_FCHART_1" hidden="1">#REF!</definedName>
    <definedName name="_8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4________123Graph_FCHART_2" hidden="1">#REF!</definedName>
    <definedName name="_8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5________123Graph_FCHART_3" hidden="1">#REF!</definedName>
    <definedName name="_8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6________123Graph_FCHART_4" hidden="1">#REF!</definedName>
    <definedName name="_826__123Graph_XCHART_6" hidden="1">#REF!</definedName>
    <definedName name="_8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7________123Graph_FCHART_6" hidden="1">#REF!</definedName>
    <definedName name="_8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8________123Graph_FCHART_7" hidden="1">#REF!</definedName>
    <definedName name="_8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29________123Graph_FCHART_8" hidden="1">#REF!</definedName>
    <definedName name="_8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____________________123Graph_ACHART_15" hidden="1">#REF!</definedName>
    <definedName name="_83_________________123Graph_ACHART_14" hidden="1">#REF!</definedName>
    <definedName name="_83_____123Graph_ACHART_13" hidden="1">#REF!</definedName>
    <definedName name="_83_____123Graph_ACHART_14" hidden="1">#REF!</definedName>
    <definedName name="_83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0________123Graph_XCHART_1" hidden="1">#REF!</definedName>
    <definedName name="_8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1________123Graph_XCHART_10" hidden="1">#REF!</definedName>
    <definedName name="_8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2________123Graph_XCHART_11" hidden="1">#REF!</definedName>
    <definedName name="_8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3________123Graph_XCHART_12" hidden="1">#REF!</definedName>
    <definedName name="_833__123Graph_XCHART_7" hidden="1">#REF!</definedName>
    <definedName name="_8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4________123Graph_XCHART_13" hidden="1">#REF!</definedName>
    <definedName name="_8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5________123Graph_XCHART_14" hidden="1">#REF!</definedName>
    <definedName name="_8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6________123Graph_XCHART_15" hidden="1">#REF!</definedName>
    <definedName name="_8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7________123Graph_XCHART_16" hidden="1">#REF!</definedName>
    <definedName name="_8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8________123Graph_XCHART_17" hidden="1">#REF!</definedName>
    <definedName name="_8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39________123Graph_XCHART_18" hidden="1">#REF!</definedName>
    <definedName name="_8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____________________123Graph_ACHART_16" hidden="1">#REF!</definedName>
    <definedName name="_84_________________123Graph_ACHART_15" hidden="1">#REF!</definedName>
    <definedName name="_84_____123Graph_ACHART_11" hidden="1">#REF!</definedName>
    <definedName name="_84_____123Graph_ACHART_14" hidden="1">#REF!</definedName>
    <definedName name="_84_____123Graph_ACHART_15" hidden="1">#REF!</definedName>
    <definedName name="_84__123Graph_DCHART_6" hidden="1">#REF!</definedName>
    <definedName name="_84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0________123Graph_XCHART_2" hidden="1">#REF!</definedName>
    <definedName name="_840__123Graph_XCHART_8" hidden="1">#REF!</definedName>
    <definedName name="_8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1________123Graph_XCHART_3" hidden="1">#REF!</definedName>
    <definedName name="_8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2________123Graph_XCHART_4" hidden="1">#REF!</definedName>
    <definedName name="_8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3________123Graph_XCHART_5" hidden="1">#REF!</definedName>
    <definedName name="_8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4________123Graph_XCHART_6" hidden="1">#REF!</definedName>
    <definedName name="_8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5________123Graph_XCHART_7" hidden="1">#REF!</definedName>
    <definedName name="_8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6________123Graph_XCHART_8" hidden="1">#REF!</definedName>
    <definedName name="_8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7__________123Graph_ACHART_1" hidden="1">#REF!</definedName>
    <definedName name="_847________123Graph_XCHART_9" hidden="1">#REF!</definedName>
    <definedName name="_847__123Graph_XCHART_9" hidden="1">#REF!</definedName>
    <definedName name="_8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8__________123Graph_ACHART_10" hidden="1">#REF!</definedName>
    <definedName name="_848_______123Graph_ACHART_1" hidden="1">#REF!</definedName>
    <definedName name="_8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49__________123Graph_ACHART_11" hidden="1">#REF!</definedName>
    <definedName name="_849_______123Graph_ACHART_10" hidden="1">#REF!</definedName>
    <definedName name="_8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____________________123Graph_ACHART_17" hidden="1">#REF!</definedName>
    <definedName name="_85_________________123Graph_ACHART_16" hidden="1">#REF!</definedName>
    <definedName name="_85_____123Graph_ACHART_15" hidden="1">#REF!</definedName>
    <definedName name="_85_____123Graph_ACHART_16" hidden="1">#REF!</definedName>
    <definedName name="_85__FDSAUDITLINK__"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_1" localSheetId="1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_1"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0__________123Graph_ACHART_12" hidden="1">#REF!</definedName>
    <definedName name="_850_______123Graph_ACHART_11" hidden="1">#REF!</definedName>
    <definedName name="_8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1__________123Graph_ACHART_13" hidden="1">#REF!</definedName>
    <definedName name="_851_______123Graph_ACHART_12" hidden="1">#REF!</definedName>
    <definedName name="_8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2__________123Graph_ACHART_14" hidden="1">#REF!</definedName>
    <definedName name="_852_______123Graph_ACHART_13" hidden="1">#REF!</definedName>
    <definedName name="_8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3__________123Graph_ACHART_15" hidden="1">#REF!</definedName>
    <definedName name="_853_______123Graph_ACHART_14" hidden="1">#REF!</definedName>
    <definedName name="_8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4__________123Graph_ACHART_16" hidden="1">#REF!</definedName>
    <definedName name="_854_______123Graph_ACHART_15" hidden="1">#REF!</definedName>
    <definedName name="_8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5__________123Graph_ACHART_17" hidden="1">#REF!</definedName>
    <definedName name="_855_______123Graph_ACHART_16" hidden="1">#REF!</definedName>
    <definedName name="_8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6__________123Graph_ACHART_18" hidden="1">#REF!</definedName>
    <definedName name="_856_______123Graph_ACHART_17" hidden="1">#REF!</definedName>
    <definedName name="_8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7__________123Graph_ACHART_2" hidden="1">#REF!</definedName>
    <definedName name="_857_______123Graph_ACHART_18" hidden="1">#REF!</definedName>
    <definedName name="_8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8__________123Graph_ACHART_3" hidden="1">#REF!</definedName>
    <definedName name="_858_______123Graph_ACHART_2" hidden="1">#REF!</definedName>
    <definedName name="_8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59__________123Graph_ACHART_4" hidden="1">#REF!</definedName>
    <definedName name="_859_______123Graph_ACHART_3" hidden="1">#REF!</definedName>
    <definedName name="_8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____________________123Graph_ACHART_18" hidden="1">#REF!</definedName>
    <definedName name="_86_________________123Graph_ACHART_17" hidden="1">#REF!</definedName>
    <definedName name="_86_____123Graph_ACHART_12" hidden="1">#REF!</definedName>
    <definedName name="_86_____123Graph_ACHART_16" hidden="1">#REF!</definedName>
    <definedName name="_86_____123Graph_ACHART_17" hidden="1">#REF!</definedName>
    <definedName name="_86__123Graph_DCHART_7" hidden="1">#REF!</definedName>
    <definedName name="_86__FDSAUDITLINK__"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_1" localSheetId="1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_1"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0__________123Graph_ACHART_5" hidden="1">#REF!</definedName>
    <definedName name="_860_______123Graph_ACHART_4" hidden="1">#REF!</definedName>
    <definedName name="_8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1__________123Graph_ACHART_6" hidden="1">#REF!</definedName>
    <definedName name="_861_______123Graph_ACHART_5" hidden="1">#REF!</definedName>
    <definedName name="_8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2__________123Graph_ACHART_7" hidden="1">#REF!</definedName>
    <definedName name="_862_______123Graph_ACHART_6" hidden="1">#REF!</definedName>
    <definedName name="_8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3__________123Graph_ACHART_8" hidden="1">#REF!</definedName>
    <definedName name="_863_______123Graph_ACHART_7" hidden="1">#REF!</definedName>
    <definedName name="_8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4__________123Graph_ACHART_9" hidden="1">#REF!</definedName>
    <definedName name="_864_______123Graph_ACHART_8" hidden="1">#REF!</definedName>
    <definedName name="_8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5__________123Graph_BCHART_1" hidden="1">#REF!</definedName>
    <definedName name="_865_______123Graph_ACHART_9" hidden="1">#REF!</definedName>
    <definedName name="_8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6__________123Graph_BCHART_17" hidden="1">#REF!</definedName>
    <definedName name="_866_______123Graph_BCHART_1" hidden="1">#REF!</definedName>
    <definedName name="_8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7__________123Graph_BCHART_18" hidden="1">#REF!</definedName>
    <definedName name="_867_______123Graph_BCHART_17" hidden="1">#REF!</definedName>
    <definedName name="_8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8__________123Graph_BCHART_2" hidden="1">#REF!</definedName>
    <definedName name="_868_______123Graph_BCHART_18" hidden="1">#REF!</definedName>
    <definedName name="_8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69__________123Graph_BCHART_3" hidden="1">#REF!</definedName>
    <definedName name="_869_______123Graph_BCHART_2" hidden="1">#REF!</definedName>
    <definedName name="_8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____________________123Graph_ACHART_2" hidden="1">#REF!</definedName>
    <definedName name="_87_________________123Graph_ACHART_18" hidden="1">#REF!</definedName>
    <definedName name="_87_____123Graph_ACHART_17" hidden="1">#REF!</definedName>
    <definedName name="_87_____123Graph_ACHART_18" hidden="1">#REF!</definedName>
    <definedName name="_87__FDSAUDITLINK__"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_1" localSheetId="1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_1"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0__________123Graph_BCHART_4" hidden="1">#REF!</definedName>
    <definedName name="_870_______123Graph_BCHART_3" hidden="1">#REF!</definedName>
    <definedName name="_8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1__________123Graph_BCHART_5" hidden="1">#REF!</definedName>
    <definedName name="_871_______123Graph_BCHART_4" hidden="1">#REF!</definedName>
    <definedName name="_8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2__________123Graph_BCHART_6" hidden="1">#REF!</definedName>
    <definedName name="_872_______123Graph_BCHART_5" hidden="1">#REF!</definedName>
    <definedName name="_8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3__________123Graph_BCHART_7" hidden="1">#REF!</definedName>
    <definedName name="_873_______123Graph_BCHART_6" hidden="1">#REF!</definedName>
    <definedName name="_8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4__________123Graph_BCHART_8" hidden="1">#REF!</definedName>
    <definedName name="_874_______123Graph_BCHART_7" hidden="1">#REF!</definedName>
    <definedName name="_8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5__________123Graph_CCHART_1" hidden="1">#REF!</definedName>
    <definedName name="_875_______123Graph_BCHART_8" hidden="1">#REF!</definedName>
    <definedName name="_8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6__________123Graph_CCHART_2" hidden="1">#REF!</definedName>
    <definedName name="_876_______123Graph_CCHART_1" hidden="1">#REF!</definedName>
    <definedName name="_8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7__________123Graph_CCHART_3" hidden="1">#REF!</definedName>
    <definedName name="_877_______123Graph_CCHART_2" hidden="1">#REF!</definedName>
    <definedName name="_8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8__________123Graph_CCHART_4" hidden="1">#REF!</definedName>
    <definedName name="_878_______123Graph_CCHART_3" hidden="1">#REF!</definedName>
    <definedName name="_8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79__________123Graph_CCHART_5" hidden="1">#REF!</definedName>
    <definedName name="_879_______123Graph_CCHART_4" hidden="1">#REF!</definedName>
    <definedName name="_8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____________________123Graph_ACHART_3" hidden="1">#REF!</definedName>
    <definedName name="_88_________________123Graph_ACHART_2" hidden="1">#REF!</definedName>
    <definedName name="_88_____123Graph_ACHART_13" hidden="1">#REF!</definedName>
    <definedName name="_88_____123Graph_ACHART_18" hidden="1">#REF!</definedName>
    <definedName name="_88_____123Graph_ACHART_2" hidden="1">#REF!</definedName>
    <definedName name="_88__123Graph_BCHART_5" hidden="1">#REF!</definedName>
    <definedName name="_88__123Graph_DCHART_8" hidden="1">#REF!</definedName>
    <definedName name="_88__FDSAUDITLINK__"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_1" localSheetId="1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_1"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0__________123Graph_CCHART_6" hidden="1">#REF!</definedName>
    <definedName name="_880_______123Graph_CCHART_5" hidden="1">#REF!</definedName>
    <definedName name="_8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1__________123Graph_CCHART_7" hidden="1">#REF!</definedName>
    <definedName name="_881_______123Graph_CCHART_6" hidden="1">#REF!</definedName>
    <definedName name="_8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2__________123Graph_CCHART_8" hidden="1">#REF!</definedName>
    <definedName name="_882_______123Graph_CCHART_7" hidden="1">#REF!</definedName>
    <definedName name="_8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3__________123Graph_DCHART_1" hidden="1">#REF!</definedName>
    <definedName name="_883_______123Graph_CCHART_8" hidden="1">#REF!</definedName>
    <definedName name="_8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4__________123Graph_DCHART_2" hidden="1">#REF!</definedName>
    <definedName name="_884_______123Graph_DCHART_1" hidden="1">#REF!</definedName>
    <definedName name="_8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5__________123Graph_DCHART_3" hidden="1">#REF!</definedName>
    <definedName name="_885_______123Graph_DCHART_2" hidden="1">#REF!</definedName>
    <definedName name="_8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6_______123Graph_DCHART_3" hidden="1">#REF!</definedName>
    <definedName name="_8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7__________123Graph_DCHART_5" hidden="1">#REF!</definedName>
    <definedName name="_887_______123Graph_DCHART_4" hidden="1">#REF!</definedName>
    <definedName name="_8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8__________123Graph_DCHART_6" hidden="1">#REF!</definedName>
    <definedName name="_888_______123Graph_DCHART_5" hidden="1">#REF!</definedName>
    <definedName name="_8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89__________123Graph_DCHART_7" hidden="1">#REF!</definedName>
    <definedName name="_889_______123Graph_DCHART_6" hidden="1">#REF!</definedName>
    <definedName name="_8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____________________123Graph_ACHART_4" hidden="1">#REF!</definedName>
    <definedName name="_89_________________123Graph_ACHART_3" hidden="1">#REF!</definedName>
    <definedName name="_89_____123Graph_ACHART_2" hidden="1">#REF!</definedName>
    <definedName name="_89_____123Graph_ACHART_3" hidden="1">#REF!</definedName>
    <definedName name="_89__FDSAUDITLINK__"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_1" localSheetId="1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_1"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0__________123Graph_DCHART_8" hidden="1">#REF!</definedName>
    <definedName name="_890_______123Graph_DCHART_7" hidden="1">#REF!</definedName>
    <definedName name="_8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1__________123Graph_ECHART_1" hidden="1">#REF!</definedName>
    <definedName name="_891_______123Graph_DCHART_8" hidden="1">#REF!</definedName>
    <definedName name="_8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2__________123Graph_ECHART_2" hidden="1">#REF!</definedName>
    <definedName name="_892_______123Graph_ECHART_1" hidden="1">#REF!</definedName>
    <definedName name="_8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3__________123Graph_ECHART_3" hidden="1">#REF!</definedName>
    <definedName name="_893_______123Graph_ECHART_2" hidden="1">#REF!</definedName>
    <definedName name="_8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4__________123Graph_ECHART_4" hidden="1">#REF!</definedName>
    <definedName name="_894_______123Graph_ECHART_3" hidden="1">#REF!</definedName>
    <definedName name="_8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5__________123Graph_ECHART_5" hidden="1">#REF!</definedName>
    <definedName name="_895_______123Graph_ECHART_4" hidden="1">#REF!</definedName>
    <definedName name="_8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6__________123Graph_ECHART_6" hidden="1">#REF!</definedName>
    <definedName name="_896_______123Graph_ECHART_5" hidden="1">#REF!</definedName>
    <definedName name="_8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7__________123Graph_ECHART_7" hidden="1">#REF!</definedName>
    <definedName name="_897_______123Graph_ECHART_6" hidden="1">#REF!</definedName>
    <definedName name="_8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8__________123Graph_ECHART_8" hidden="1">#REF!</definedName>
    <definedName name="_898_______123Graph_ECHART_7" hidden="1">#REF!</definedName>
    <definedName name="_8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99__________123Graph_FCHART_1" hidden="1">#REF!</definedName>
    <definedName name="_899_______123Graph_ECHART_8" hidden="1">#REF!</definedName>
    <definedName name="_8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8wrn.²Ä1­Ó¤ë1_Ü20¤H." localSheetId="10" hidden="1">{#N/A,#N/A,FALSE,"²Ä1­Ó¤ë"}</definedName>
    <definedName name="_8wrn.²Ä1­Ó¤ë1_Ü20¤H." localSheetId="15" hidden="1">{#N/A,#N/A,FALSE,"²Ä1­Ó¤ë"}</definedName>
    <definedName name="_8wrn.²Ä1­Ó¤ë1_Ü20¤H." hidden="1">{#N/A,#N/A,FALSE,"²Ä1­Ó¤ë"}</definedName>
    <definedName name="_9" localSheetId="10">#REF!</definedName>
    <definedName name="_9">#REF!</definedName>
    <definedName name="_9.5_D" localSheetId="10">#REF!</definedName>
    <definedName name="_9.5_D">#REF!</definedName>
    <definedName name="_9.5_E" localSheetId="10">#REF!</definedName>
    <definedName name="_9.5_E">#REF!</definedName>
    <definedName name="_9_____________________123Graph_ACHART_17" hidden="1">#REF!</definedName>
    <definedName name="_9__________________123Graph_ACHART_17" hidden="1">#REF!</definedName>
    <definedName name="_9______123Graph_ACHART_16" hidden="1">#REF!</definedName>
    <definedName name="_9______123Graph_ACHART_17" hidden="1">#REF!</definedName>
    <definedName name="_9___123Graph_CCHART_2" hidden="1">#REF!</definedName>
    <definedName name="_9__123Graph_ACHART_11" hidden="1">#REF!</definedName>
    <definedName name="_9__123Graph_ACHART_17" hidden="1">#REF!</definedName>
    <definedName name="_9__123Graph_ACHART_4" hidden="1">#REF!</definedName>
    <definedName name="_9__123Graph_ACHART_6" hidden="1">#REF!</definedName>
    <definedName name="_9__123Graph_BCHART_1" localSheetId="10" hidden="1">#REF!</definedName>
    <definedName name="_9__123Graph_BCHART_1" localSheetId="9" hidden="1">#REF!</definedName>
    <definedName name="_9__123Graph_BCHART_1" localSheetId="8" hidden="1">#REF!</definedName>
    <definedName name="_9__123Graph_BCHART_1" localSheetId="16" hidden="1">#REF!</definedName>
    <definedName name="_9__123Graph_BCHART_1" hidden="1">#REF!</definedName>
    <definedName name="_9__123Graph_BCHART_4" localSheetId="10" hidden="1">#REF!</definedName>
    <definedName name="_9__123Graph_BCHART_4" localSheetId="9" hidden="1">#REF!</definedName>
    <definedName name="_9__123Graph_BCHART_4" localSheetId="8" hidden="1">#REF!</definedName>
    <definedName name="_9__123Graph_BCHART_4" localSheetId="16" hidden="1">#REF!</definedName>
    <definedName name="_9__123Graph_BCHART_4" hidden="1">#REF!</definedName>
    <definedName name="_9__123Graph_CCHART_1" localSheetId="10" hidden="1">#REF!</definedName>
    <definedName name="_9__123Graph_CCHART_1" localSheetId="9" hidden="1">#REF!</definedName>
    <definedName name="_9__123Graph_CCHART_1" localSheetId="8" hidden="1">#REF!</definedName>
    <definedName name="_9__123Graph_CCHART_1" localSheetId="16" hidden="1">#REF!</definedName>
    <definedName name="_9__123Graph_CCHART_1" hidden="1">#REF!</definedName>
    <definedName name="_9__123Graph_CCHART_2" hidden="1">#REF!</definedName>
    <definedName name="_9__123Graph_LBL_ACHART_2" hidden="1">#REF!</definedName>
    <definedName name="_9__123Graph_LBL_ACHART_3" hidden="1">#REF!</definedName>
    <definedName name="_9__123Graph_LBL_BCHART_2" hidden="1">#REF!</definedName>
    <definedName name="_9__FDSAUDITLINK__" localSheetId="10"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__FDSAUDITLINK___1" localSheetId="1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_1"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0Rwvu.Pag" hidden="1">#REF!</definedName>
    <definedName name="_9_16">#REF!</definedName>
    <definedName name="_90____________________123Graph_ACHART_5" hidden="1">#REF!</definedName>
    <definedName name="_90_________________123Graph_ACHART_4" hidden="1">#REF!</definedName>
    <definedName name="_90_____123Graph_ACHART_14" hidden="1">#REF!</definedName>
    <definedName name="_90_____123Graph_ACHART_3" hidden="1">#REF!</definedName>
    <definedName name="_90_____123Graph_ACHART_4" hidden="1">#REF!</definedName>
    <definedName name="_90__123Graph_ECHART_1" hidden="1">#REF!</definedName>
    <definedName name="_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0__________123Graph_FCHART_2" hidden="1">#REF!</definedName>
    <definedName name="_900_______123Graph_FCHART_1" hidden="1">#REF!</definedName>
    <definedName name="_90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1__________123Graph_FCHART_3" hidden="1">#REF!</definedName>
    <definedName name="_901_______123Graph_FCHART_2" hidden="1">#REF!</definedName>
    <definedName name="_90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2__________123Graph_FCHART_4" hidden="1">#REF!</definedName>
    <definedName name="_902_______123Graph_FCHART_3" hidden="1">#REF!</definedName>
    <definedName name="_90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3__________123Graph_FCHART_6" hidden="1">#REF!</definedName>
    <definedName name="_903_______123Graph_FCHART_4" hidden="1">#REF!</definedName>
    <definedName name="_90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4__________123Graph_FCHART_7" hidden="1">#REF!</definedName>
    <definedName name="_904_______123Graph_FCHART_6" hidden="1">#REF!</definedName>
    <definedName name="_90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5__________123Graph_FCHART_8" hidden="1">#REF!</definedName>
    <definedName name="_905_______123Graph_FCHART_7" hidden="1">#REF!</definedName>
    <definedName name="_90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6__________123Graph_XCHART_1" hidden="1">#REF!</definedName>
    <definedName name="_906_______123Graph_FCHART_8" hidden="1">#REF!</definedName>
    <definedName name="_90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7__________123Graph_XCHART_10" hidden="1">#REF!</definedName>
    <definedName name="_907_______123Graph_XCHART_1" hidden="1">#REF!</definedName>
    <definedName name="_90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8__________123Graph_XCHART_11" hidden="1">#REF!</definedName>
    <definedName name="_908_______123Graph_XCHART_10" hidden="1">#REF!</definedName>
    <definedName name="_90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09__________123Graph_XCHART_12" hidden="1">#REF!</definedName>
    <definedName name="_909_______123Graph_XCHART_11" hidden="1">#REF!</definedName>
    <definedName name="_90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____________________123Graph_ACHART_6" hidden="1">#REF!</definedName>
    <definedName name="_91_________________123Graph_ACHART_5" hidden="1">#REF!</definedName>
    <definedName name="_91_____123Graph_ACHART_4" hidden="1">#REF!</definedName>
    <definedName name="_91_____123Graph_ACHART_5" hidden="1">#REF!</definedName>
    <definedName name="_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0__________123Graph_XCHART_13" hidden="1">#REF!</definedName>
    <definedName name="_910_______123Graph_XCHART_12" hidden="1">#REF!</definedName>
    <definedName name="_91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1__________123Graph_XCHART_14" hidden="1">#REF!</definedName>
    <definedName name="_911_______123Graph_XCHART_13" hidden="1">#REF!</definedName>
    <definedName name="_91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2__________123Graph_XCHART_15" hidden="1">#REF!</definedName>
    <definedName name="_912_______123Graph_XCHART_14" hidden="1">#REF!</definedName>
    <definedName name="_91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3__________123Graph_XCHART_16" hidden="1">#REF!</definedName>
    <definedName name="_913_______123Graph_XCHART_15" hidden="1">#REF!</definedName>
    <definedName name="_91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4__________123Graph_XCHART_17" hidden="1">#REF!</definedName>
    <definedName name="_914_______123Graph_XCHART_16" hidden="1">#REF!</definedName>
    <definedName name="_91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5__________123Graph_XCHART_18" hidden="1">#REF!</definedName>
    <definedName name="_915_______123Graph_XCHART_17" hidden="1">#REF!</definedName>
    <definedName name="_91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6__________123Graph_XCHART_2" hidden="1">#REF!</definedName>
    <definedName name="_916_______123Graph_XCHART_18" hidden="1">#REF!</definedName>
    <definedName name="_91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7__________123Graph_XCHART_3" hidden="1">#REF!</definedName>
    <definedName name="_917_______123Graph_XCHART_2" hidden="1">#REF!</definedName>
    <definedName name="_91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8__________123Graph_XCHART_4" hidden="1">#REF!</definedName>
    <definedName name="_918_______123Graph_XCHART_3" hidden="1">#REF!</definedName>
    <definedName name="_91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19__________123Graph_XCHART_5" hidden="1">#REF!</definedName>
    <definedName name="_919_______123Graph_XCHART_4" hidden="1">#REF!</definedName>
    <definedName name="_91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____________________123Graph_ACHART_7" hidden="1">#REF!</definedName>
    <definedName name="_92_________________123Graph_ACHART_6" hidden="1">#REF!</definedName>
    <definedName name="_92_____123Graph_ACHART_15" hidden="1">#REF!</definedName>
    <definedName name="_92_____123Graph_ACHART_5" hidden="1">#REF!</definedName>
    <definedName name="_92_____123Graph_ACHART_6" hidden="1">#REF!</definedName>
    <definedName name="_92__123Graph_ECHART_2" hidden="1">#REF!</definedName>
    <definedName name="_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0__________123Graph_XCHART_6" hidden="1">#REF!</definedName>
    <definedName name="_920_______123Graph_XCHART_5" hidden="1">#REF!</definedName>
    <definedName name="_92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1__________123Graph_XCHART_7" hidden="1">#REF!</definedName>
    <definedName name="_921_______123Graph_XCHART_6" hidden="1">#REF!</definedName>
    <definedName name="_92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2__________123Graph_XCHART_8" hidden="1">#REF!</definedName>
    <definedName name="_922_______123Graph_XCHART_7" hidden="1">#REF!</definedName>
    <definedName name="_92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3__________123Graph_XCHART_9" hidden="1">#REF!</definedName>
    <definedName name="_923_______123Graph_XCHART_8" hidden="1">#REF!</definedName>
    <definedName name="_92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4_______123Graph_XCHART_9" hidden="1">#REF!</definedName>
    <definedName name="_92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____________________123Graph_ACHART_8" hidden="1">#REF!</definedName>
    <definedName name="_93_________________123Graph_ACHART_7" hidden="1">#REF!</definedName>
    <definedName name="_93_____123Graph_ACHART_6" hidden="1">#REF!</definedName>
    <definedName name="_93_____123Graph_ACHART_7" hidden="1">#REF!</definedName>
    <definedName name="_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____________________123Graph_ACHART_9" hidden="1">#REF!</definedName>
    <definedName name="_94_________________123Graph_ACHART_8" hidden="1">#REF!</definedName>
    <definedName name="_94_____123Graph_ACHART_16" hidden="1">#REF!</definedName>
    <definedName name="_94_____123Graph_ACHART_7" hidden="1">#REF!</definedName>
    <definedName name="_94_____123Graph_ACHART_8" hidden="1">#REF!</definedName>
    <definedName name="_94__123Graph_ECHART_3" hidden="1">#REF!</definedName>
    <definedName name="_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____________________123Graph_BCHART_1" hidden="1">#REF!</definedName>
    <definedName name="_95_________________123Graph_ACHART_9" hidden="1">#REF!</definedName>
    <definedName name="_95_____123Graph_ACHART_8" hidden="1">#REF!</definedName>
    <definedName name="_95_____123Graph_ACHART_9" hidden="1">#REF!</definedName>
    <definedName name="_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____________________123Graph_BCHART_17" hidden="1">#REF!</definedName>
    <definedName name="_96_________________123Graph_BCHART_1" hidden="1">#REF!</definedName>
    <definedName name="_96_____123Graph_ACHART_17" hidden="1">#REF!</definedName>
    <definedName name="_96_____123Graph_ACHART_9" hidden="1">#REF!</definedName>
    <definedName name="_96_____123Graph_BCHART_1" hidden="1">#REF!</definedName>
    <definedName name="_96__123Graph_ECHART_4" hidden="1">#REF!</definedName>
    <definedName name="_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3_________123Graph_DCHART_4" hidden="1">#REF!</definedName>
    <definedName name="_96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____________________123Graph_BCHART_18" hidden="1">#REF!</definedName>
    <definedName name="_97_________________123Graph_BCHART_17" hidden="1">#REF!</definedName>
    <definedName name="_97_____123Graph_BCHART_1" hidden="1">#REF!</definedName>
    <definedName name="_97_____123Graph_BCHART_17" hidden="1">#REF!</definedName>
    <definedName name="_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____________________123Graph_BCHART_2" hidden="1">#REF!</definedName>
    <definedName name="_98_________________123Graph_BCHART_18" hidden="1">#REF!</definedName>
    <definedName name="_98_____123Graph_ACHART_18" hidden="1">#REF!</definedName>
    <definedName name="_98_____123Graph_BCHART_17" hidden="1">#REF!</definedName>
    <definedName name="_98_____123Graph_BCHART_18" hidden="1">#REF!</definedName>
    <definedName name="_98__123Graph_ECHART_5" hidden="1">#REF!</definedName>
    <definedName name="_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____________________123Graph_BCHART_3" hidden="1">#REF!</definedName>
    <definedName name="_99_________________123Graph_BCHART_2" hidden="1">#REF!</definedName>
    <definedName name="_99_____123Graph_BCHART_18" hidden="1">#REF!</definedName>
    <definedName name="_99_____123Graph_BCHART_2" hidden="1">#REF!</definedName>
    <definedName name="_99__123Graph_CCHART_2" hidden="1">#REF!</definedName>
    <definedName name="_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1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_1" localSheetId="1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_1" hidden="1">{"fdsup:app=SCRIPT&amp;creator=factset&amp;CMD=INSTRUCTION&amp;WINDOW=NEW&amp;TARGET_APP=EDGAR\Search by Symbol&amp;INSTRUCTION_NAME=VIEW_DOCUMENT&amp;display_string=View Document&amp;IDENTIFIER=SIRI&amp;START_DATE=20080229&amp;END_DATE=20080229&amp;FILING=10-K"}</definedName>
    <definedName name="_9IQ_F_LB_DUE_CY3" hidden="1">"c2083"</definedName>
    <definedName name="_a1" localSheetId="10" hidden="1">{#N/A,#N/A,FALSE,"Pharm";#N/A,#N/A,FALSE,"WWCM"}</definedName>
    <definedName name="_a1" hidden="1">{#N/A,#N/A,FALSE,"Pharm";#N/A,#N/A,FALSE,"WWCM"}</definedName>
    <definedName name="_a10" localSheetId="10" hidden="1">{#N/A,#N/A,TRUE,"0 Deckbl.";#N/A,#N/A,TRUE,"S 1 Komm";#N/A,#N/A,TRUE,"S 1a Komm";#N/A,#N/A,TRUE,"S 1b Komm";#N/A,#N/A,TRUE,"S  2 DBR";#N/A,#N/A,TRUE,"S  3 Sparten";#N/A,#N/A,TRUE,"S 4  Betr. K.";#N/A,#N/A,TRUE,"6 Bilanz";#N/A,#N/A,TRUE,"6a Bilanz ";#N/A,#N/A,TRUE,"6b Bilanz ";#N/A,#N/A,TRUE,"7 GS I";#N/A,#N/A,TRUE,"S 8 EQ-GuV"}</definedName>
    <definedName name="_a10" hidden="1">{#N/A,#N/A,TRUE,"0 Deckbl.";#N/A,#N/A,TRUE,"S 1 Komm";#N/A,#N/A,TRUE,"S 1a Komm";#N/A,#N/A,TRUE,"S 1b Komm";#N/A,#N/A,TRUE,"S  2 DBR";#N/A,#N/A,TRUE,"S  3 Sparten";#N/A,#N/A,TRUE,"S 4  Betr. K.";#N/A,#N/A,TRUE,"6 Bilanz";#N/A,#N/A,TRUE,"6a Bilanz ";#N/A,#N/A,TRUE,"6b Bilanz ";#N/A,#N/A,TRUE,"7 GS I";#N/A,#N/A,TRUE,"S 8 EQ-GuV"}</definedName>
    <definedName name="_A11" localSheetId="10" hidden="1">{#N/A,#N/A,FALSE,"Umsatz 99";#N/A,#N/A,FALSE,"ER 99 "}</definedName>
    <definedName name="_A11" localSheetId="15" hidden="1">{#N/A,#N/A,FALSE,"Umsatz 99";#N/A,#N/A,FALSE,"ER 99 "}</definedName>
    <definedName name="_A11" hidden="1">{#N/A,#N/A,FALSE,"Umsatz 99";#N/A,#N/A,FALSE,"ER 99 "}</definedName>
    <definedName name="_a3"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3" localSheetId="15"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3"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_a50" localSheetId="10"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a1" localSheetId="10"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localSheetId="10" hidden="1">{#N/A,#N/A,FALSE,"Model";#N/A,#N/A,FALSE,"Division"}</definedName>
    <definedName name="_aaa1" localSheetId="15" hidden="1">{#N/A,#N/A,FALSE,"Model";#N/A,#N/A,FALSE,"Division"}</definedName>
    <definedName name="_aaa1" hidden="1">{#N/A,#N/A,FALSE,"Model";#N/A,#N/A,FALSE,"Division"}</definedName>
    <definedName name="_aas1" localSheetId="10" hidden="1">{#N/A,#N/A,FALSE,"REPORT"}</definedName>
    <definedName name="_aas1" hidden="1">{#N/A,#N/A,FALSE,"REPORT"}</definedName>
    <definedName name="_ab098" localSheetId="10" hidden="1">{#N/A,"PURCHM",FALSE,"Business Analysis";#N/A,"SPADD",FALSE,"Business Analysis"}</definedName>
    <definedName name="_ab098" hidden="1">{#N/A,"PURCHM",FALSE,"Business Analysis";#N/A,"SPADD",FALSE,"Business Analysis"}</definedName>
    <definedName name="_abc098" localSheetId="10" hidden="1">{#N/A,"PURCHM",FALSE,"Business Analysis";#N/A,"SPADD",FALSE,"Business Analysis"}</definedName>
    <definedName name="_abc098" hidden="1">{#N/A,"PURCHM",FALSE,"Business Analysis";#N/A,"SPADD",FALSE,"Business Analysis"}</definedName>
    <definedName name="_abc1" localSheetId="10" hidden="1">{"detail",#N/A,FALSE,"mfg";"summary",#N/A,FALSE,"mfg"}</definedName>
    <definedName name="_abc1" hidden="1">{"detail",#N/A,FALSE,"mfg";"summary",#N/A,FALSE,"mfg"}</definedName>
    <definedName name="_abc10" localSheetId="10" hidden="1">{"detail",#N/A,FALSE,"mfg";"summary",#N/A,FALSE,"mfg"}</definedName>
    <definedName name="_abc10" hidden="1">{"detail",#N/A,FALSE,"mfg";"summary",#N/A,FALSE,"mfg"}</definedName>
    <definedName name="_abc101" localSheetId="10" hidden="1">{"detail",#N/A,FALSE,"mfg";"summary",#N/A,FALSE,"mfg"}</definedName>
    <definedName name="_abc101" hidden="1">{"detail",#N/A,FALSE,"mfg";"summary",#N/A,FALSE,"mfg"}</definedName>
    <definedName name="_abc102" localSheetId="10" hidden="1">{"detail",#N/A,FALSE,"mfg";"summary",#N/A,FALSE,"mfg"}</definedName>
    <definedName name="_abc102" hidden="1">{"detail",#N/A,FALSE,"mfg";"summary",#N/A,FALSE,"mfg"}</definedName>
    <definedName name="_abc105" localSheetId="10" hidden="1">{"detail",#N/A,FALSE,"mfg";"summary",#N/A,FALSE,"mfg"}</definedName>
    <definedName name="_abc105" hidden="1">{"detail",#N/A,FALSE,"mfg";"summary",#N/A,FALSE,"mfg"}</definedName>
    <definedName name="_abc1082" localSheetId="10" hidden="1">{"detail",#N/A,FALSE,"mfg";"summary",#N/A,FALSE,"mfg"}</definedName>
    <definedName name="_abc1082" hidden="1">{"detail",#N/A,FALSE,"mfg";"summary",#N/A,FALSE,"mfg"}</definedName>
    <definedName name="_abc11" localSheetId="10" hidden="1">{"detail",#N/A,FALSE,"mfg";"summary",#N/A,FALSE,"mfg"}</definedName>
    <definedName name="_abc11" hidden="1">{"detail",#N/A,FALSE,"mfg";"summary",#N/A,FALSE,"mfg"}</definedName>
    <definedName name="_abc115" localSheetId="10" hidden="1">{"detail",#N/A,FALSE,"mfg";"summary",#N/A,FALSE,"mfg"}</definedName>
    <definedName name="_abc115" hidden="1">{"detail",#N/A,FALSE,"mfg";"summary",#N/A,FALSE,"mfg"}</definedName>
    <definedName name="_abc12" localSheetId="10" hidden="1">{"detail",#N/A,FALSE,"mfg";"summary",#N/A,FALSE,"mfg"}</definedName>
    <definedName name="_abc12" hidden="1">{"detail",#N/A,FALSE,"mfg";"summary",#N/A,FALSE,"mfg"}</definedName>
    <definedName name="_abc1234" localSheetId="10" hidden="1">{#N/A,"PURCHM",FALSE,"Business Analysis";#N/A,"SPADD",FALSE,"Business Analysis"}</definedName>
    <definedName name="_abc1234" hidden="1">{#N/A,"PURCHM",FALSE,"Business Analysis";#N/A,"SPADD",FALSE,"Business Analysis"}</definedName>
    <definedName name="_abc125" localSheetId="10" hidden="1">{"detail",#N/A,FALSE,"mfg";"summary",#N/A,FALSE,"mfg"}</definedName>
    <definedName name="_abc125" hidden="1">{"detail",#N/A,FALSE,"mfg";"summary",#N/A,FALSE,"mfg"}</definedName>
    <definedName name="_abc13" localSheetId="10" hidden="1">{"detail",#N/A,FALSE,"mfg";"summary",#N/A,FALSE,"mfg"}</definedName>
    <definedName name="_abc13" hidden="1">{"detail",#N/A,FALSE,"mfg";"summary",#N/A,FALSE,"mfg"}</definedName>
    <definedName name="_abc1325" localSheetId="10" hidden="1">{"detail",#N/A,FALSE,"mfg";"summary",#N/A,FALSE,"mfg"}</definedName>
    <definedName name="_abc1325" hidden="1">{"detail",#N/A,FALSE,"mfg";"summary",#N/A,FALSE,"mfg"}</definedName>
    <definedName name="_abc14" localSheetId="10" hidden="1">{"detail",#N/A,FALSE,"mfg";"summary",#N/A,FALSE,"mfg"}</definedName>
    <definedName name="_abc14" hidden="1">{"detail",#N/A,FALSE,"mfg";"summary",#N/A,FALSE,"mfg"}</definedName>
    <definedName name="_abc1425" localSheetId="10" hidden="1">{"detail",#N/A,FALSE,"mfg";"summary",#N/A,FALSE,"mfg"}</definedName>
    <definedName name="_abc1425" hidden="1">{"detail",#N/A,FALSE,"mfg";"summary",#N/A,FALSE,"mfg"}</definedName>
    <definedName name="_abc2" localSheetId="10" hidden="1">{"detail",#N/A,FALSE,"mfg";"summary",#N/A,FALSE,"mfg"}</definedName>
    <definedName name="_abc2" hidden="1">{"detail",#N/A,FALSE,"mfg";"summary",#N/A,FALSE,"mfg"}</definedName>
    <definedName name="_abc200" localSheetId="10" hidden="1">{"detail",#N/A,FALSE,"mfg";"summary",#N/A,FALSE,"mfg"}</definedName>
    <definedName name="_abc200" hidden="1">{"detail",#N/A,FALSE,"mfg";"summary",#N/A,FALSE,"mfg"}</definedName>
    <definedName name="_abc2005" localSheetId="10" hidden="1">{#N/A,"PURCHM",FALSE,"Business Analysis";#N/A,"SPADD",FALSE,"Business Analysis"}</definedName>
    <definedName name="_abc2005" hidden="1">{#N/A,"PURCHM",FALSE,"Business Analysis";#N/A,"SPADD",FALSE,"Business Analysis"}</definedName>
    <definedName name="_abc201" localSheetId="10" hidden="1">{"detail",#N/A,FALSE,"mfg";"summary",#N/A,FALSE,"mfg"}</definedName>
    <definedName name="_abc201" hidden="1">{"detail",#N/A,FALSE,"mfg";"summary",#N/A,FALSE,"mfg"}</definedName>
    <definedName name="_abc202" localSheetId="10" hidden="1">{"detail",#N/A,FALSE,"mfg";"summary",#N/A,FALSE,"mfg"}</definedName>
    <definedName name="_abc202" hidden="1">{"detail",#N/A,FALSE,"mfg";"summary",#N/A,FALSE,"mfg"}</definedName>
    <definedName name="_abc2054" localSheetId="10" hidden="1">{"detail",#N/A,FALSE,"mfg";"summary",#N/A,FALSE,"mfg"}</definedName>
    <definedName name="_abc2054" hidden="1">{"detail",#N/A,FALSE,"mfg";"summary",#N/A,FALSE,"mfg"}</definedName>
    <definedName name="_abc212" localSheetId="10" hidden="1">{"detail",#N/A,FALSE,"mfg";"summary",#N/A,FALSE,"mfg"}</definedName>
    <definedName name="_abc212" hidden="1">{"detail",#N/A,FALSE,"mfg";"summary",#N/A,FALSE,"mfg"}</definedName>
    <definedName name="_abc212450" localSheetId="10" hidden="1">{"detail",#N/A,FALSE,"mfg";"summary",#N/A,FALSE,"mfg"}</definedName>
    <definedName name="_abc212450" hidden="1">{"detail",#N/A,FALSE,"mfg";"summary",#N/A,FALSE,"mfg"}</definedName>
    <definedName name="_abc23" localSheetId="10" hidden="1">{"detail",#N/A,FALSE,"mfg";"summary",#N/A,FALSE,"mfg"}</definedName>
    <definedName name="_abc23" hidden="1">{"detail",#N/A,FALSE,"mfg";"summary",#N/A,FALSE,"mfg"}</definedName>
    <definedName name="_abc24" localSheetId="10" hidden="1">{"detail",#N/A,FALSE,"mfg";"summary",#N/A,FALSE,"mfg"}</definedName>
    <definedName name="_abc24" hidden="1">{"detail",#N/A,FALSE,"mfg";"summary",#N/A,FALSE,"mfg"}</definedName>
    <definedName name="_abc25" localSheetId="10" hidden="1">{"detail",#N/A,FALSE,"mfg";"summary",#N/A,FALSE,"mfg"}</definedName>
    <definedName name="_abc25" hidden="1">{"detail",#N/A,FALSE,"mfg";"summary",#N/A,FALSE,"mfg"}</definedName>
    <definedName name="_abc26" localSheetId="10" hidden="1">{"detail",#N/A,FALSE,"mfg";"summary",#N/A,FALSE,"mfg"}</definedName>
    <definedName name="_abc26" hidden="1">{"detail",#N/A,FALSE,"mfg";"summary",#N/A,FALSE,"mfg"}</definedName>
    <definedName name="_abc289" localSheetId="10" hidden="1">{"detail",#N/A,FALSE,"mfg";"summary",#N/A,FALSE,"mfg"}</definedName>
    <definedName name="_abc289" hidden="1">{"detail",#N/A,FALSE,"mfg";"summary",#N/A,FALSE,"mfg"}</definedName>
    <definedName name="_abc3" localSheetId="10" hidden="1">{"detail",#N/A,FALSE,"mfg";"summary",#N/A,FALSE,"mfg"}</definedName>
    <definedName name="_abc3" hidden="1">{"detail",#N/A,FALSE,"mfg";"summary",#N/A,FALSE,"mfg"}</definedName>
    <definedName name="_abc31" localSheetId="10" hidden="1">{"detail",#N/A,FALSE,"mfg";"summary",#N/A,FALSE,"mfg"}</definedName>
    <definedName name="_abc31" hidden="1">{"detail",#N/A,FALSE,"mfg";"summary",#N/A,FALSE,"mfg"}</definedName>
    <definedName name="_abc312" localSheetId="10" hidden="1">{"detail",#N/A,FALSE,"mfg";"summary",#N/A,FALSE,"mfg"}</definedName>
    <definedName name="_abc312" hidden="1">{"detail",#N/A,FALSE,"mfg";"summary",#N/A,FALSE,"mfg"}</definedName>
    <definedName name="_abc315" localSheetId="10" hidden="1">{"detail",#N/A,FALSE,"mfg";"summary",#N/A,FALSE,"mfg"}</definedName>
    <definedName name="_abc315" hidden="1">{"detail",#N/A,FALSE,"mfg";"summary",#N/A,FALSE,"mfg"}</definedName>
    <definedName name="_abc316" localSheetId="10" hidden="1">{"detail",#N/A,FALSE,"mfg";"summary",#N/A,FALSE,"mfg"}</definedName>
    <definedName name="_abc316" hidden="1">{"detail",#N/A,FALSE,"mfg";"summary",#N/A,FALSE,"mfg"}</definedName>
    <definedName name="_abc32" localSheetId="10" hidden="1">{"detail",#N/A,FALSE,"mfg";"summary",#N/A,FALSE,"mfg"}</definedName>
    <definedName name="_abc32" hidden="1">{"detail",#N/A,FALSE,"mfg";"summary",#N/A,FALSE,"mfg"}</definedName>
    <definedName name="_abc3216" localSheetId="10" hidden="1">{"detail",#N/A,FALSE,"mfg";"summary",#N/A,FALSE,"mfg"}</definedName>
    <definedName name="_abc3216" hidden="1">{"detail",#N/A,FALSE,"mfg";"summary",#N/A,FALSE,"mfg"}</definedName>
    <definedName name="_abc35" localSheetId="10" hidden="1">{"detail",#N/A,FALSE,"mfg";"summary",#N/A,FALSE,"mfg"}</definedName>
    <definedName name="_abc35" hidden="1">{"detail",#N/A,FALSE,"mfg";"summary",#N/A,FALSE,"mfg"}</definedName>
    <definedName name="_abc36" localSheetId="10" hidden="1">{"detail",#N/A,FALSE,"mfg";"summary",#N/A,FALSE,"mfg"}</definedName>
    <definedName name="_abc36" hidden="1">{"detail",#N/A,FALSE,"mfg";"summary",#N/A,FALSE,"mfg"}</definedName>
    <definedName name="_abc37" localSheetId="10" hidden="1">{"detail",#N/A,FALSE,"mfg";"summary",#N/A,FALSE,"mfg"}</definedName>
    <definedName name="_abc37" hidden="1">{"detail",#N/A,FALSE,"mfg";"summary",#N/A,FALSE,"mfg"}</definedName>
    <definedName name="_abc38" localSheetId="10" hidden="1">{"detail",#N/A,FALSE,"mfg";"summary",#N/A,FALSE,"mfg"}</definedName>
    <definedName name="_abc38" hidden="1">{"detail",#N/A,FALSE,"mfg";"summary",#N/A,FALSE,"mfg"}</definedName>
    <definedName name="_ABC41" localSheetId="10" hidden="1">{"detail",#N/A,FALSE,"mfg";"summary",#N/A,FALSE,"mfg"}</definedName>
    <definedName name="_ABC41" hidden="1">{"detail",#N/A,FALSE,"mfg";"summary",#N/A,FALSE,"mfg"}</definedName>
    <definedName name="_abc42" localSheetId="10" hidden="1">{"detail",#N/A,FALSE,"mfg";"summary",#N/A,FALSE,"mfg"}</definedName>
    <definedName name="_abc42" hidden="1">{"detail",#N/A,FALSE,"mfg";"summary",#N/A,FALSE,"mfg"}</definedName>
    <definedName name="_abc51" localSheetId="10" hidden="1">{"detail",#N/A,FALSE,"mfg";"summary",#N/A,FALSE,"mfg"}</definedName>
    <definedName name="_abc51" hidden="1">{"detail",#N/A,FALSE,"mfg";"summary",#N/A,FALSE,"mfg"}</definedName>
    <definedName name="_abc61" localSheetId="10" hidden="1">{"detail",#N/A,FALSE,"mfg";"summary",#N/A,FALSE,"mfg"}</definedName>
    <definedName name="_abc61" hidden="1">{"detail",#N/A,FALSE,"mfg";"summary",#N/A,FALSE,"mfg"}</definedName>
    <definedName name="_abc71" localSheetId="10" hidden="1">{"detail",#N/A,FALSE,"mfg";"summary",#N/A,FALSE,"mfg"}</definedName>
    <definedName name="_abc71" hidden="1">{"detail",#N/A,FALSE,"mfg";"summary",#N/A,FALSE,"mfg"}</definedName>
    <definedName name="_abc7884" localSheetId="10" hidden="1">{"detail",#N/A,FALSE,"mfg";"summary",#N/A,FALSE,"mfg"}</definedName>
    <definedName name="_abc7884" hidden="1">{"detail",#N/A,FALSE,"mfg";"summary",#N/A,FALSE,"mfg"}</definedName>
    <definedName name="_ACS2000" localSheetId="10" hidden="1">{#N/A,#N/A,FALSE,"REPORT"}</definedName>
    <definedName name="_ACS2000" hidden="1">{#N/A,#N/A,FALSE,"REPORT"}</definedName>
    <definedName name="_Actual_for_2004_Measure" hidden="1">#REF!</definedName>
    <definedName name="_ADS1" localSheetId="10" hidden="1">{"FCB_ALL",#N/A,FALSE,"FCB"}</definedName>
    <definedName name="_ADS1" localSheetId="15" hidden="1">{"FCB_ALL",#N/A,FALSE,"FCB"}</definedName>
    <definedName name="_ADS1" hidden="1">{"FCB_ALL",#N/A,FALSE,"FCB"}</definedName>
    <definedName name="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UniqueIdentifier" hidden="1">"'5375716e-454b-48bf-b2c6-623a22f6f7fd'"</definedName>
    <definedName name="_ap2" localSheetId="10" hidden="1">{"detail",#N/A,FALSE,"mfg";"summary",#N/A,FALSE,"mfg"}</definedName>
    <definedName name="_ap2" hidden="1">{"detail",#N/A,FALSE,"mfg";"summary",#N/A,FALSE,"mfg"}</definedName>
    <definedName name="_Apr03" localSheetId="10" hidden="1">{"Statement of Income",#N/A,TRUE,"Mar99";"Balance Sheet",#N/A,TRUE,"Mar99"}</definedName>
    <definedName name="_Apr03" localSheetId="15" hidden="1">{"Statement of Income",#N/A,TRUE,"Mar99";"Balance Sheet",#N/A,TRUE,"Mar99"}</definedName>
    <definedName name="_Apr03" hidden="1">{"Statement of Income",#N/A,TRUE,"Mar99";"Balance Sheet",#N/A,TRUE,"Mar99"}</definedName>
    <definedName name="_Apr04" localSheetId="10" hidden="1">{"Statement of Income",#N/A,TRUE,"Mar99";"Balance Sheet",#N/A,TRUE,"Mar99"}</definedName>
    <definedName name="_Apr04" localSheetId="15" hidden="1">{"Statement of Income",#N/A,TRUE,"Mar99";"Balance Sheet",#N/A,TRUE,"Mar99"}</definedName>
    <definedName name="_Apr04" hidden="1">{"Statement of Income",#N/A,TRUE,"Mar99";"Balance Sheet",#N/A,TRUE,"Mar99"}</definedName>
    <definedName name="_as1" localSheetId="10" hidden="1">{"FCB_ALL",#N/A,FALSE,"FCB"}</definedName>
    <definedName name="_as1" localSheetId="15" hidden="1">{"FCB_ALL",#N/A,FALSE,"FCB"}</definedName>
    <definedName name="_as1" hidden="1">{"FCB_ALL",#N/A,FALSE,"FCB"}</definedName>
    <definedName name="_AS2" localSheetId="10" hidden="1">{"FCB_ALL",#N/A,FALSE,"FCB"}</definedName>
    <definedName name="_AS2" localSheetId="15" hidden="1">{"FCB_ALL",#N/A,FALSE,"FCB"}</definedName>
    <definedName name="_AS2" hidden="1">{"FCB_ALL",#N/A,FALSE,"FCB"}</definedName>
    <definedName name="_as3" localSheetId="10" hidden="1">{"FCB_ALL",#N/A,FALSE,"FCB"}</definedName>
    <definedName name="_as3" localSheetId="15" hidden="1">{"FCB_ALL",#N/A,FALSE,"FCB"}</definedName>
    <definedName name="_as3" hidden="1">{"FCB_ALL",#N/A,FALSE,"FCB"}</definedName>
    <definedName name="_AS4" localSheetId="10" hidden="1">{"FCB_ALL",#N/A,FALSE,"FCB"}</definedName>
    <definedName name="_AS4" localSheetId="15" hidden="1">{"FCB_ALL",#N/A,FALSE,"FCB"}</definedName>
    <definedName name="_AS4" hidden="1">{"FCB_ALL",#N/A,FALSE,"FCB"}</definedName>
    <definedName name="_as6" localSheetId="10" hidden="1">{"FCB_ALL",#N/A,FALSE,"FCB"}</definedName>
    <definedName name="_as6" localSheetId="15" hidden="1">{"FCB_ALL",#N/A,FALSE,"FCB"}</definedName>
    <definedName name="_as6" hidden="1">{"FCB_ALL",#N/A,FALSE,"FCB"}</definedName>
    <definedName name="_AS7" localSheetId="10" hidden="1">{"FCB_ALL",#N/A,FALSE,"FCB"}</definedName>
    <definedName name="_AS7" localSheetId="15" hidden="1">{"FCB_ALL",#N/A,FALSE,"FCB"}</definedName>
    <definedName name="_AS7" hidden="1">{"FCB_ALL",#N/A,FALSE,"FCB"}</definedName>
    <definedName name="_ATPCorr_Dlg_Results" localSheetId="10" hidden="1">{2;#N/A;"R8C4:R8C18";#N/A;"R6C4:R6C18";#N/A;1;#N/A;#N/A;FALSE;#N/A;#N/A;#N/A}</definedName>
    <definedName name="_ATPCorr_Dlg_Results" localSheetId="15" hidden="1">{2;#N/A;"R8C4:R8C18";#N/A;"R6C4:R6C18";#N/A;1;#N/A;#N/A;FALSE;#N/A;#N/A;#N/A}</definedName>
    <definedName name="_ATPCorr_Dlg_Results" hidden="1">{2;#N/A;"R8C4:R8C18";#N/A;"R6C4:R6C18";#N/A;1;#N/A;#N/A;FALSE;#N/A;#N/A;#N/A}</definedName>
    <definedName name="_ATPCorr_Dlg_Types" localSheetId="10" hidden="1">{"EXCELHLP.HLP!1784";5;10;5;10;5;11;112;112;13;1;2;24}</definedName>
    <definedName name="_ATPCorr_Dlg_Types" localSheetId="15" hidden="1">{"EXCELHLP.HLP!1784";5;10;5;10;5;11;112;112;13;1;2;24}</definedName>
    <definedName name="_ATPCorr_Dlg_Types" hidden="1">{"EXCELHLP.HLP!1784";5;10;5;10;5;11;112;112;13;1;2;24}</definedName>
    <definedName name="_ATPHist_Dlg_Results" localSheetId="10" hidden="1">{2;#N/A;"R10C2";#N/A;"";#N/A;"";TRUE;TRUE;TRUE;#N/A;#N/A;#N/A}</definedName>
    <definedName name="_ATPHist_Dlg_Results" localSheetId="15" hidden="1">{2;#N/A;"R10C2";#N/A;"";#N/A;"";TRUE;TRUE;TRUE;#N/A;#N/A;#N/A}</definedName>
    <definedName name="_ATPHist_Dlg_Results" hidden="1">{2;#N/A;"R10C2";#N/A;"";#N/A;"";TRUE;TRUE;TRUE;#N/A;#N/A;#N/A}</definedName>
    <definedName name="_ATPHist_Dlg_Types" localSheetId="10" hidden="1">{"EXCELHLP.HLP!1790";5;10;5;10;5;10;13;13;13;1;2;24}</definedName>
    <definedName name="_ATPHist_Dlg_Types" localSheetId="15" hidden="1">{"EXCELHLP.HLP!1790";5;10;5;10;5;10;13;13;13;1;2;24}</definedName>
    <definedName name="_ATPHist_Dlg_Types" hidden="1">{"EXCELHLP.HLP!1790";5;10;5;10;5;10;13;13;13;1;2;24}</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573</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04" localSheetId="10" hidden="1">{"Statement of Income",#N/A,TRUE,"Mar99";"Balance Sheet",#N/A,TRUE,"Mar99"}</definedName>
    <definedName name="_aug04" localSheetId="15" hidden="1">{"Statement of Income",#N/A,TRUE,"Mar99";"Balance Sheet",#N/A,TRUE,"Mar99"}</definedName>
    <definedName name="_aug04" hidden="1">{"Statement of Income",#N/A,TRUE,"Mar99";"Balance Sheet",#N/A,TRUE,"Mar99"}</definedName>
    <definedName name="_B" hidden="1">#REF!</definedName>
    <definedName name="_b111" localSheetId="10" hidden="1">{#N/A,#N/A,FALSE,"Pharm";#N/A,#N/A,FALSE,"WWCM"}</definedName>
    <definedName name="_b111" hidden="1">{#N/A,#N/A,FALSE,"Pharm";#N/A,#N/A,FALSE,"WWCM"}</definedName>
    <definedName name="_bdm.00920C64EED34686BD5F5DCC58D9334A.edm" hidden="1">#REF!</definedName>
    <definedName name="_bdm.00C7B222E5104CF5BA40950B4D9DFB90.edm" hidden="1">#REF!</definedName>
    <definedName name="_bdm.00C977DBCF0E450BB66797033B4BA8BF.edm" hidden="1">#REF!</definedName>
    <definedName name="_bdm.00EC971BF37311D6B67A0010A48BFF38.edm" hidden="1">#REF!</definedName>
    <definedName name="_bdm.0146B6D7C22541EFBBD99AA417803373.edm" hidden="1">#REF!</definedName>
    <definedName name="_bdm.020381284EBD4FA2B15CF496329279EF.edm" hidden="1">#REF!</definedName>
    <definedName name="_bdm.02ADA3DD96984F11881BFFE22A852324.edm" hidden="1">#REF!</definedName>
    <definedName name="_bdm.02B4C75159F04199B8934F516F6AA809.edm" hidden="1">#REF!</definedName>
    <definedName name="_bdm.02B5FCA33AA04191AA2D3F11CAC64889.edm" hidden="1">#REF!</definedName>
    <definedName name="_bdm.0390E3BF7A824516AAA39CAA9A1C23F7.edm" hidden="1">#REF!</definedName>
    <definedName name="_bdm.03DE683328E849E3BF44D1CE1BD0CB55.edm" hidden="1">#REF!</definedName>
    <definedName name="_bdm.04158DBE1D58411183E9B517151430D4.edm" hidden="1">#REF!</definedName>
    <definedName name="_bdm.0430AAB808464BC2B4A53E6A44EAEB4A.edm" hidden="1">#REF!</definedName>
    <definedName name="_bdm.044B15321E4B4C03B6CDEC9EFF79DF80.edm" hidden="1">#REF!</definedName>
    <definedName name="_bdm.046B98A2323C417E8AF9B09E21925DBF.edm" hidden="1">#REF!</definedName>
    <definedName name="_bdm.0488B6EB24544945BFED70BB8E99B121.edm" hidden="1">#REF!</definedName>
    <definedName name="_bdm.050E76F41C754C279DA97D7D3DC27086.edm" hidden="1">#REF!</definedName>
    <definedName name="_bdm.052876060A1B4300B336A7DD440B2CA1.edm" hidden="1">#REF!</definedName>
    <definedName name="_bdm.05316F1893AE4358BAC2247AA4AE703E.edm" hidden="1">#REF!</definedName>
    <definedName name="_bdm.0532EAC0032C41598DCCFFCD0C08B9BE.edm" hidden="1">#REF!</definedName>
    <definedName name="_bdm.05AA17E2BCCE4E86946197A09B4DC677.edm" hidden="1">#REF!</definedName>
    <definedName name="_bdm.05AD755AE1B644BCB6FF7AF6D6C94EE7.edm" hidden="1">#REF!</definedName>
    <definedName name="_bdm.0608E162CA7C47079065533A5CDDC7D4.edm" hidden="1">#REF!</definedName>
    <definedName name="_bdm.067130B6A270430DB437DC4CAF105DD2.edm" hidden="1">#REF!</definedName>
    <definedName name="_bdm.0680F784CFD24F119A5DCAAAF71656BC.edm" hidden="1">#REF!</definedName>
    <definedName name="_bdm.069E0903A0524E058DBD0D65F455B355.edm" hidden="1">#REF!</definedName>
    <definedName name="_bdm.06A1F474970240CA950B5E04B0DB4F91.edm" hidden="1">#REF!</definedName>
    <definedName name="_bdm.06AB1AB0C10449B7819DD47EED4AA8E3.edm" hidden="1">#REF!</definedName>
    <definedName name="_bdm.06E5010190C04085BB7DF691B93AEFBB.edm" hidden="1">#REF!</definedName>
    <definedName name="_bdm.0701FD45869E450A9B764712811E3170.edm" hidden="1">#REF!</definedName>
    <definedName name="_bdm.072D656B3C144DE3ACFE1069840FFBAA.edm" hidden="1">#REF!</definedName>
    <definedName name="_bdm.073124E035AF46F282A5B1E87AE6E792.edm" hidden="1">#REF!</definedName>
    <definedName name="_bdm.074EB0C6AAE811D6B66B0010A4863BD8.edm" hidden="1">#REF!</definedName>
    <definedName name="_bdm.075516DF6D474B1CA05EC11A256B88BD.edm" hidden="1">#REF!</definedName>
    <definedName name="_bdm.07C54DFF5E534C3E8859FE499270A5AB.edm" hidden="1">#REF!</definedName>
    <definedName name="_bdm.07E00CA0196F42B6BE973B0CBDC4EA04.edm" hidden="1">#REF!</definedName>
    <definedName name="_bdm.09AD5D6607CE4A75ADD01C2612752A10.edm" hidden="1">#REF!</definedName>
    <definedName name="_bdm.0A56FBB4D3E94D76915CFA92934E6A25.edm" hidden="1">#REF!</definedName>
    <definedName name="_bdm.0A7FCE01396546258E3BF2486B0EB921.edm" hidden="1">#REF!</definedName>
    <definedName name="_bdm.0B14247665B24A5ABEC53E8ACF3C812C.edm" hidden="1">#REF!</definedName>
    <definedName name="_bdm.0B5E4A07F78E4E3E923312BD37FD77A2.edm" hidden="1">#REF!</definedName>
    <definedName name="_bdm.0B8A26CD8B424A04958927A45BB9BB16.edm" hidden="1">#REF!</definedName>
    <definedName name="_bdm.0C1778734FAC415C8C0B89C3E3732EFC.edm" hidden="1">#REF!</definedName>
    <definedName name="_bdm.0CE515F768C944B1B7DC26B5138956EC.edm" hidden="1">#REF!</definedName>
    <definedName name="_bdm.0D36997B78AB466394832F21270DBFC5.edm" hidden="1">#REF!</definedName>
    <definedName name="_bdm.0D4BEE71D9D940DB8C4FBFDD94AF58AB.edm" hidden="1">#REF!</definedName>
    <definedName name="_bdm.0D9476229446419BAB58663F92F90041.edm" hidden="1">#REF!</definedName>
    <definedName name="_bdm.0DA59F0DBB3D4768A7821788B27B6497.edm" hidden="1">#REF!</definedName>
    <definedName name="_bdm.0DB582D9EBC24E4BAED751F25FB371AA.edm" hidden="1">#REF!</definedName>
    <definedName name="_bdm.0DCF3CE421554A9082E0B8A40DBD6FA4.edm" hidden="1">#REF!</definedName>
    <definedName name="_bdm.0E43CFB7D82948669C8A5A28805FE53E.edm" hidden="1">#REF!</definedName>
    <definedName name="_bdm.0E47EA05EF7045CD985ACF99953E65FC.edm" hidden="1">#REF!</definedName>
    <definedName name="_bdm.0E4F180917654E0C916D0B0DCFC0BD67.edm" hidden="1">#REF!</definedName>
    <definedName name="_bdm.0E72569B534E450BBDD4D4C08A228512.edm" hidden="1">#REF!</definedName>
    <definedName name="_bdm.0F288D482B984B9FB7CF701B327B593C.edm" hidden="1">#REF!</definedName>
    <definedName name="_bdm.0FBD79EB2A4043BCA5A41D9E234DC189.edm" hidden="1">#REF!</definedName>
    <definedName name="_bdm.0FD510396F7944CCA68FAECF0DB2CD2E.edm" hidden="1">#REF!</definedName>
    <definedName name="_bdm.0FDB2DB565034585B6406269BB5247F7.edm" hidden="1">#REF!</definedName>
    <definedName name="_bdm.0FE579AE6EBE4A03AEA35A7F7B449830.edm" hidden="1">#REF!</definedName>
    <definedName name="_bdm.10AFEF4E22314A19A2FE0C6A33586798.edm" hidden="1">#REF!</definedName>
    <definedName name="_bdm.10E7F6D294994965ADDCFB0CE39142FE.edm" hidden="1">#REF!</definedName>
    <definedName name="_bdm.119D60808CBB495A9BCBC6B7A5209115.edm" hidden="1">#REF!</definedName>
    <definedName name="_bdm.1299E3C52BC942B685A0EC24DD305DC1.edm" hidden="1">#REF!</definedName>
    <definedName name="_bdm.12D9E426EBF545758EAA5A996D741CC4.edm" hidden="1">#REF!</definedName>
    <definedName name="_bdm.13854F83437D4F3AA5DF93A98777AEA2.edm" hidden="1">#REF!</definedName>
    <definedName name="_bdm.13FCA494D621432986DE6F493B26702B.edm" hidden="1">#REF!</definedName>
    <definedName name="_bdm.140CEE0F30924B3FA24235E7330D4CD8.edm" hidden="1">#REF!</definedName>
    <definedName name="_bdm.14263D1F2D814D5EB1F95B1D6957384D.edm" hidden="1">#REF!</definedName>
    <definedName name="_bdm.14D650A9568545CDA455DBB05600EB1A.edm" hidden="1">#REF!</definedName>
    <definedName name="_bdm.14EC492C284D4FFDBF82748D340A8F9D.edm" hidden="1">#REF!</definedName>
    <definedName name="_bdm.15FE907E1D2A493792154510A6B1C9F9.edm" hidden="1">#REF!</definedName>
    <definedName name="_bdm.16FD847D1E644E1CBEBC7B3406FEB72C.edm" hidden="1">#REF!</definedName>
    <definedName name="_bdm.171DB9927CB04DA0A34634F5C57D2EDB.edm" hidden="1">#REF!</definedName>
    <definedName name="_bdm.1742263542124AF3BCE865208D9E404D.edm" hidden="1">#REF!</definedName>
    <definedName name="_bdm.1757E07DCDE14B2CAF7BB2CA0D3F723A.edm" hidden="1">#REF!</definedName>
    <definedName name="_bdm.176110B039C443E5B84DB46F463A6EC7.edm" localSheetId="10" hidden="1">#REF!</definedName>
    <definedName name="_bdm.176110B039C443E5B84DB46F463A6EC7.edm" localSheetId="9" hidden="1">#REF!</definedName>
    <definedName name="_bdm.176110B039C443E5B84DB46F463A6EC7.edm" localSheetId="8" hidden="1">#REF!</definedName>
    <definedName name="_bdm.176110B039C443E5B84DB46F463A6EC7.edm" localSheetId="16" hidden="1">#REF!</definedName>
    <definedName name="_bdm.176110B039C443E5B84DB46F463A6EC7.edm" hidden="1">#REF!</definedName>
    <definedName name="_bdm.17B5DC10C28549F292FCB8DC79B43563.edm" hidden="1">#REF!</definedName>
    <definedName name="_bdm.182E22C13B9C4F58BF066CB9A62F0692.edm" hidden="1">#REF!</definedName>
    <definedName name="_bdm.186E557C626A48B6A5FB56ABBC62B4D1.edm" hidden="1">#REF!</definedName>
    <definedName name="_bdm.18F872EA41EB42D6B8CE32747B237FBF.edm" hidden="1">#REF!</definedName>
    <definedName name="_bdm.1925861F1AF14194919CB2978FCDE43B.edm" hidden="1">#REF!</definedName>
    <definedName name="_bdm.1947C269431F4D57A54F6F32CE0C09F6.edm" hidden="1">#REF!</definedName>
    <definedName name="_bdm.196E2C1A7BD14EB9BA42E1F187F09491.edm" hidden="1">#REF!</definedName>
    <definedName name="_bdm.1A0F74F416E84363A342474C0C51096B.edm" hidden="1">#REF!</definedName>
    <definedName name="_bdm.1AA8D9B594E748AE89AE3879E59C7CF2.edm" hidden="1">#REF!</definedName>
    <definedName name="_bdm.1B0AC81D6080410395D414073E96136E.edm" hidden="1">#REF!</definedName>
    <definedName name="_bdm.1B0E90DCF50448EB86B270DFC94164D8.edm" hidden="1">#REF!</definedName>
    <definedName name="_bdm.1B1CFD2E91DE460B91FC7C1F9783D058.edm" hidden="1">#REF!</definedName>
    <definedName name="_bdm.1B4312D352A14A98AF129CA8B2217F0E.edm" hidden="1">#REF!</definedName>
    <definedName name="_bdm.1D220B6B5B164370A3CF21AC7A43A0CE.edm" hidden="1">#REF!</definedName>
    <definedName name="_bdm.1D318966F3CB4F4CA4453BB8DC2CAAB7.edm" hidden="1">#REF!</definedName>
    <definedName name="_bdm.1DB9EA5728D249C0A6ADB9AC12D10F18.edm" hidden="1">#REF!</definedName>
    <definedName name="_bdm.1DF82C96AF3C40C79BA8BD6CB43CADCF.edm" hidden="1">#REF!</definedName>
    <definedName name="_bdm.1E174FF182FE4327AC9992C9CB30CEB1.edm" hidden="1">#REF!</definedName>
    <definedName name="_bdm.1E2FADFA356A485D92704BB75C115A95.edm" hidden="1">#REF!</definedName>
    <definedName name="_bdm.1E5DAEC9ED9C4B28A2288DFBA2D7F474.edm" hidden="1">#REF!</definedName>
    <definedName name="_bdm.1E978051F71841AB88DBFD5F9C9014EA.edm" hidden="1">#REF!</definedName>
    <definedName name="_bdm.1ECD634A14C94C5E84F7B690A63CF901.edm" hidden="1">#REF!</definedName>
    <definedName name="_bdm.1EFA6E5F736544CC9E170A4836210CBC.edm" hidden="1">#REF!</definedName>
    <definedName name="_bdm.1F9BFE97922341DC9913B640AEC37313.edm" hidden="1">#REF!</definedName>
    <definedName name="_bdm.206C2D94AA3711D6B64A0010A494EFA8.edm" hidden="1">#REF!</definedName>
    <definedName name="_bdm.206C2DBCAA3711D6B64A0010A494EFA8.edm" hidden="1">#REF!</definedName>
    <definedName name="_bdm.20B7F1DAA2F74D88ABFACD68249B5A23.edm" hidden="1">#REF!</definedName>
    <definedName name="_bdm.20D9849904EC4812AC42A258D27EA1F8.edm" hidden="1">#REF!</definedName>
    <definedName name="_bdm.2157997AF4EA49BEA4469C8F8A27DB92.edm" hidden="1">#REF!</definedName>
    <definedName name="_bdm.218FC2502F2042DBAA48A34C2C2E472A.edm" hidden="1">#REF!</definedName>
    <definedName name="_bdm.21F6A454388643188DDBA6B8208D6875.edm" hidden="1">#REF!</definedName>
    <definedName name="_bdm.224207935B3E44B49BC0BD1F1CCE6A2E.edm" hidden="1">#REF!</definedName>
    <definedName name="_bdm.236748EDED7F49FF9D8C8341C398889E.edm" hidden="1">#REF!</definedName>
    <definedName name="_bdm.236EA32745904930B2B5BAF782E7EACA.edm" hidden="1">#REF!</definedName>
    <definedName name="_bdm.2398C53567284E5E8937DD13BB789BD3.edm" hidden="1">#REF!</definedName>
    <definedName name="_bdm.24325375C24E4A1FA0CBF3F33D2C5C4F.edm" hidden="1">#REF!</definedName>
    <definedName name="_bdm.256BAC9DAB8C419096317D56A886EE92.edm" hidden="1">#REF!</definedName>
    <definedName name="_bdm.2599A91C569144CE8B11C9FBF455E285.edm" hidden="1">#REF!</definedName>
    <definedName name="_bdm.25A9C63C58E0417DB5AA529D4513182D.edm" hidden="1">#REF!</definedName>
    <definedName name="_bdm.25C474F2533C4648B6B616521128E386.edm" hidden="1">#REF!</definedName>
    <definedName name="_bdm.260C89E4C246443DA826DE2224207C74.edm" hidden="1">#REF!</definedName>
    <definedName name="_bdm.26487AE4AE164C18865429142D38A8B8.edm" hidden="1">#REF!</definedName>
    <definedName name="_bdm.26695FB459964F5EA7AC96BB88DB3565.edm" hidden="1">#REF!</definedName>
    <definedName name="_bdm.2693C73ACCE34EC18978BF86295C3430.edm" hidden="1">#REF!</definedName>
    <definedName name="_bdm.2753BCD41B0C439B8447D8845EA99853.edm" hidden="1">#REF!</definedName>
    <definedName name="_bdm.279511A8E42241F19297ADE1C3ACC6BD.edm" hidden="1">#REF!</definedName>
    <definedName name="_bdm.27E28DCC9F5E45A3BDDBF091A4604B8C.edm" hidden="1">#REF!</definedName>
    <definedName name="_bdm.2800953456A549BD8B00DB3037B9D2ED.edm" hidden="1">#REF!</definedName>
    <definedName name="_bdm.287136BF6D2A45E7AE7FC67A23568883.edm" hidden="1">#REF!</definedName>
    <definedName name="_bdm.28F3C3B79E43484AA41A87D12ADB61B5.edm" hidden="1">#REF!</definedName>
    <definedName name="_bdm.298A5F8B64B9430DBAA63A1F768B0EAE.edm" hidden="1">#REF!</definedName>
    <definedName name="_bdm.2995F06607F7484BA26B53FB9DD3B1BD.edm" hidden="1">#REF!</definedName>
    <definedName name="_bdm.29B6C90491534050B2C5F5D0FAC008D1.edm" hidden="1">#REF!</definedName>
    <definedName name="_bdm.29D50764500C49D3B111529F1E3057FB.edm" hidden="1">#REF!</definedName>
    <definedName name="_bdm.2A5234D8A73011D6B6510010A48BFF38.edm" hidden="1">#REF!</definedName>
    <definedName name="_bdm.2A5D84E1960B4A8DB13740BC9250E76C.edm" hidden="1">#REF!</definedName>
    <definedName name="_bdm.2AB8234C29D94D7EAD52D60227365442.edm" hidden="1">#REF!</definedName>
    <definedName name="_bdm.2B729C8C5A294C089C442500BCA05E48.edm" hidden="1">#REF!</definedName>
    <definedName name="_bdm.2BAAB9CA70AD4DA2B559E2DCB37E72A0.edm" hidden="1">#REF!</definedName>
    <definedName name="_bdm.2CD96615718443A48CEF0437CB4ED37D.edm" hidden="1">#REF!</definedName>
    <definedName name="_bdm.2D09A2AAE63B46F1AB1AFACC48625F88.edm" hidden="1">#REF!</definedName>
    <definedName name="_bdm.2D789B4DA8F44D1AB119D4C4C0B8FB85.edm" localSheetId="10" hidden="1">#REF!</definedName>
    <definedName name="_bdm.2D789B4DA8F44D1AB119D4C4C0B8FB85.edm" localSheetId="9" hidden="1">#REF!</definedName>
    <definedName name="_bdm.2D789B4DA8F44D1AB119D4C4C0B8FB85.edm" localSheetId="8" hidden="1">#REF!</definedName>
    <definedName name="_bdm.2D789B4DA8F44D1AB119D4C4C0B8FB85.edm" localSheetId="16" hidden="1">#REF!</definedName>
    <definedName name="_bdm.2D789B4DA8F44D1AB119D4C4C0B8FB85.edm" hidden="1">#REF!</definedName>
    <definedName name="_bdm.2D7B165D7D79459E8D9F5AFE687BBED3.edm" hidden="1">#REF!</definedName>
    <definedName name="_bdm.2DDB2874CD704CF392A4CF5A1899B788.edm" hidden="1">#REF!</definedName>
    <definedName name="_bdm.2F7A28C715A34E59ACD47BF4ACFF5BEC.edm" hidden="1">#REF!</definedName>
    <definedName name="_bdm.2FCEFDDE7D774214983E564F558599D3.edm" hidden="1">#REF!</definedName>
    <definedName name="_bdm.2FDFBF0EBFB648DBA7942CF3DD0D5723.edm" hidden="1">#REF!</definedName>
    <definedName name="_bdm.300AD74A4CB340EC819E80CB01F466A0.edm" hidden="1">#REF!</definedName>
    <definedName name="_bdm.307AE282EF494BA18352C38E58FC9F13.edm" hidden="1">#REF!</definedName>
    <definedName name="_bdm.3083A4B61BC04B098C94A9A22E91ECC0.edm" hidden="1">#REF!</definedName>
    <definedName name="_bdm.31045FDB070C4B7B955DA288E0536ECF.edm" hidden="1">#REF!</definedName>
    <definedName name="_bdm.317630215C304A9593BCEE8DC5A9A104.edm" hidden="1">#REF!</definedName>
    <definedName name="_bdm.31AC50237BF3479EA8BBACDAC58C63B4.edm" hidden="1">#REF!</definedName>
    <definedName name="_bdm.31C27EA349F14167ADDA73E338CDEDC9.edm" hidden="1">#REF!</definedName>
    <definedName name="_bdm.320AB203D61849D8BB27C4A4B5BCE18E.edm" hidden="1">#REF!</definedName>
    <definedName name="_bdm.3213D167259B4D26A55767AF7B5B7BD2.edm" hidden="1">#REF!</definedName>
    <definedName name="_bdm.322FEE6EDDE74F6D881DD2E02B0B781D.edm" hidden="1">#REF!</definedName>
    <definedName name="_bdm.326F319CF0254E66907D4822FF69D184.edm" hidden="1">#REF!</definedName>
    <definedName name="_bdm.327C600634DB461DA572D3017DFAF420.edm" hidden="1">#REF!</definedName>
    <definedName name="_bdm.327EA03D3A584F82A302CFE810FD977E.edm" hidden="1">#REF!</definedName>
    <definedName name="_bdm.3286186B9D9D46A2A51FD2BE9F703CC9.edm" hidden="1">#REF!</definedName>
    <definedName name="_bdm.329FD9CDA97C40029C4A921D6224414B.edm" hidden="1">#REF!</definedName>
    <definedName name="_bdm.32A251B02CD74517B57F250F842C660B.edm" hidden="1">#REF!</definedName>
    <definedName name="_bdm.335F3336C0D14B1C965852F46F4921F6.edm" hidden="1">#REF!</definedName>
    <definedName name="_bdm.3394875F6798403DA5FAEA435E031807.edm" hidden="1">#REF!</definedName>
    <definedName name="_bdm.33EB3E3BFEBC4D93BDB7D1AA63A2197B.edm" hidden="1">#REF!</definedName>
    <definedName name="_bdm.33F22D7ADF5B43F5ADB1DBA6BCB4B7CD.edm" hidden="1">#REF!</definedName>
    <definedName name="_bdm.33FA1157727E4DF59F19227763B66461.edm" hidden="1">#REF!</definedName>
    <definedName name="_bdm.348FF45764D946FBA20961D522AA8A10.edm" hidden="1">#REF!</definedName>
    <definedName name="_bdm.35258D2C3A774FE08615D010914F7CD0.edm" hidden="1">#REF!</definedName>
    <definedName name="_bdm.352CC0E86942495F9DD68124E31D1D6C.edm" hidden="1">#REF!</definedName>
    <definedName name="_bdm.3540590B26A94C0A8576FDB7DB8C4AF1.edm" hidden="1">#REF!</definedName>
    <definedName name="_bdm.35C17C1594054E34B9A67423BDDA99B2.edm" hidden="1">#REF!</definedName>
    <definedName name="_bdm.360D6D4C81114F2999D6281E362FE2DB.edm" hidden="1">#REF!</definedName>
    <definedName name="_bdm.3625CD60552E438F9AF1850368DACA43.edm" hidden="1">#REF!</definedName>
    <definedName name="_bdm.36877CD477D84DC5A3F38D89171D0D22.edm" hidden="1">#REF!</definedName>
    <definedName name="_bdm.37656FB3B37444BA9F0CBF257DD8DA12.edm" hidden="1">#REF!</definedName>
    <definedName name="_bdm.3772A3C9E9DB4CD3AD658C23E60B63D6.edm" hidden="1">#REF!</definedName>
    <definedName name="_bdm.37ECB1E72BBF40018748A75B0440FE3D.edm" hidden="1">#REF!</definedName>
    <definedName name="_bdm.3803A7941AB5419A8F5B3F22659B0C31.edm" hidden="1">#REF!</definedName>
    <definedName name="_bdm.38674B9D98374E25AE280B38B60B4462.edm" hidden="1">#REF!</definedName>
    <definedName name="_bdm.38F894FA9F0F435D8EDFCE770209118D.edm" hidden="1">#REF!</definedName>
    <definedName name="_bdm.396141B1CAC94C448B70E0D86654F245.edm" hidden="1">#REF!</definedName>
    <definedName name="_bdm.39C9E15CE9D24374A40E40FCDF6B0E3F.edm" hidden="1">#REF!</definedName>
    <definedName name="_bdm.3AAEA1B972FD4854B6D588497CA07013.edm" hidden="1">#REF!</definedName>
    <definedName name="_bdm.3AF2E5D9117A443F8D013643FA2ED498.edm" hidden="1">#REF!</definedName>
    <definedName name="_bdm.3B354330526544428F0FA37F2E499D89.edm" hidden="1">#REF!</definedName>
    <definedName name="_bdm.3B49A063AC4648629E05A28CD1426742.edm" hidden="1">#REF!</definedName>
    <definedName name="_bdm.3BFAEEE4973F47F2A40AD6EEEC7F75BD.edm" hidden="1">#REF!</definedName>
    <definedName name="_bdm.3C85B8B72031432BBE4908EB2BE0D389.edm" hidden="1">#REF!</definedName>
    <definedName name="_bdm.3D2CC9BFCECF4E67A7A2DBB135EECE58.edm" hidden="1">#REF!</definedName>
    <definedName name="_bdm.3E77E2BCA5EB4231BAADC79B685A2D45.edm" hidden="1">#REF!</definedName>
    <definedName name="_bdm.3E8C9359ED604035BFEDCFC0D6C28C65.edm" hidden="1">#REF!</definedName>
    <definedName name="_bdm.3ECC007E5E5F467AA2CD741B1CA8406F.edm" hidden="1">#REF!</definedName>
    <definedName name="_bdm.3EE642D27E7B4720ADB88F31A16CB458.edm" hidden="1">#REF!</definedName>
    <definedName name="_bdm.3FADA471078C4538935E8983A5670590.edm" hidden="1">#REF!</definedName>
    <definedName name="_bdm.3FD5B52068BC4268A674B5E038EF8617.edm" hidden="1">#REF!</definedName>
    <definedName name="_bdm.3FFEE8484F5F4FD78F751BB5AFF76849.edm" hidden="1">#REF!</definedName>
    <definedName name="_bdm.4028042FC4F24AE7B2413DCBE1C0B1A4.edm" hidden="1">#REF!</definedName>
    <definedName name="_bdm.407AD327048C4F19845FD3B2870E7ECC.edm" hidden="1">#REF!</definedName>
    <definedName name="_bdm.40BA8CFF98B84DB1BE0E23DBB5005A4E.edm" hidden="1">#REF!</definedName>
    <definedName name="_bdm.417BEC80380948F2B3E6BE501E2B2DB6.edm" hidden="1">#REF!</definedName>
    <definedName name="_bdm.41E14FED68AA4A9CA40A61E7A1FFEFEF.edm" hidden="1">#REF!</definedName>
    <definedName name="_bdm.4217A99AE8B8451A87A7EE49A76DB99B.edm" hidden="1">#REF!</definedName>
    <definedName name="_bdm.42802E95197149D9B41BAD12863E3242.edm" hidden="1">#REF!</definedName>
    <definedName name="_bdm.42C40459A4C34E0AA6250D465EAC2F88.edm" hidden="1">#REF!</definedName>
    <definedName name="_bdm.42D1992F728147AB9C9D0DF7A65EE627.edm" hidden="1">#REF!</definedName>
    <definedName name="_bdm.43753D313C434DBDAA18E677F5DED2C1.edm" hidden="1">#REF!</definedName>
    <definedName name="_bdm.438F3D73FC6741BFB92653FF62A04F21.edm" hidden="1">#REF!</definedName>
    <definedName name="_bdm.43BEFD54E5614A47BA6CC71AF25685D4.edm" hidden="1">#REF!</definedName>
    <definedName name="_bdm.43C49272738844BCB33388CFE7580BD0.edm" hidden="1">#REF!</definedName>
    <definedName name="_bdm.4447BFB0A4B2482492F6C836FEA0D787.edm" hidden="1">#REF!</definedName>
    <definedName name="_bdm.452A160DCA4049D2BD9962735516F61C.edm" hidden="1">#REF!</definedName>
    <definedName name="_bdm.457AA7C60C3A472FAE38A337B795E144.edm" hidden="1">#REF!</definedName>
    <definedName name="_bdm.458A7C23B80F40F5AD0F04282EAD1F72.edm" hidden="1">#REF!</definedName>
    <definedName name="_bdm.45A4A537F5CC407A8B27A4D8D1DB5B9D.edm" localSheetId="10" hidden="1">#REF!</definedName>
    <definedName name="_bdm.45A4A537F5CC407A8B27A4D8D1DB5B9D.edm" localSheetId="9" hidden="1">#REF!</definedName>
    <definedName name="_bdm.45A4A537F5CC407A8B27A4D8D1DB5B9D.edm" localSheetId="8" hidden="1">#REF!</definedName>
    <definedName name="_bdm.45A4A537F5CC407A8B27A4D8D1DB5B9D.edm" localSheetId="16" hidden="1">#REF!</definedName>
    <definedName name="_bdm.45A4A537F5CC407A8B27A4D8D1DB5B9D.edm" hidden="1">#REF!</definedName>
    <definedName name="_bdm.4609BFF9FC004796BEA936122DF53E14.edm" hidden="1">#REF!</definedName>
    <definedName name="_bdm.46AA3F6DE83349389FBD4CE0CAEFF29B.edm" localSheetId="10" hidden="1">#REF!</definedName>
    <definedName name="_bdm.46AA3F6DE83349389FBD4CE0CAEFF29B.edm" localSheetId="9" hidden="1">#REF!</definedName>
    <definedName name="_bdm.46AA3F6DE83349389FBD4CE0CAEFF29B.edm" localSheetId="8" hidden="1">#REF!</definedName>
    <definedName name="_bdm.46AA3F6DE83349389FBD4CE0CAEFF29B.edm" localSheetId="16" hidden="1">#REF!</definedName>
    <definedName name="_bdm.46AA3F6DE83349389FBD4CE0CAEFF29B.edm" hidden="1">#REF!</definedName>
    <definedName name="_bdm.46FCD1AF4F9843559F214F92BA6CF9AF.edm" hidden="1">#REF!</definedName>
    <definedName name="_bdm.473F734DC86146C8B3333374F16F7BEB.edm" hidden="1">#REF!</definedName>
    <definedName name="_bdm.475844AEC35A11D6B6A80010A4860669.edm" hidden="1">#REF!</definedName>
    <definedName name="_bdm.47750DFCBEA34F319CED7981FDE4A2B0.edm" hidden="1">#REF!</definedName>
    <definedName name="_bdm.477A9CC2BC6A44F98B279DA843F55134.edm" hidden="1">#REF!</definedName>
    <definedName name="_bdm.47D9AC4C37F04F18881BCF9BBB4B5790.edm" hidden="1">#REF!</definedName>
    <definedName name="_bdm.47FE5F38F1AB45B78C436FC2FB165CB5.edm" hidden="1">#REF!</definedName>
    <definedName name="_bdm.483CE52867F34C35A4D1B9CC11172C62.edm" hidden="1">#REF!</definedName>
    <definedName name="_bdm.4848B9335ECA40878CB43AA4648674D2.edm" hidden="1">#REF!</definedName>
    <definedName name="_bdm.48B80208EB5449A6885BD8B5FC42BF73.edm" hidden="1">#REF!</definedName>
    <definedName name="_bdm.49331A65A5B14E7B9C6E886D68478C73.edm" hidden="1">#REF!</definedName>
    <definedName name="_bdm.49354E02FA0D4244A4242718045BCC20.edm" hidden="1">#REF!</definedName>
    <definedName name="_bdm.494429C835544C20841E2E54BE079CD4.edm" hidden="1">#REF!</definedName>
    <definedName name="_bdm.4977F218FFF9406C8C2725685A301B52.edm" hidden="1">#REF!</definedName>
    <definedName name="_bdm.4998477B01A64995B59779A170481341.edm" hidden="1">#REF!</definedName>
    <definedName name="_bdm.49F7E563ECD944CFAE1748B87D7078AF.edm" hidden="1">#REF!</definedName>
    <definedName name="_bdm.4C0CE8878AD942AD86BAD7A4615EC5AA.edm" hidden="1">#REF!</definedName>
    <definedName name="_bdm.4C2931E4D6A04C7C9EF97FE803E3680E.edm" hidden="1">#REF!</definedName>
    <definedName name="_bdm.4C8C6AA4ECF54D30A05230E7F2D64A9A.edm" hidden="1">#REF!</definedName>
    <definedName name="_bdm.4CE9516CD4E746F79404A29736B23FBD.edm" hidden="1">#REF!</definedName>
    <definedName name="_bdm.4D565028A48947DA88A21B947C9C8E3A.edm" hidden="1">#REF!</definedName>
    <definedName name="_bdm.4D7A65E0C6E44559A7721B960836D7C7.edm" hidden="1">#REF!</definedName>
    <definedName name="_bdm.4DC3AE1E0F744F5D9EF18EA21D885678.edm" hidden="1">#REF!</definedName>
    <definedName name="_bdm.4DE6B797778149D7AD84B22F2C1424D5.edm" hidden="1">#REF!</definedName>
    <definedName name="_bdm.4E0758A47E954FF298E5074380F5A7B9.edm" hidden="1">#REF!</definedName>
    <definedName name="_bdm.4E996F973B844793896640EA1B88217D.edm" hidden="1">#REF!</definedName>
    <definedName name="_bdm.4EEE4D86254B4BDBAD1682436428D4C8.edm" hidden="1">#REF!</definedName>
    <definedName name="_bdm.50DB39E8564747F7BEA7D6CA5D2F62CD.edm" hidden="1">#REF!</definedName>
    <definedName name="_bdm.5145E2374A1143C49FA71355CDB89252.edm" hidden="1">#REF!</definedName>
    <definedName name="_bdm.51DAB588DB9942EA9FD227A74BED57D1.edm" hidden="1">#REF!</definedName>
    <definedName name="_bdm.521B211564F646BB829385E9FD69CDB7.edm" hidden="1">#REF!</definedName>
    <definedName name="_bdm.5303384F4E15454E91C3589127D8FC9B.edm" hidden="1">#REF!</definedName>
    <definedName name="_bdm.5396CB5824984BD1A40D7DB71618CC4A.edm" hidden="1">#REF!</definedName>
    <definedName name="_bdm.53F0A6700FC7423BBD6BF593CDD60F7E.edm" hidden="1">#REF!</definedName>
    <definedName name="_bdm.54250913C9B4459193F5AD2E65308755.edm" hidden="1">#REF!</definedName>
    <definedName name="_bdm.54F1E604DB79427CB5B22E3E2547D02D.edm" hidden="1">#REF!</definedName>
    <definedName name="_bdm.550e78962b754e309350d48c75fb1ce2.edm" hidden="1">#REF!</definedName>
    <definedName name="_bdm.55271B19E9F44E4D9721FE817703E3A9.edm" hidden="1">#REF!</definedName>
    <definedName name="_bdm.55F92649105C4A8EBC3427D4EC0F5F03.edm" hidden="1">#REF!</definedName>
    <definedName name="_bdm.5645A9D36D8546D5B4448AD4C3B4E2DA.edm" hidden="1">#REF!</definedName>
    <definedName name="_bdm.56C9D084B66C40CD8F157685821740BB.edm" hidden="1">#REF!</definedName>
    <definedName name="_bdm.56D05FAB27A147C989C537F7CC2C0D28.edm" hidden="1">#REF!</definedName>
    <definedName name="_bdm.5732800CC0F74AC3952DE126E463810E.edm" hidden="1">#REF!</definedName>
    <definedName name="_bdm.57375F6F1A8349BDB8D9EA77DC2DF440.edm" hidden="1">#REF!</definedName>
    <definedName name="_bdm.57F9133F8AF94CBDBF5AB0AE21792BEB.edm" hidden="1">#REF!</definedName>
    <definedName name="_bdm.5877BC8796844CE3A85034B202DDB6C0.edm" hidden="1">#REF!</definedName>
    <definedName name="_bdm.5899DA80924A4C1182E5C7D6095DD314.edm" hidden="1">#REF!</definedName>
    <definedName name="_bdm.5921E7DD5AFA418F840356929508FAE5.edm" hidden="1">#REF!</definedName>
    <definedName name="_bdm.5939D138F14A4A609FBE8359D8AC5736.edm" hidden="1">#REF!</definedName>
    <definedName name="_bdm.593F268FE8B74DFFAEE7731B3E01A9D1.edm" hidden="1">#REF!</definedName>
    <definedName name="_bdm.59A312C2B5DB44BBB00534BF23665A52.edm" hidden="1">#REF!</definedName>
    <definedName name="_bdm.59AF1DD265964122BDDE6D606369501F.edm" hidden="1">#REF!</definedName>
    <definedName name="_bdm.59D1CC4525524344ACD34A2CB37C927A.edm" hidden="1">#REF!</definedName>
    <definedName name="_bdm.59F923661CD1423893CE91E69B0B432C.edm" hidden="1">#REF!</definedName>
    <definedName name="_bdm.5A6F8D014B964D5D9890EE4D86541C97.edm" hidden="1">#REF!</definedName>
    <definedName name="_bdm.5ADC0D40D7FA4BAA98A3ECBC26D865E4.edm" hidden="1">#REF!</definedName>
    <definedName name="_bdm.5AF8C68B1B4D4725A2EF100AD746D415.edm" hidden="1">#REF!</definedName>
    <definedName name="_bdm.5B3C269DC7F943D9BBABEF859059BC31.edm" hidden="1">#REF!</definedName>
    <definedName name="_bdm.5B55EC15D59D494AA5E3D74BF9AE6CDB.edm" localSheetId="10" hidden="1">#REF!</definedName>
    <definedName name="_bdm.5B55EC15D59D494AA5E3D74BF9AE6CDB.edm" localSheetId="9" hidden="1">#REF!</definedName>
    <definedName name="_bdm.5B55EC15D59D494AA5E3D74BF9AE6CDB.edm" localSheetId="8" hidden="1">#REF!</definedName>
    <definedName name="_bdm.5B55EC15D59D494AA5E3D74BF9AE6CDB.edm" localSheetId="16" hidden="1">#REF!</definedName>
    <definedName name="_bdm.5B55EC15D59D494AA5E3D74BF9AE6CDB.edm" hidden="1">#REF!</definedName>
    <definedName name="_bdm.5BD453DE801F4113BBA31F557E05EF62.edm" hidden="1">#REF!</definedName>
    <definedName name="_bdm.5C6D0D9D93BD4742A18A5B8A51E9F99E.edm" hidden="1">#REF!</definedName>
    <definedName name="_bdm.5C82189481464896A60BC093EEAFCEA8.edm" hidden="1">#REF!</definedName>
    <definedName name="_bdm.5C9D3FF18E474F08A252A7A33930598E.edm" hidden="1">#REF!</definedName>
    <definedName name="_bdm.5CA6D5D9D886488B9DF12098BDEC2D3E.edm" hidden="1">#REF!</definedName>
    <definedName name="_bdm.5CB97DDBD8B04992BBEEE01D4E5D4153.edm" hidden="1">#REF!</definedName>
    <definedName name="_bdm.5CC20ABFDBB34A959586B8B3DBE91C62.edm" localSheetId="10" hidden="1">#REF!</definedName>
    <definedName name="_bdm.5CC20ABFDBB34A959586B8B3DBE91C62.edm" localSheetId="9" hidden="1">#REF!</definedName>
    <definedName name="_bdm.5CC20ABFDBB34A959586B8B3DBE91C62.edm" localSheetId="8" hidden="1">#REF!</definedName>
    <definedName name="_bdm.5CC20ABFDBB34A959586B8B3DBE91C62.edm" localSheetId="16" hidden="1">#REF!</definedName>
    <definedName name="_bdm.5CC20ABFDBB34A959586B8B3DBE91C62.edm" hidden="1">#REF!</definedName>
    <definedName name="_bdm.5CD53986D7FF4559A19CFB74490F0BD8.edm" hidden="1">#REF!</definedName>
    <definedName name="_bdm.5CDFFBA1D93C47A593D321BC335B82DD.edm" localSheetId="10" hidden="1">#REF!</definedName>
    <definedName name="_bdm.5CDFFBA1D93C47A593D321BC335B82DD.edm" localSheetId="9" hidden="1">#REF!</definedName>
    <definedName name="_bdm.5CDFFBA1D93C47A593D321BC335B82DD.edm" localSheetId="8" hidden="1">#REF!</definedName>
    <definedName name="_bdm.5CDFFBA1D93C47A593D321BC335B82DD.edm" localSheetId="16" hidden="1">#REF!</definedName>
    <definedName name="_bdm.5CDFFBA1D93C47A593D321BC335B82DD.edm" hidden="1">#REF!</definedName>
    <definedName name="_bdm.5D8D55B204CB487ABFE89E021F786C24.edm" hidden="1">#REF!</definedName>
    <definedName name="_bdm.5dab080d0dda447580dfce99af231eda.edm" hidden="1">#REF!</definedName>
    <definedName name="_bdm.5DB964F708F7494C97ED464D4564975A.edm" hidden="1">#REF!</definedName>
    <definedName name="_bdm.5DC2EFA0D3C44EF1AC59D64069B850B3.edm" hidden="1">#REF!</definedName>
    <definedName name="_bdm.5DE54CC3CB984843B6B6B89E3A748F65.edm" hidden="1">#REF!</definedName>
    <definedName name="_bdm.5E002EC9C2124DA58F848B061FB0569E.edm" hidden="1">#REF!</definedName>
    <definedName name="_bdm.5E194B0239D44451872C06D9C94C7440.edm" hidden="1">#REF!</definedName>
    <definedName name="_bdm.5E349CB6CF314E22A03B7099AAE5E91F.edm" hidden="1">#REF!</definedName>
    <definedName name="_bdm.5E53A581DBA5465189E3F86D6F558BBE.edm" hidden="1">#REF!</definedName>
    <definedName name="_bdm.5E917FD7221848AFB35D24480F4EC346.edm" hidden="1">#REF!</definedName>
    <definedName name="_bdm.5ED84A6FDDF74A13984CF836AC2B61A9.edm" hidden="1">#REF!</definedName>
    <definedName name="_bdm.5EE7843A8FCE42B0ADBF5FBD4707C67E.edm" hidden="1">#REF!</definedName>
    <definedName name="_bdm.5EF1AB13D1C6427B864E646430B16714.edm" hidden="1">#REF!</definedName>
    <definedName name="_bdm.5EF6CF1B8D7B482EBF6982650294B9C9.edm" hidden="1">#REF!</definedName>
    <definedName name="_bdm.5EF6F4764348415ABE4BADCABFF09492.edm" hidden="1">#REF!</definedName>
    <definedName name="_bdm.5F79D8CC6DBD429DBBE312C6F9EC683B.edm" hidden="1">#REF!</definedName>
    <definedName name="_bdm.5FE13A6F3F324ACDA2929BFF38D5C79A.edm" hidden="1">#REF!</definedName>
    <definedName name="_bdm.6017679E7E614B27A45129842EB09942.edm" hidden="1">#REF!</definedName>
    <definedName name="_bdm.60E891778C70491DBC6C79DA30E1BEBB.edm" hidden="1">#REF!</definedName>
    <definedName name="_bdm.61A92D53E0414858A56BA455F7842440.edm" hidden="1">#REF!</definedName>
    <definedName name="_bdm.61D74911270A4E929699999A919B9FD7.edm" hidden="1">#REF!</definedName>
    <definedName name="_bdm.61d96c77b8a2439b8200004beb562cba.edm" hidden="1">#REF!</definedName>
    <definedName name="_bdm.622273F4F65E4394A83318ADE4221470.edm" hidden="1">#REF!</definedName>
    <definedName name="_bdm.62497917B86346C089EA48CF1898C802.edm" hidden="1">#REF!</definedName>
    <definedName name="_bdm.625B1363E93745C1A38907D24DA8103D.edm" hidden="1">#REF!</definedName>
    <definedName name="_bdm.62D6F8BC87A64CF7939219B6C4DDCBCD.edm" hidden="1">#REF!</definedName>
    <definedName name="_bdm.6327B44033D84E5D9BBCFD62440500AE.edm" hidden="1">#REF!</definedName>
    <definedName name="_bdm.6337CFB5713F4998A2C62DE5D4C1DAC4.edm" hidden="1">#REF!</definedName>
    <definedName name="_bdm.634A41E36DBA4D33B94C0E6340AB4654.edm" hidden="1">#REF!</definedName>
    <definedName name="_bdm.634E55053E494700A86064F5C19441A5.edm" hidden="1">#REF!</definedName>
    <definedName name="_bdm.635BC897BE9843D6A2C05F29B3D114D3.edm" hidden="1">#REF!</definedName>
    <definedName name="_bdm.63711FECB93B4ECCB4561132001CF35C.edm" hidden="1">#REF!</definedName>
    <definedName name="_bdm.6380020DCF3E4F1E8795C087F5D10473.edm" hidden="1">#REF!</definedName>
    <definedName name="_bdm.63EEE0AE435D4D65A150AF37128C94C0.edm" hidden="1">#REF!</definedName>
    <definedName name="_bdm.651A4162E1AE4A47B078E661F1A2C149.edm" hidden="1">#REF!</definedName>
    <definedName name="_bdm.6543244057494E7FB7DC05E459CCCDF8.edm" hidden="1">#REF!</definedName>
    <definedName name="_bdm.6544EE415DBC4CD5A326B4FA58620B62.edm" localSheetId="10" hidden="1">#REF!</definedName>
    <definedName name="_bdm.6544EE415DBC4CD5A326B4FA58620B62.edm" localSheetId="9" hidden="1">#REF!</definedName>
    <definedName name="_bdm.6544EE415DBC4CD5A326B4FA58620B62.edm" localSheetId="8" hidden="1">#REF!</definedName>
    <definedName name="_bdm.6544EE415DBC4CD5A326B4FA58620B62.edm" localSheetId="16" hidden="1">#REF!</definedName>
    <definedName name="_bdm.6544EE415DBC4CD5A326B4FA58620B62.edm" hidden="1">#REF!</definedName>
    <definedName name="_bdm.659101E27DFD419DACFF6764489ED046.edm" hidden="1">#REF!</definedName>
    <definedName name="_bdm.65CCB4D45AD24719B036F883C374E470.edm" hidden="1">#REF!</definedName>
    <definedName name="_bdm.65E45162282845EDBAC926617876E467.edm" hidden="1">#REF!</definedName>
    <definedName name="_bdm.6611A19028FA483BA41A2A1DBCD3D26F.edm" hidden="1">#REF!</definedName>
    <definedName name="_bdm.662BE03276EB48CE844BE4ADAB8B6663.edm" hidden="1">#REF!</definedName>
    <definedName name="_bdm.668CE543D2DD4970B25DA8FD68547C1C.edm" hidden="1">#REF!</definedName>
    <definedName name="_bdm.6724F40E0C354CD7B1CD7D9FF33DC5C1.edm" hidden="1">#REF!</definedName>
    <definedName name="_bdm.67436B83C309477C8B11A15B83C95ED5.edm" hidden="1">#REF!</definedName>
    <definedName name="_bdm.6791766605244BD5A906E0F592DDB019.edm" hidden="1">#REF!</definedName>
    <definedName name="_bdm.67F95BEC66AB40CDB9061A1D560068AA.edm" hidden="1">#REF!</definedName>
    <definedName name="_bdm.680534A8CE05489CAF305B50B8D9395C.edm" hidden="1">#REF!</definedName>
    <definedName name="_bdm.682DC978A8624B4AAEB1AEAD332969F3.edm" hidden="1">#REF!</definedName>
    <definedName name="_bdm.68569DC481304279902D3AC0D5D9DD16.edm" hidden="1">#REF!</definedName>
    <definedName name="_bdm.689AF86D20DA4E9AAAA8E1578608F9FC.edm" hidden="1">#REF!</definedName>
    <definedName name="_bdm.68C63F4515314BF89862B5A20C1BD7F8.edm" hidden="1">#REF!</definedName>
    <definedName name="_bdm.69970AB46C404698ADE1B10135019C3B.edm" hidden="1">#REF!</definedName>
    <definedName name="_bdm.6ADBF63E715F43C2A9A0CBA21ED98CA9.edm" hidden="1">#REF!</definedName>
    <definedName name="_bdm.6B0343024C6D4378B72C5806B2DF4B0B.edm" hidden="1">#REF!</definedName>
    <definedName name="_bdm.6B09EB55B8D441CD8E6BA0F0EB983FB5.edm" hidden="1">#REF!</definedName>
    <definedName name="_bdm.6B287C83082B427D820083F9080E79B9.edm" hidden="1">#REF!</definedName>
    <definedName name="_bdm.6B800517BB4745BFB7D891F464A197FA.edm" hidden="1">#REF!</definedName>
    <definedName name="_bdm.6C003CE045B44860A5E1E192919B3083.edm" hidden="1">#REF!</definedName>
    <definedName name="_bdm.6D80109B25D5424383004604AEA9BDF5.edm" hidden="1">#REF!</definedName>
    <definedName name="_bdm.6DBC9CF889894DB491E94F67CC9B8CB5.edm" localSheetId="10" hidden="1">#REF!</definedName>
    <definedName name="_bdm.6DBC9CF889894DB491E94F67CC9B8CB5.edm" localSheetId="9" hidden="1">#REF!</definedName>
    <definedName name="_bdm.6DBC9CF889894DB491E94F67CC9B8CB5.edm" localSheetId="8" hidden="1">#REF!</definedName>
    <definedName name="_bdm.6DBC9CF889894DB491E94F67CC9B8CB5.edm" localSheetId="16" hidden="1">#REF!</definedName>
    <definedName name="_bdm.6DBC9CF889894DB491E94F67CC9B8CB5.edm" hidden="1">#REF!</definedName>
    <definedName name="_bdm.6EACB262A53644BDA09067141863C423.edm" hidden="1">#REF!</definedName>
    <definedName name="_bdm.6F44DF6EBF3D4432A71DF03D4DA26537.edm" hidden="1">#REF!</definedName>
    <definedName name="_bdm.703DCCA3EC1F471B86ED2F21DB610B58.edm" hidden="1">#REF!</definedName>
    <definedName name="_bdm.70D3981DBD2D450FBDA763DA2AAB5505.edm" hidden="1">#REF!</definedName>
    <definedName name="_bdm.71047B4328BD449B96F3D3D8F0BA4BF4.edm" hidden="1">#REF!</definedName>
    <definedName name="_bdm.71CE85703EFB464DAB76767D91E6D892.edm" hidden="1">#REF!</definedName>
    <definedName name="_bdm.71E51FBFA41A4728902CDF162B0E6F4A.edm" hidden="1">#REF!</definedName>
    <definedName name="_bdm.725FFA6EDCCE4B9D8D061BDB56FE0CF0.edm" hidden="1">#REF!</definedName>
    <definedName name="_bdm.7260F40786394460BA3BB3B689E34C81.edm" hidden="1">#REF!</definedName>
    <definedName name="_bdm.72642D5270624E77A5B0A0D9BC6F9D2E.edm" hidden="1">#REF!</definedName>
    <definedName name="_bdm.726808AF6ACB495FA1B21036DFA75F1F.edm" hidden="1">#REF!</definedName>
    <definedName name="_bdm.734FEEA7E260433E83AFE507889A84C6.edm" hidden="1">#REF!</definedName>
    <definedName name="_bdm.73BDE23904204C3F874CE215B48ED097.edm" hidden="1">#REF!</definedName>
    <definedName name="_bdm.73DFF51BD29E4CA88B526A9DBC8295BA.edm" hidden="1">#REF!</definedName>
    <definedName name="_bdm.73EA1BDB23D14F06AEF930EF2427E28B.edm" hidden="1">#REF!</definedName>
    <definedName name="_bdm.740B54656D9D45B09E13C2C5913CB5A3.edm" hidden="1">#REF!</definedName>
    <definedName name="_bdm.742204E8E1DB456D9AAF9CF5DBD19C43.edm" localSheetId="10" hidden="1">#REF!</definedName>
    <definedName name="_bdm.742204E8E1DB456D9AAF9CF5DBD19C43.edm" localSheetId="9" hidden="1">#REF!</definedName>
    <definedName name="_bdm.742204E8E1DB456D9AAF9CF5DBD19C43.edm" localSheetId="8" hidden="1">#REF!</definedName>
    <definedName name="_bdm.742204E8E1DB456D9AAF9CF5DBD19C43.edm" localSheetId="16" hidden="1">#REF!</definedName>
    <definedName name="_bdm.742204E8E1DB456D9AAF9CF5DBD19C43.edm" hidden="1">#REF!</definedName>
    <definedName name="_bdm.7545A3E4EBE84D48B97656FEB295DB7C.edm" hidden="1">#REF!</definedName>
    <definedName name="_bdm.75AEB8ED3BB74DDAAF13881E19CF0474.edm" hidden="1">#REF!</definedName>
    <definedName name="_bdm.75B01926043541D1A6556368F1C63207.edm" hidden="1">#REF!</definedName>
    <definedName name="_bdm.7626AB06EA724992A44BECD3B31DB1CF.edm" hidden="1">#REF!</definedName>
    <definedName name="_bdm.76545E70885F4BC1B1B2B8EC9E13E5A9.edm" hidden="1">#REF!</definedName>
    <definedName name="_bdm.76C85F297BD6440B92402223924CE943.edm" hidden="1">#REF!</definedName>
    <definedName name="_bdm.76CB26C38BD6425B8EF13D4F9F050D8C.edm" hidden="1">#REF!</definedName>
    <definedName name="_bdm.76EF9D4CBEBF4857A0B790A18E2BDF53.edm" hidden="1">#REF!</definedName>
    <definedName name="_bdm.76FC14F15B304CE6BC1E3CF19EB4CE0D.edm" hidden="1">#REF!</definedName>
    <definedName name="_bdm.7721FF054E8A45A7A9245A35103E6C3A.edm" hidden="1">#REF!</definedName>
    <definedName name="_bdm.774CA2B3C2B64D309817DB37C4E08D09.edm" hidden="1">#REF!</definedName>
    <definedName name="_bdm.776125856F484884978E8F16DDD1845F.edm" hidden="1">#REF!</definedName>
    <definedName name="_bdm.77870AD72C96407A9B5ED0777264F7D7.edm" hidden="1">#REF!</definedName>
    <definedName name="_bdm.77CA350A03D2489DBB902CDB2CC7E9F3.edm" hidden="1">#REF!</definedName>
    <definedName name="_bdm.77E3DB1B6A6448A88B71EC33708EDC78.edm" hidden="1">#REF!</definedName>
    <definedName name="_bdm.77ED16C170524866A3660FA5811F03E8.edm" hidden="1">#REF!</definedName>
    <definedName name="_bdm.7812BB13022341F1BA8BF668A2A3FBB4.edm" hidden="1">#REF!</definedName>
    <definedName name="_bdm.784CE3A956334400975E34A1B638C52F.edm" hidden="1">#REF!</definedName>
    <definedName name="_bdm.788A7E265B784785809FEE4350EBCDF0.edm" hidden="1">#REF!</definedName>
    <definedName name="_bdm.789B277314C748848C143C640565C29A.edm" hidden="1">#REF!</definedName>
    <definedName name="_bdm.78B77DCD689A43EC883A79537C2E8408.edm" hidden="1">#REF!</definedName>
    <definedName name="_bdm.79048CB2734E42A1813A19AF346D6F3B.edm" hidden="1">#REF!</definedName>
    <definedName name="_bdm.79080FA8B1DB44C2BDDC6DA897E8B8FB.edm" hidden="1">#REF!</definedName>
    <definedName name="_bdm.7929AD53213F4A569BD90534BD871EA5.edm" hidden="1">#REF!</definedName>
    <definedName name="_bdm.7971B93021B648BEB0A06E2E251756CA.edm" hidden="1">#REF!</definedName>
    <definedName name="_bdm.7A26ECDA2B3548D9A86D1DBC8B588515.edm" hidden="1">#REF!</definedName>
    <definedName name="_bdm.7B2A4F94A9FB4CD286C0FF23443B9184.edm" hidden="1">#REF!</definedName>
    <definedName name="_bdm.7B4AEEB4EA364AC59C5F5FB1BD050C18.edm" hidden="1">#REF!</definedName>
    <definedName name="_bdm.7BF116DE38A64470B4E18265DDE92DC0.edm" hidden="1">#REF!</definedName>
    <definedName name="_bdm.7C94300BA80D11D6B6520010A48BFF38.edm" hidden="1">#REF!</definedName>
    <definedName name="_bdm.7CFAD4C510084147A8DFEB59234857E5.edm" hidden="1">#REF!</definedName>
    <definedName name="_bdm.7D8C88A8D8CC45F9BAAFA90A68CB5127.edm" hidden="1">#REF!</definedName>
    <definedName name="_bdm.7DD650724AC84336B3FFB79F3655D890.edm" hidden="1">#REF!</definedName>
    <definedName name="_bdm.7DECE458A20C4A0198850E3EEAA2D781.edm" hidden="1">#REF!</definedName>
    <definedName name="_bdm.7EFABF4C0CF34F85835F270EEF142470.edm" hidden="1">#REF!</definedName>
    <definedName name="_bdm.7F3A9061895447DB9058180F98AECD45.edm" hidden="1">#REF!</definedName>
    <definedName name="_bdm.7F8C54A9057E4794B95BDB71D089F2C6.edm" hidden="1">#REF!</definedName>
    <definedName name="_bdm.7F9D65EB4F634FE386D841548C4F6662.edm" hidden="1">#REF!</definedName>
    <definedName name="_bdm.7FB5BE1659764F0DB7F0C405DAF5A8CC.edm" hidden="1">#REF!</definedName>
    <definedName name="_bdm.801EABE008C4493F8D9655A47F394A91.edm" hidden="1">#REF!</definedName>
    <definedName name="_bdm.8020D5B70E5D4EB2B42C980D91B4B843.edm" hidden="1">#REF!</definedName>
    <definedName name="_bdm.80340559CE674F58943D8E7EC86DBA4F.edm" hidden="1">#REF!</definedName>
    <definedName name="_bdm.803667C105C14884B5A6CB9298713468.edm" hidden="1">#REF!</definedName>
    <definedName name="_bdm.804E81A612C5456EB427B0F9B7DB2278.edm" hidden="1">#REF!</definedName>
    <definedName name="_bdm.80A7C615B8A04AA7B77FDB7785AD9DF9.edm" hidden="1">#REF!</definedName>
    <definedName name="_bdm.80B23A37468B40B3894A27D4E20E72C4.edm" hidden="1">#REF!</definedName>
    <definedName name="_bdm.8101F4C9905B4258B4DB71CBD8F798A1.edm" hidden="1">#REF!</definedName>
    <definedName name="_bdm.8102F6EFBC44462EA051D935085C4AF8.edm" hidden="1">#REF!</definedName>
    <definedName name="_bdm.81EE23756CDF438E83BE331BDBE5B4FF.edm" hidden="1">#REF!</definedName>
    <definedName name="_bdm.8227717258304A87A27415C3541F93F4.edm" hidden="1">#REF!</definedName>
    <definedName name="_bdm.828DE099963345F7B3E2B72B0CC11EBF.edm" hidden="1">#REF!</definedName>
    <definedName name="_bdm.82C4A5D790A1400CB250B4EC8B731491.edm" hidden="1">#REF!</definedName>
    <definedName name="_bdm.82FEBB8AB6FA44BC9364E61EE0F6DE18.edm" hidden="1">#REF!</definedName>
    <definedName name="_bdm.8334DA937680453BA4F84B81AA9001CA.edm" hidden="1">#REF!</definedName>
    <definedName name="_bdm.8372421BE5D44EDF89E2D3D330DBFA5B.edm" hidden="1">#REF!</definedName>
    <definedName name="_bdm.8388ACC908624336A668330E18367B19.edm" hidden="1">#REF!</definedName>
    <definedName name="_bdm.838C64BA6C384522966FD6AFE27B9650.edm" hidden="1">#REF!</definedName>
    <definedName name="_bdm.83EA1AB9A1194A2088F6D9B94FB55FEE.edm" hidden="1">#REF!</definedName>
    <definedName name="_bdm.83FC62B51CC04A2E9B48AF6481DB9F0D.edm" hidden="1">#REF!</definedName>
    <definedName name="_bdm.8467ED4BC3A84762BAF699E8F37695D7.edm" hidden="1">#REF!</definedName>
    <definedName name="_bdm.849EE48FD1B14D24857694A3289BE768.edm" hidden="1">#REF!</definedName>
    <definedName name="_bdm.84CBA7F60F564A31A30CD3B6C0C78347.edm" hidden="1">#REF!</definedName>
    <definedName name="_bdm.851C19CF9AD64D7986D0D5E248D0DDBC.edm" hidden="1">#REF!</definedName>
    <definedName name="_bdm.8554FA1A9E944FBFA056947C73EE3839.edm" hidden="1">#REF!</definedName>
    <definedName name="_bdm.860D46D5746E4B04AAA16BB5C9974A1A.edm" hidden="1">#REF!</definedName>
    <definedName name="_bdm.8675DB842C634C98AF6C76069F789CF2.edm" hidden="1">#REF!</definedName>
    <definedName name="_bdm.874B286621894C22B752C3A8FB508181.edm" hidden="1">#REF!</definedName>
    <definedName name="_bdm.87515C7D8C5844E4A88C96CEF313DA20.edm" hidden="1">#REF!</definedName>
    <definedName name="_bdm.87F77AF4CF574346B1F36DCCB8E7BDB2.edm" localSheetId="10" hidden="1">#REF!</definedName>
    <definedName name="_bdm.87F77AF4CF574346B1F36DCCB8E7BDB2.edm" localSheetId="9" hidden="1">#REF!</definedName>
    <definedName name="_bdm.87F77AF4CF574346B1F36DCCB8E7BDB2.edm" localSheetId="8" hidden="1">#REF!</definedName>
    <definedName name="_bdm.87F77AF4CF574346B1F36DCCB8E7BDB2.edm" localSheetId="16" hidden="1">#REF!</definedName>
    <definedName name="_bdm.87F77AF4CF574346B1F36DCCB8E7BDB2.edm" hidden="1">#REF!</definedName>
    <definedName name="_bdm.881C11335FC4476E8AD892C6D69EC4D8.edm" hidden="1">#REF!</definedName>
    <definedName name="_bdm.88B50B55ECE54F2880E08386E0893B35.edm" hidden="1">#REF!</definedName>
    <definedName name="_bdm.8909C78F40AD4B3199D47AB5AFAD9B2E.edm" hidden="1">#REF!</definedName>
    <definedName name="_bdm.8954dc4b07c849e3b2dd680f21d6bd3f.edm" hidden="1">#REF!</definedName>
    <definedName name="_bdm.8994A2262DB3490A825212D66E5B6AD4.edm" hidden="1">#REF!</definedName>
    <definedName name="_bdm.8A2F69D41316452ABFFF04AA0226D5BF.edm" hidden="1">#REF!</definedName>
    <definedName name="_bdm.8A58D70CE9E04F22AF55BE5F040CFC67.edm" hidden="1">#REF!</definedName>
    <definedName name="_bdm.8A7D3AFC0F0145B6B44FE53118CE4413.edm" hidden="1">#REF!</definedName>
    <definedName name="_bdm.8A9E88377FED42C09CA0D5316BD2FA9F.edm" hidden="1">#REF!</definedName>
    <definedName name="_bdm.8AD2A75668D547E08CD206A6E5C2FA11.edm" hidden="1">#REF!</definedName>
    <definedName name="_bdm.8B68549E7C8A405CB2968E11CC5540F3.edm" hidden="1">#REF!</definedName>
    <definedName name="_bdm.8B6A3F9B66334120804DB28EE2982DEA.edm" hidden="1">#REF!</definedName>
    <definedName name="_bdm.8B9B833431AA4D65A2A6F6832141FD7A.edm" hidden="1">#REF!</definedName>
    <definedName name="_bdm.8BC7BFCECF1A41D2BFE5ACEFDF7867FF.edm" hidden="1">#REF!</definedName>
    <definedName name="_bdm.8BFE33F0D91B4D5EB60269CC7CE8D37F.edm" hidden="1">#REF!</definedName>
    <definedName name="_bdm.8C3A63473693450ABBABF3FDCA3E2051.edm" hidden="1">#REF!</definedName>
    <definedName name="_bdm.8C7B01DC3FBA4CCA8F90EBCA5C5A3034.edm" hidden="1">#REF!</definedName>
    <definedName name="_bdm.8DB5495F314B4390B7640FE8A875C628.edm" hidden="1">#REF!</definedName>
    <definedName name="_bdm.8DEFD3E93BC64096B4F9BFC02AC12299.edm" hidden="1">#REF!</definedName>
    <definedName name="_bdm.8DF1A698105445D490F93A2B88CE929F.edm" hidden="1">#REF!</definedName>
    <definedName name="_bdm.8E6D06A125CF4280A14F77DC091CFA46.edm" hidden="1">#REF!</definedName>
    <definedName name="_bdm.8F09ADE107224BD8AAE5732C8D65CE2E.edm" hidden="1">#REF!</definedName>
    <definedName name="_bdm.8FA45EF3DE484EFC80A91D53E94A6FC4.edm" hidden="1">#REF!</definedName>
    <definedName name="_bdm.8FF3BF171E2349979CB11B4E3239B0E3.edm" hidden="1">#REF!</definedName>
    <definedName name="_bdm.904114F4D4E94435AFD4A59ABF32556D.edm" hidden="1">#REF!</definedName>
    <definedName name="_bdm.906F3A39F16748FF8DF527AE935BC068.edm" hidden="1">#REF!</definedName>
    <definedName name="_bdm.908CC2BEE0FD40A8BAC88CD666A29E28.edm" hidden="1">#REF!</definedName>
    <definedName name="_bdm.91CD4DEC29C049BD929A8110F777B566.edm" localSheetId="10" hidden="1">#REF!</definedName>
    <definedName name="_bdm.91CD4DEC29C049BD929A8110F777B566.edm" localSheetId="9" hidden="1">#REF!</definedName>
    <definedName name="_bdm.91CD4DEC29C049BD929A8110F777B566.edm" localSheetId="8" hidden="1">#REF!</definedName>
    <definedName name="_bdm.91CD4DEC29C049BD929A8110F777B566.edm" localSheetId="16" hidden="1">#REF!</definedName>
    <definedName name="_bdm.91CD4DEC29C049BD929A8110F777B566.edm" hidden="1">#REF!</definedName>
    <definedName name="_bdm.93713FA7A1E240458DFAA620A5B8B020.edm" hidden="1">#REF!</definedName>
    <definedName name="_bdm.93B1F209F6C846068AD8115D86FBF737.edm" localSheetId="10" hidden="1">#REF!</definedName>
    <definedName name="_bdm.93B1F209F6C846068AD8115D86FBF737.edm" localSheetId="9" hidden="1">#REF!</definedName>
    <definedName name="_bdm.93B1F209F6C846068AD8115D86FBF737.edm" localSheetId="8" hidden="1">#REF!</definedName>
    <definedName name="_bdm.93B1F209F6C846068AD8115D86FBF737.edm" localSheetId="16" hidden="1">#REF!</definedName>
    <definedName name="_bdm.93B1F209F6C846068AD8115D86FBF737.edm" hidden="1">#REF!</definedName>
    <definedName name="_bdm.9503EB32D2F24DFA8780C9B3530B62A2.edm" hidden="1">#REF!</definedName>
    <definedName name="_bdm.95285EC446A34A5B8C69CB60FB4BFECF.edm" hidden="1">#REF!</definedName>
    <definedName name="_bdm.95FE1E00E9E84CC4B00B2BCF64E839F9.edm" hidden="1">#REF!</definedName>
    <definedName name="_bdm.961E5FAE02144034B462F65148691703.edm" hidden="1">#REF!</definedName>
    <definedName name="_bdm.96E4127B562943B8AB877A61A697A6D1.edm" hidden="1">#REF!</definedName>
    <definedName name="_bdm.96FD6FE2BA574AF8B2C778C0ADD1FE07.edm" hidden="1">#REF!</definedName>
    <definedName name="_bdm.970A06C5E77B41F29BCFF792C30B73E4.edm" hidden="1">#REF!</definedName>
    <definedName name="_bdm.97344B0D9A4C477D82457FFA795BB222.edm" hidden="1">#REF!</definedName>
    <definedName name="_bdm.9797AC6B4EA84C509A499DDE80782A43.edm" hidden="1">#REF!</definedName>
    <definedName name="_bdm.97ABDBB01F61442A9582086BBCB95867.edm" hidden="1">#REF!</definedName>
    <definedName name="_bdm.97EAA9A46AA140E0B08D819926247417.edm" hidden="1">#REF!</definedName>
    <definedName name="_bdm.9810CA9B6B564227AC41AB775BBD0CC7.edm" hidden="1">#REF!</definedName>
    <definedName name="_bdm.983AC8FF6A984882AED2CBB174642E2F.edm" hidden="1">#REF!</definedName>
    <definedName name="_bdm.98509675FE304640BD0099E41768A4DB.edm" hidden="1">#REF!</definedName>
    <definedName name="_bdm.988170789C934F95B6313EEE7BF0BC9C.edm" hidden="1">#REF!</definedName>
    <definedName name="_bdm.98A6FF5E6E104127A4B3CE93863956AF.edm" hidden="1">#REF!</definedName>
    <definedName name="_bdm.98CE9FC4A69B40EBBDF9C7EF42285FC9.edm" hidden="1">#REF!</definedName>
    <definedName name="_bdm.997D0773D7274E3096BACC8A89539443.edm" hidden="1">#REF!</definedName>
    <definedName name="_bdm.99B4F3EE72894CFCB6C14A93EA6B6C80.edm" hidden="1">#REF!</definedName>
    <definedName name="_bdm.9A21EB9D01ED426393423731905BDA55.edm" hidden="1">#REF!</definedName>
    <definedName name="_bdm.9A996201D91A40AAB4D06F84FC976735.edm" hidden="1">#REF!</definedName>
    <definedName name="_bdm.9AA6758088BE4FE2B40ED5340E3EC9C2.edm" hidden="1">#REF!</definedName>
    <definedName name="_bdm.9AD73DB6F8FA4CF28B501B83DD190B53.edm" hidden="1">#REF!</definedName>
    <definedName name="_bdm.9BB88B99999244E8AFD51A5DA182BAD2.edm" hidden="1">#REF!</definedName>
    <definedName name="_bdm.9BD899F281E749FDADCE93768ECC63B3.edm" hidden="1">#REF!</definedName>
    <definedName name="_bdm.9C282E120F7E44EEB7B18352FB08471A.edm" hidden="1">#REF!</definedName>
    <definedName name="_bdm.9C8D216F81B04EF398BDD0F66714989E.edm" hidden="1">#REF!</definedName>
    <definedName name="_bdm.9CDC35CDB7B143079762F320F757C403.edm" localSheetId="10" hidden="1">#REF!</definedName>
    <definedName name="_bdm.9CDC35CDB7B143079762F320F757C403.edm" localSheetId="9" hidden="1">#REF!</definedName>
    <definedName name="_bdm.9CDC35CDB7B143079762F320F757C403.edm" localSheetId="8" hidden="1">#REF!</definedName>
    <definedName name="_bdm.9CDC35CDB7B143079762F320F757C403.edm" localSheetId="16" hidden="1">#REF!</definedName>
    <definedName name="_bdm.9CDC35CDB7B143079762F320F757C403.edm" hidden="1">#REF!</definedName>
    <definedName name="_bdm.9D326E54831C47979B24892A51290E31.edm" hidden="1">#REF!</definedName>
    <definedName name="_bdm.9D4AB493B9BB46D6B67B0933691CC39D.edm" hidden="1">#REF!</definedName>
    <definedName name="_bdm.9D576385AB334E0F91FC7FB7CEA21807.edm" localSheetId="10" hidden="1">#REF!</definedName>
    <definedName name="_bdm.9D576385AB334E0F91FC7FB7CEA21807.edm" localSheetId="9" hidden="1">#REF!</definedName>
    <definedName name="_bdm.9D576385AB334E0F91FC7FB7CEA21807.edm" localSheetId="8" hidden="1">#REF!</definedName>
    <definedName name="_bdm.9D576385AB334E0F91FC7FB7CEA21807.edm" localSheetId="16" hidden="1">#REF!</definedName>
    <definedName name="_bdm.9D576385AB334E0F91FC7FB7CEA21807.edm" hidden="1">#REF!</definedName>
    <definedName name="_bdm.9DFD0CE3451541B9936366DE660341A4.edm" hidden="1">#REF!</definedName>
    <definedName name="_bdm.9E1942B8DC4442C9AC370D7A5BF9AC46.edm" hidden="1">#REF!</definedName>
    <definedName name="_bdm.9E3D9ACD386E4E57A6BE60FA605E8DE8.edm" hidden="1">#REF!</definedName>
    <definedName name="_bdm.9E58447DE98A4EC2A54C021832E57C75.edm" hidden="1">#REF!</definedName>
    <definedName name="_bdm.9EA6DE0CADDB4633933E62BD5A305EFC.edm" hidden="1">#REF!</definedName>
    <definedName name="_bdm.9EAECDBD8291451D98EA4C42080A6B70.edm" hidden="1">#REF!</definedName>
    <definedName name="_bdm.9ECB63A12E9F4B9C88C18E0F4ACCFD11.edm" hidden="1">#REF!</definedName>
    <definedName name="_bdm.9F3A862FEDE34D0BBF21215B392CAB75.edm" hidden="1">#REF!</definedName>
    <definedName name="_bdm.9FE724885C1D4068B6269440257D222D.edm" hidden="1">#REF!</definedName>
    <definedName name="_bdm.A00643E6A705476084A5F584F5934ED2.edm" hidden="1">#REF!</definedName>
    <definedName name="_bdm.A08425F3F8A740F783D4E6C80A7A90CC.edm" hidden="1">#REF!</definedName>
    <definedName name="_bdm.A0AEA5CEDD374E6B81D5A4A8E8E2EE77.edm" hidden="1">#REF!</definedName>
    <definedName name="_bdm.A0D862684FB64908ADA84BE024569F8B.edm" hidden="1">#REF!</definedName>
    <definedName name="_bdm.A10F5A559427432AB8B7691B2C759B2B.edm" hidden="1">#REF!</definedName>
    <definedName name="_bdm.A11F6C145B0C4F2DBEE465D05C590AFF.edm" localSheetId="10" hidden="1">#REF!</definedName>
    <definedName name="_bdm.A11F6C145B0C4F2DBEE465D05C590AFF.edm" localSheetId="9" hidden="1">#REF!</definedName>
    <definedName name="_bdm.A11F6C145B0C4F2DBEE465D05C590AFF.edm" localSheetId="8" hidden="1">#REF!</definedName>
    <definedName name="_bdm.A11F6C145B0C4F2DBEE465D05C590AFF.edm" localSheetId="16" hidden="1">#REF!</definedName>
    <definedName name="_bdm.A11F6C145B0C4F2DBEE465D05C590AFF.edm" hidden="1">#REF!</definedName>
    <definedName name="_bdm.A176423F74AA457C9AD7559F68E18681.edm" hidden="1">#REF!</definedName>
    <definedName name="_bdm.A1BAEFE926DB458297B8F72F3198289D.edm" hidden="1">#REF!</definedName>
    <definedName name="_bdm.A2778198834B46B09A350F3B1F99B8A7.edm" hidden="1">#REF!</definedName>
    <definedName name="_bdm.A299BEEB3FAE40A1A0AD3459A19626FA.edm" hidden="1">#REF!</definedName>
    <definedName name="_bdm.A3457B418AEE462A9258C5152E18CBC7.edm" hidden="1">#REF!</definedName>
    <definedName name="_bdm.A367E667C6824A2BAB9A9B69E2FE64BC.edm" hidden="1">#REF!</definedName>
    <definedName name="_bdm.A399024357C447049A39EECD5799F3C8.edm" hidden="1">#REF!</definedName>
    <definedName name="_bdm.A3EA71580C134EF39917BDE511D48449.edm" hidden="1">#REF!</definedName>
    <definedName name="_bdm.A4C2FE39322F4A2B912B61ED693BB84A.edm" hidden="1">#REF!</definedName>
    <definedName name="_bdm.A5079CC3AD6E11D6B69B0010A4860669.edm" hidden="1">#REF!</definedName>
    <definedName name="_bdm.A551AD7B7926449CA18B96716283F8F4.edm" hidden="1">#REF!</definedName>
    <definedName name="_bdm.A569A0B5660E463EB935750E29E45DCD.edm" hidden="1">#REF!</definedName>
    <definedName name="_bdm.A5782D7F92B7492EA964C54E5410252D.edm" hidden="1">#REF!</definedName>
    <definedName name="_bdm.A5784F1E1F7E48F2A73C6CC71891D407.edm" hidden="1">#REF!</definedName>
    <definedName name="_bdm.A57B1B15D3684455B41C3B30F2FA8322.edm" hidden="1">#REF!</definedName>
    <definedName name="_bdm.A5ACD67A37814D1AB59C856D8B6F2DF0.edm" hidden="1">#REF!</definedName>
    <definedName name="_bdm.A62CFDF0981A4B3E9A3A2310CACDB3CD.edm" hidden="1">#REF!</definedName>
    <definedName name="_bdm.A68982E08A134BE4A6FD143238E24A0F.edm" hidden="1">#REF!</definedName>
    <definedName name="_bdm.A6E61F191AB249EE96E8E18B2E0BA019.edm" hidden="1">#REF!</definedName>
    <definedName name="_bdm.A723B4D4A17D41D2B898498221E5701A.edm" hidden="1">#REF!</definedName>
    <definedName name="_bdm.A835AB8BC6DC49ACA93174F81142BACB.edm" hidden="1">#REF!</definedName>
    <definedName name="_bdm.A8A3E639FA6F49D883B879BB3142C8EE.edm" hidden="1">#REF!</definedName>
    <definedName name="_bdm.A8A818CA55D4428CA7651D1B1A0C717C.edm" hidden="1">#REF!</definedName>
    <definedName name="_bdm.A8C2B2DD311C4E30920D3449EABDEFFA.edm" hidden="1">#REF!</definedName>
    <definedName name="_bdm.A9433F36D27E42998843D0702B3398CD.edm" hidden="1">#REF!</definedName>
    <definedName name="_bdm.A9B7A2454E0149F8A41C141A8FE2B3FD.edm" hidden="1">#REF!</definedName>
    <definedName name="_bdm.A9C2D2150C6D43ABB78DB5BAEA3474D9.edm" hidden="1">#REF!</definedName>
    <definedName name="_bdm.A9E8F2214015449F99BBFDAC629C22DB.edm" hidden="1">#REF!</definedName>
    <definedName name="_bdm.AA0FC3C2DDE74C3BBBB73A925979FA0E.edm" hidden="1">#REF!</definedName>
    <definedName name="_bdm.AB2104A94C7C48909EF379EEC699DB0F.edm" hidden="1">#REF!</definedName>
    <definedName name="_bdm.AB86747D663D4D26891EB5E59A416B41.edm" hidden="1">#REF!</definedName>
    <definedName name="_bdm.ABEC84C526B949799B82019B446CC74C.edm" hidden="1">#REF!</definedName>
    <definedName name="_bdm.AC3C6127B418429E9176EE01281A6F94.edm" hidden="1">#REF!</definedName>
    <definedName name="_bdm.AC5FF36D1822443BBB8B48D2B9D6F7F0.edm" hidden="1">#REF!</definedName>
    <definedName name="_bdm.AC91C561E45C421F8545507CA3692DD5.edm" hidden="1">#REF!</definedName>
    <definedName name="_bdm.ACA6B6C51E7C4BFDA72443FD51E3D70F.edm" hidden="1">#REF!</definedName>
    <definedName name="_bdm.ACC85EA0FB9046B9B56A56CA44636BE6.edm" hidden="1">#REF!</definedName>
    <definedName name="_bdm.ACD1318250C646278A1B8793AA30831A.edm" hidden="1">#REF!</definedName>
    <definedName name="_bdm.AD1D63256E4A4ACCB07B5D7424F0AF98.edm" hidden="1">#REF!</definedName>
    <definedName name="_bdm.AD5603FBD9B842A3A459900CA062F06A.edm" hidden="1">#REF!</definedName>
    <definedName name="_bdm.AD6766E08FCB467E8B669B40D877B929.edm" hidden="1">#REF!</definedName>
    <definedName name="_bdm.ADB7D3013F70400CBF89579543BDD551.edm" hidden="1">#REF!</definedName>
    <definedName name="_bdm.ADE63A88559244DBA6492ADE6B9297B3.edm" hidden="1">#REF!</definedName>
    <definedName name="_bdm.AE09C78AB64C441EA539C5C321F8E28B.edm" hidden="1">#REF!</definedName>
    <definedName name="_bdm.AEBFD5DBB2194FFAAEA35CC33AD6FACF.edm" hidden="1">#REF!</definedName>
    <definedName name="_bdm.AF595DA70393457DA8181808C6304BCA.edm" hidden="1">#REF!</definedName>
    <definedName name="_bdm.AFBB149CAD534231808D782D4C138D7D.edm" hidden="1">#REF!</definedName>
    <definedName name="_bdm.AFEB21518FB449729F78288573165EF1.edm" hidden="1">#REF!</definedName>
    <definedName name="_bdm.B0460773724046718E68B231236A21D1.edm" hidden="1">#REF!</definedName>
    <definedName name="_bdm.B066ACB026AC4143A1B0F9F2C757E5AB.edm" hidden="1">#REF!</definedName>
    <definedName name="_bdm.B0CFD1EEA380419BA2C53B03448D1285.edm" hidden="1">#REF!</definedName>
    <definedName name="_bdm.B129682F75944FF4A259464228B6BE06.edm" hidden="1">#REF!</definedName>
    <definedName name="_bdm.B131DE0E4B0D4E6886A3F87C0269FABE.edm" hidden="1">#REF!</definedName>
    <definedName name="_bdm.B14C5879F9CD466B992572F50FC13780.edm" hidden="1">#REF!</definedName>
    <definedName name="_bdm.B195680E238D4A568D9F83418634315D.edm" hidden="1">#REF!</definedName>
    <definedName name="_bdm.B251C09AE4674A75B74937B16A9EECB2.edm" hidden="1">#REF!</definedName>
    <definedName name="_bdm.B2CE5727005E45C6AB41D43D927A4D22.edm" hidden="1">#REF!</definedName>
    <definedName name="_bdm.B2F6600B7C2D4B50A7A84AD3E8C93C48.edm" hidden="1">#REF!</definedName>
    <definedName name="_bdm.B36056679948470293DF3F31FF20A1D6.edm" hidden="1">#REF!</definedName>
    <definedName name="_bdm.B3DE611F6F1F4B64840F5A65FDB7A905.edm" hidden="1">#REF!</definedName>
    <definedName name="_bdm.B47F2B432EAA4566BDA80970C57797B2.edm" hidden="1">#REF!</definedName>
    <definedName name="_bdm.B51D83D636944025A1996FE016F852F1.edm" hidden="1">#REF!</definedName>
    <definedName name="_bdm.B54489A76A5F43B9B06BA479E75D1A05.edm" hidden="1">#REF!</definedName>
    <definedName name="_bdm.B5475DECE13D4ED8AE13A2DEC5D5070F.edm" hidden="1">#REF!</definedName>
    <definedName name="_bdm.B54B29A4748E4C369C588CFC92E08874.edm" hidden="1">#REF!</definedName>
    <definedName name="_bdm.B5D8A621C6B44D3080355EE2038A8535.edm" hidden="1">#REF!</definedName>
    <definedName name="_bdm.B5DCC29E4AA54FBF9E84F0A67BE75DED.edm" hidden="1">#REF!</definedName>
    <definedName name="_bdm.B5E1CE290D664EC9908CE120B7DDB7AD.edm" hidden="1">#REF!</definedName>
    <definedName name="_bdm.B5E7E9C0AC974690BD19027518004A60.edm" hidden="1">#REF!</definedName>
    <definedName name="_bdm.B6901D1AC67D4172A15DABCA9118EE0E.edm" hidden="1">#REF!</definedName>
    <definedName name="_bdm.B69A1E00CE30438FA82BA16D917AA33A.edm" hidden="1">#REF!</definedName>
    <definedName name="_bdm.B6A1AAA4249246C3ABA115CF5AF8A91C.edm" hidden="1">#REF!</definedName>
    <definedName name="_bdm.B7E7C50F3DAA4F209FDC7EAC95768391.edm" hidden="1">#REF!</definedName>
    <definedName name="_bdm.B7E7CCEAEEC1407DB07FB1B3F29B6539.edm" hidden="1">#REF!</definedName>
    <definedName name="_bdm.B8017695E0E04BCAB35A44DE03B6CAA2.edm" hidden="1">#REF!</definedName>
    <definedName name="_bdm.B829D7BA98114D4389ADE0392ED309DD.edm" hidden="1">#REF!</definedName>
    <definedName name="_bdm.B861D090EC3F489BA0CA25929B6D2D05.edm" hidden="1">#REF!</definedName>
    <definedName name="_bdm.B8715B1BCFFA4F73810D9A6C35332227.edm" hidden="1">#REF!</definedName>
    <definedName name="_bdm.B91BF0A48D364AFE9B706DF758CA7B5B.edm" hidden="1">#REF!</definedName>
    <definedName name="_bdm.B9E6A458C4454DA29D25FB6573F52044.edm" hidden="1">#REF!</definedName>
    <definedName name="_bdm.BA759280F5E749B5B422ACEA85F12DF4.edm" hidden="1">#REF!</definedName>
    <definedName name="_bdm.BAF1D0A8590D4C54BF336C0315C18920.edm" hidden="1">#REF!</definedName>
    <definedName name="_bdm.BB23E5FFC0B148918A6DF764D31850A9.edm" hidden="1">#REF!</definedName>
    <definedName name="_bdm.BB4EAF60F3B34E89BFF19DA005116246.edm" hidden="1">#REF!</definedName>
    <definedName name="_bdm.BB59D91C713F4EF0A0FA009876D4F048.edm" hidden="1">#REF!</definedName>
    <definedName name="_bdm.BB9730E7E1B0439281044B861BDE1766.edm" hidden="1">#REF!</definedName>
    <definedName name="_bdm.BBCAF669EF294E058B40B0968B446453.edm" hidden="1">#REF!</definedName>
    <definedName name="_bdm.BBCE7DCF47D1401EB4DA9BFF6CC7AC1E.edm" hidden="1">#REF!</definedName>
    <definedName name="_bdm.BC066963E944411A937A6F7C8BBA043E.edm" hidden="1">#REF!</definedName>
    <definedName name="_bdm.BC30608C2AB04623AF3FBED687C6C83A.edm" hidden="1">#REF!</definedName>
    <definedName name="_bdm.BC99F8DA00A94E2FA8C0713AA4D302B7.edm" hidden="1">#REF!</definedName>
    <definedName name="_bdm.BD17AAF9FFC94AD2B7292B2FD3060AB0.edm" hidden="1">#REF!</definedName>
    <definedName name="_bdm.BD31A80AEEEA484CB8BF6204D87FC893.edm" hidden="1">#REF!</definedName>
    <definedName name="_bdm.BDB9018F394B4D619CA288E2B170F24A.edm" localSheetId="10" hidden="1">#REF!</definedName>
    <definedName name="_bdm.BDB9018F394B4D619CA288E2B170F24A.edm" localSheetId="9" hidden="1">#REF!</definedName>
    <definedName name="_bdm.BDB9018F394B4D619CA288E2B170F24A.edm" localSheetId="8" hidden="1">#REF!</definedName>
    <definedName name="_bdm.BDB9018F394B4D619CA288E2B170F24A.edm" localSheetId="16" hidden="1">#REF!</definedName>
    <definedName name="_bdm.BDB9018F394B4D619CA288E2B170F24A.edm" hidden="1">#REF!</definedName>
    <definedName name="_bdm.BDD6CD3204544184BBA8F6F806930A67.edm" hidden="1">#REF!</definedName>
    <definedName name="_bdm.BDEBEC60AE80489889AA03FBD3A5FD1D.edm" hidden="1">#REF!</definedName>
    <definedName name="_bdm.BE1138ED4F2C4D458D42DB1603A7BEBC.edm" hidden="1">#REF!</definedName>
    <definedName name="_bdm.BEA3F4532E1C482EA09BDBCB36562AA8.edm" hidden="1">#REF!</definedName>
    <definedName name="_bdm.BF287DABCEF24D6CABDC00780FA1B36B.edm" hidden="1">#REF!</definedName>
    <definedName name="_bdm.BF391383FE8A416CAF32386C0C6C6EE3.edm" hidden="1">#REF!</definedName>
    <definedName name="_bdm.BFC5A6A998314875A418414BAA8DF459.edm" hidden="1">#REF!</definedName>
    <definedName name="_bdm.C04F078FF77840BFB05B43A4DA79031A.edm" hidden="1">#REF!</definedName>
    <definedName name="_bdm.C0D40696085E49099831902D538DE4D4.edm" hidden="1">#REF!</definedName>
    <definedName name="_bdm.C0F5ADB39F4B4C2299A880C43395DBAF.edm" hidden="1">#REF!</definedName>
    <definedName name="_bdm.C194714595F14520AA52E6501AEC9C62.edm" hidden="1">#REF!</definedName>
    <definedName name="_bdm.C24E164AD6DD43CEBDFE30348594F98E.edm" hidden="1">#REF!</definedName>
    <definedName name="_bdm.C303B10435AD43C581C935001FF26558.edm" hidden="1">#REF!</definedName>
    <definedName name="_bdm.C3136FA4CD1D44EDAE0C751800A92804.edm" hidden="1">#REF!</definedName>
    <definedName name="_bdm.C314CEE1D4654CBE83619BCADFFB481B.edm" hidden="1">#REF!</definedName>
    <definedName name="_bdm.C33E42F1C2C84C5A9BAFF8BF2555AB0D.edm" hidden="1">#REF!</definedName>
    <definedName name="_bdm.C34CD0AF303B4E84A4FB7F97EA05F7A6.edm" hidden="1">#REF!</definedName>
    <definedName name="_bdm.C369FE745F514F6091E15AC591DEAB2E.edm" hidden="1">#REF!</definedName>
    <definedName name="_bdm.C37BC412579E4079B7987F644A84F40E.edm" hidden="1">#REF!</definedName>
    <definedName name="_bdm.C3E13177535448438E150830D06FAD0D.edm" hidden="1">#REF!</definedName>
    <definedName name="_bdm.C4A2B53F49104E5CAC02F6530DE4A74A.edm" hidden="1">#REF!</definedName>
    <definedName name="_bdm.C4A5F479EE3147A3A4F22250D68BFB52.edm" hidden="1">#REF!</definedName>
    <definedName name="_bdm.C4B8454115804806B71A13003DC18E4E.edm" hidden="1">#REF!</definedName>
    <definedName name="_bdm.C4D87501EB8D4F529BF6D6E187C446B2.edm" hidden="1">#REF!</definedName>
    <definedName name="_bdm.C536029E1F6240C5A53D97FB597D2083.edm" hidden="1">#REF!</definedName>
    <definedName name="_bdm.C538B819D8E7427D832EE9C7BFE7983A.edm" hidden="1">#REF!</definedName>
    <definedName name="_bdm.C55E5D6BA4EC441A91CA5BEEA4E16BF1.edm" hidden="1">#REF!</definedName>
    <definedName name="_bdm.C5A3D26BA1D24E8DB76551E7C9DD4202.edm" hidden="1">#REF!</definedName>
    <definedName name="_bdm.C5A6150B19F34F9A8C78B5C2782C0ABE.edm" hidden="1">#REF!</definedName>
    <definedName name="_bdm.C5B80439344C437E86980EDE247AFBEB.edm" hidden="1">#REF!</definedName>
    <definedName name="_bdm.C5EDB231EACF4933A91709BEAB7F261C.edm" hidden="1">#REF!</definedName>
    <definedName name="_bdm.C5F8ADB560E74F4CB96A2EB8339069EC.edm" hidden="1">#REF!</definedName>
    <definedName name="_bdm.C615DC9E36804957883962320CECCA09.edm" hidden="1">#REF!</definedName>
    <definedName name="_bdm.C61969384C984092BB8CD20982F6B3B6.edm" hidden="1">#REF!</definedName>
    <definedName name="_bdm.C63FCFF95D8C4A5583EA81679BC8EE53.edm" hidden="1">#REF!</definedName>
    <definedName name="_bdm.C64CEE66FCD546899DA9A1AF1EF6D227.edm" hidden="1">#REF!</definedName>
    <definedName name="_bdm.C66E9B4526D24C149A0C5D928952A5E4.edm" hidden="1">#REF!</definedName>
    <definedName name="_bdm.C66F96F37BDA4823ACDDB9EB87F2949B.edm" hidden="1">#REF!</definedName>
    <definedName name="_bdm.C6C0E51DB54E45CDBA8D876EC73D7DFA.edm" hidden="1">#REF!</definedName>
    <definedName name="_bdm.C71A5F309EE4490CA65D08C18C15A019.edm" hidden="1">#REF!</definedName>
    <definedName name="_bdm.C76041A808EC4AE98A6811BB99928B62.edm" hidden="1">#REF!</definedName>
    <definedName name="_bdm.C7B3922953C6426985C1620C7A3C7EDA.edm" hidden="1">#REF!</definedName>
    <definedName name="_bdm.C8039E677B714D31B8D94953C469971F.edm" hidden="1">#REF!</definedName>
    <definedName name="_bdm.C83AD97D91A14FE4A1D7DFE0A8040554.edm" localSheetId="10" hidden="1">#REF!</definedName>
    <definedName name="_bdm.C83AD97D91A14FE4A1D7DFE0A8040554.edm" localSheetId="9" hidden="1">#REF!</definedName>
    <definedName name="_bdm.C83AD97D91A14FE4A1D7DFE0A8040554.edm" localSheetId="8" hidden="1">#REF!</definedName>
    <definedName name="_bdm.C83AD97D91A14FE4A1D7DFE0A8040554.edm" localSheetId="16" hidden="1">#REF!</definedName>
    <definedName name="_bdm.C83AD97D91A14FE4A1D7DFE0A8040554.edm" hidden="1">#REF!</definedName>
    <definedName name="_bdm.C9AFE5FFD654455C92E8D7279C9DF168.edm" hidden="1">#REF!</definedName>
    <definedName name="_bdm.CA766E8DFAE54CE7BDA480FA5674C4A7.edm" hidden="1">#REF!</definedName>
    <definedName name="_bdm.CAA3A0BE16BA4ADE8E79CD663190072B.edm" hidden="1">#REF!</definedName>
    <definedName name="_bdm.CAA482770F264E91BD7A0498496DC09C.edm" hidden="1">#REF!</definedName>
    <definedName name="_bdm.CBFB8A1EAADB4C03967C11F4944256E4.edm" hidden="1">#REF!</definedName>
    <definedName name="_bdm.CC661935DF52489B8A794A954D6DB48E.edm" hidden="1">#REF!</definedName>
    <definedName name="_bdm.CD2B3C0878C94078AD2A42F64EEE2779.edm" hidden="1">#REF!</definedName>
    <definedName name="_bdm.CD7973B02F534A888A7F14E92AE7E578.edm" hidden="1">#REF!</definedName>
    <definedName name="_bdm.CDDF93058EBF4185804EB435B6246E10.edm" hidden="1">#REF!</definedName>
    <definedName name="_bdm.CE1C09E278CA40B1A1CB878D1D9242A9.edm" hidden="1">#REF!</definedName>
    <definedName name="_bdm.CEBB6A14528F448289D542FA3717CAF3.edm" hidden="1">#REF!</definedName>
    <definedName name="_bdm.CEC0F940E8D4451E98704F56CE36EA9A.edm" hidden="1">#REF!</definedName>
    <definedName name="_bdm.CF26F181CFB149089A150B6E9984E88F.edm" hidden="1">#REF!</definedName>
    <definedName name="_bdm.CFBDF5A60D4F45978B624A4FDBDBD150.edm" hidden="1">#REF!</definedName>
    <definedName name="_bdm.CFE15DADEC4E48C8B2D052588431C1D1.edm" hidden="1">#REF!</definedName>
    <definedName name="_bdm.d0410d26bb7e4df2a3bc6485373a5efc.edm" hidden="1">#REF!</definedName>
    <definedName name="_bdm.D06B72B7E01F403E8681D657E48E707C.edm" hidden="1">#REF!</definedName>
    <definedName name="_bdm.D0EF4D43A0994D8DA0434293B5C2DAF4.edm" hidden="1">#REF!</definedName>
    <definedName name="_bdm.D11D0FF4D3B94A58B0D325BEAA5002EA.edm" hidden="1">#REF!</definedName>
    <definedName name="_bdm.D22C7584562A4B87A164D96A5CB65238.edm" hidden="1">#REF!</definedName>
    <definedName name="_bdm.D250F8C5049D4B7CA753BF01028E7D71.edm" hidden="1">#REF!</definedName>
    <definedName name="_bdm.D25A524684DF499D8AEE61C82E9EE288.edm" hidden="1">#REF!</definedName>
    <definedName name="_bdm.D30261DB9B9D469E8E9E2C039F0CB884.edm" hidden="1">#REF!</definedName>
    <definedName name="_bdm.D36D726655004665A13BAE16C8FB4BE2.edm" hidden="1">#REF!</definedName>
    <definedName name="_bdm.D39279B4F6D74FD69501118E705F7226.edm" hidden="1">#REF!</definedName>
    <definedName name="_bdm.D3C38F408FD94097930465E8D579317D.edm" hidden="1">#REF!</definedName>
    <definedName name="_bdm.D3EBD676811F41C9805708D76C1B418A.edm" hidden="1">#REF!</definedName>
    <definedName name="_bdm.D41457ED29A0432B9E96210775CD9097.edm" hidden="1">#REF!</definedName>
    <definedName name="_bdm.D43A6B2A947B4EA9A42335B05D28E8EB.edm" hidden="1">#REF!</definedName>
    <definedName name="_bdm.D47CA4D0B4494CBB8F50F6DBC51AD730.edm" hidden="1">#REF!</definedName>
    <definedName name="_bdm.D57FF6A6B20649F1A3579202C5A11866.edm" hidden="1">#REF!</definedName>
    <definedName name="_bdm.D59E8145C02E45DEBD3803E247F9F28D.edm" hidden="1">#REF!</definedName>
    <definedName name="_bdm.D5D1BE30555A40C6881F10FAE6E11F27.edm" hidden="1">#REF!</definedName>
    <definedName name="_bdm.D5E561EBD92B4887A1BB5A944ECDBDFA.edm" hidden="1">#REF!</definedName>
    <definedName name="_bdm.D5FAA374367241959C322560ED7F8A37.edm" hidden="1">#REF!</definedName>
    <definedName name="_bdm.D62C7B988CF844E9869CFBD7FEA73018.edm" hidden="1">#REF!</definedName>
    <definedName name="_bdm.D774AB0006584CD993318BF8BD7F5258.edm" hidden="1">#REF!</definedName>
    <definedName name="_bdm.D7953A490BC74F9CA30A5EC564511C8E.edm" hidden="1">#REF!</definedName>
    <definedName name="_bdm.D884E0F5D4CB417BA25162F104D3CB10.edm" hidden="1">#REF!</definedName>
    <definedName name="_bdm.D8A8AED6C35A451DBD164C72F71E65B2.edm" hidden="1">#REF!</definedName>
    <definedName name="_bdm.D8DD0A2B58044A8DAB5DD40C4022E7B6.edm" hidden="1">#REF!</definedName>
    <definedName name="_bdm.D94EA09AB93448F391E72D30BE9FB5FA.edm" hidden="1">#REF!</definedName>
    <definedName name="_bdm.D959F8EAC67341C19564B517195DD9E3.edm" hidden="1">#REF!</definedName>
    <definedName name="_bdm.D99215FCF77045E0B1004579D0884371.edm" hidden="1">#REF!</definedName>
    <definedName name="_bdm.D9E6F7E2FBDB4FF6A6D632BFBE3A1A0F.edm" hidden="1">#REF!</definedName>
    <definedName name="_bdm.DA40FBE9A21F45CAAF44C89D86D767E0.edm" hidden="1">#REF!</definedName>
    <definedName name="_bdm.DA6FBDEC5FF74548B79086ED8A905FDB.edm" hidden="1">#REF!</definedName>
    <definedName name="_bdm.DAF3918E849B4603946F5C97177E0A43.edm" hidden="1">#REF!</definedName>
    <definedName name="_bdm.DAF784AF12A14244A211FA8AE62FCC2B.edm" hidden="1">#REF!</definedName>
    <definedName name="_bdm.DB515349EA024DAD9C7F190FBAD9F8F2.edm" hidden="1">#REF!</definedName>
    <definedName name="_bdm.DB532E19E1024187875B38658C500AFB.edm" localSheetId="10" hidden="1">#REF!</definedName>
    <definedName name="_bdm.DB532E19E1024187875B38658C500AFB.edm" localSheetId="9" hidden="1">#REF!</definedName>
    <definedName name="_bdm.DB532E19E1024187875B38658C500AFB.edm" localSheetId="8" hidden="1">#REF!</definedName>
    <definedName name="_bdm.DB532E19E1024187875B38658C500AFB.edm" localSheetId="16" hidden="1">#REF!</definedName>
    <definedName name="_bdm.DB532E19E1024187875B38658C500AFB.edm" hidden="1">#REF!</definedName>
    <definedName name="_bdm.DB605B37F9B841669618E7C663239E8A.edm" hidden="1">#REF!</definedName>
    <definedName name="_bdm.DB978DEF569143B79ADE35C5CC376CDC.edm" hidden="1">#REF!</definedName>
    <definedName name="_bdm.DBDDCE6D291340DFA73C1EAB7ABAD6AE.edm" hidden="1">#REF!</definedName>
    <definedName name="_bdm.DBED0FF28B7F46BF836FE32D4DE46B03.edm" hidden="1">#REF!</definedName>
    <definedName name="_bdm.DBF8F79D2FE244698C14155A4A3CFA25.edm" hidden="1">#REF!</definedName>
    <definedName name="_bdm.DC1E4912CA644367B8FB43181380FCAE.edm" hidden="1">#REF!</definedName>
    <definedName name="_bdm.DC3CE1CB9D0F45E598D4E7046611D4F0.edm" hidden="1">#REF!</definedName>
    <definedName name="_bdm.DCC92353DC9941E0A8FFE155F7E2B4F8.edm" hidden="1">#REF!</definedName>
    <definedName name="_bdm.DD17288598604F528F7F93F580132917.edm" hidden="1">#REF!</definedName>
    <definedName name="_bdm.DD1DEE0534424DA49947DDA9530A0368.edm" hidden="1">#REF!</definedName>
    <definedName name="_bdm.DDC14BBC0CF8407EA0423E89E2AC8335.edm" hidden="1">#REF!</definedName>
    <definedName name="_bdm.DDEAC79504F240CEA453A2CAB7390610.edm" hidden="1">#REF!</definedName>
    <definedName name="_bdm.DE7D382C2635442DB0954D25283AC608.edm" hidden="1">#REF!</definedName>
    <definedName name="_bdm.DEA02B8DB9594F51BA561009BFB2731A.edm" localSheetId="10" hidden="1">#REF!</definedName>
    <definedName name="_bdm.DEA02B8DB9594F51BA561009BFB2731A.edm" localSheetId="9" hidden="1">#REF!</definedName>
    <definedName name="_bdm.DEA02B8DB9594F51BA561009BFB2731A.edm" localSheetId="8" hidden="1">#REF!</definedName>
    <definedName name="_bdm.DEA02B8DB9594F51BA561009BFB2731A.edm" localSheetId="16" hidden="1">#REF!</definedName>
    <definedName name="_bdm.DEA02B8DB9594F51BA561009BFB2731A.edm" hidden="1">#REF!</definedName>
    <definedName name="_bdm.DED7CD871124474CB99B2BAC3826F570.edm" hidden="1">#REF!</definedName>
    <definedName name="_bdm.E0E7019855E1447AB2A862D50C80B184.edm" hidden="1">#REF!</definedName>
    <definedName name="_bdm.E1A39C6BAC824E4680E5DC6131A6952C.edm" hidden="1">#REF!</definedName>
    <definedName name="_bdm.E1A69C89EBB24F4D952BDB6180BBA079.edm" hidden="1">#REF!</definedName>
    <definedName name="_bdm.E1CE15EBE29B4BFE9AC7149DE6F27836.edm" hidden="1">#REF!</definedName>
    <definedName name="_bdm.E1EFFF212CA54AC1BE9CAEB828DBA37D.edm" hidden="1">#REF!</definedName>
    <definedName name="_bdm.E2007D65F8C6459B8FF90D72C50C5C79.edm" hidden="1">#REF!</definedName>
    <definedName name="_bdm.E203B39D581B4F46A1EED94A9A4A7D19.edm" hidden="1">#REF!</definedName>
    <definedName name="_bdm.E21792399B844516934A56916B6C482B.edm" hidden="1">#REF!</definedName>
    <definedName name="_bdm.E21EBC96521944BBB730610183CAF6E1.edm" hidden="1">#REF!</definedName>
    <definedName name="_bdm.E230CA6E544A4031B3758A9C2EE08D31.edm" hidden="1">#REF!</definedName>
    <definedName name="_bdm.E2E5C59F048F487D846772F64BAA93BB.edm" hidden="1">#REF!</definedName>
    <definedName name="_bdm.E32515BC84B54962A0DCFECB8F872A34.edm" hidden="1">#REF!</definedName>
    <definedName name="_bdm.E4EACF2F9B1D411DB6CD9999843D5FFF.edm" hidden="1">#REF!</definedName>
    <definedName name="_bdm.E50E223D25FA4133887D1707858FE111.edm" hidden="1">#REF!</definedName>
    <definedName name="_bdm.E5605DB323604A1FBBD45B9E43AF70DB.edm" hidden="1">#REF!</definedName>
    <definedName name="_bdm.E56BBF44CBEA4D5CB4E5D34A6F9C825A.edm" hidden="1">#REF!</definedName>
    <definedName name="_bdm.E678282C9EAC4FE5AAC85276BC935937.edm" hidden="1">#REF!</definedName>
    <definedName name="_bdm.E69A3EEB583F457C97A8CDB76AB1A85B.edm" hidden="1">#REF!</definedName>
    <definedName name="_bdm.E6BD85E764424F18ADE67C577440CDAA.edm" hidden="1">#REF!</definedName>
    <definedName name="_bdm.E6C77F92740E4C57B68B75A3B48E1C2F.edm" hidden="1">#REF!</definedName>
    <definedName name="_bdm.E6FDFD2D8FEB434083F8655016212492.edm" hidden="1">#REF!</definedName>
    <definedName name="_bdm.E753A15E33E84DC790E05E9E35F80D8C.edm" hidden="1">#REF!</definedName>
    <definedName name="_bdm.E759967588A5442C9B723120C8E73070.edm" hidden="1">#REF!</definedName>
    <definedName name="_bdm.E7774C2A9A34477C974CA42E6AEE0EC7.edm" hidden="1">#REF!</definedName>
    <definedName name="_bdm.E7E0290381E2488DAF56182E68A7041A.edm" hidden="1">#REF!</definedName>
    <definedName name="_bdm.E81541926182438A9CB1B4FEB2E133E0.edm" hidden="1">#REF!</definedName>
    <definedName name="_bdm.E8297E506EFB494D808347FB97DEEFED.edm" hidden="1">#REF!</definedName>
    <definedName name="_bdm.E8301848F17C48DDAEB62324BFFB9792.edm" hidden="1">#REF!</definedName>
    <definedName name="_bdm.E848E700309440CB9AE4D33F2677415C.edm" hidden="1">#REF!</definedName>
    <definedName name="_bdm.E8B440B1020748E0A74C372D3D5130D4.edm" hidden="1">#REF!</definedName>
    <definedName name="_bdm.E8E49C6DF7BD45AE9D28FA42F05764BF.edm" hidden="1">#REF!</definedName>
    <definedName name="_bdm.E99C5EBAFB1C4D8CB66791E1F70FA153.edm" hidden="1">#REF!</definedName>
    <definedName name="_bdm.E9A47572DB1B43258D356C80A69476E6.edm" hidden="1">#REF!</definedName>
    <definedName name="_bdm.E9D0DA1112144875AF0EE8CB0DD32A37.edm" hidden="1">#REF!</definedName>
    <definedName name="_bdm.EA05BAFB92BC46D6AA8F07AB73851747.edm" hidden="1">#REF!</definedName>
    <definedName name="_bdm.EAAA77B34E024F7D852C170D8DE9D15A.edm" hidden="1">#REF!</definedName>
    <definedName name="_bdm.EAAACECA5CB840C9927D6BBF36015FB7.edm" hidden="1">#REF!</definedName>
    <definedName name="_bdm.EAEC9C3D50474F6CA7AEE5FBEDB1FC8E.edm" hidden="1">#REF!</definedName>
    <definedName name="_bdm.EC449D0A0A23415D867D906CD7FC3F85.edm" hidden="1">#REF!</definedName>
    <definedName name="_bdm.ECCEEA5CE6234DB7BBDAA4EB9ECC9B8D.edm" hidden="1">#REF!</definedName>
    <definedName name="_bdm.ED4882D3B1544BDBB4C8E22CC5049187.edm" localSheetId="10" hidden="1">#REF!</definedName>
    <definedName name="_bdm.ED4882D3B1544BDBB4C8E22CC5049187.edm" localSheetId="9" hidden="1">#REF!</definedName>
    <definedName name="_bdm.ED4882D3B1544BDBB4C8E22CC5049187.edm" localSheetId="8" hidden="1">#REF!</definedName>
    <definedName name="_bdm.ED4882D3B1544BDBB4C8E22CC5049187.edm" localSheetId="16" hidden="1">#REF!</definedName>
    <definedName name="_bdm.ED4882D3B1544BDBB4C8E22CC5049187.edm" hidden="1">#REF!</definedName>
    <definedName name="_bdm.EDF5C1B869844F6DAEEE0C3E95DE3626.edm" hidden="1">#REF!</definedName>
    <definedName name="_bdm.EE0FB59DB0B249099918E2675FA629EC.edm" hidden="1">#REF!</definedName>
    <definedName name="_bdm.EE12BBF7CDD640CCA7C9B2FC25CAE56B.edm" hidden="1">#REF!</definedName>
    <definedName name="_bdm.EE8D088D16794110B5BB7226CBE70B30.edm" hidden="1">#REF!</definedName>
    <definedName name="_bdm.EECF0B3F672641E0861270A4B8BE56FC.edm" hidden="1">#REF!</definedName>
    <definedName name="_bdm.EFAB5D7C40E7474E9C80E2C5FDBF65C7.edm" hidden="1">#REF!</definedName>
    <definedName name="_bdm.F05A58D1AD3E4CD18295B3371DD2512F.edm" hidden="1">#REF!</definedName>
    <definedName name="_bdm.F0B1B418EDB64C6CA4C2481ABBB508A5.edm" hidden="1">#REF!</definedName>
    <definedName name="_bdm.F0C4D0A06132474297172E66F1E293D3.edm" hidden="1">#REF!</definedName>
    <definedName name="_bdm.F0E8B3AA36434C88A050E249D68F9290.edm" hidden="1">#REF!</definedName>
    <definedName name="_bdm.F16CDE695B5146908E78CDD9F5E25F2C.edm" hidden="1">#REF!</definedName>
    <definedName name="_bdm.F29A517B6666403FB15EB73990F5EDD9.edm" hidden="1">#REF!</definedName>
    <definedName name="_bdm.F2A1379877E24CFF91D1CD99B8A8D650.edm" hidden="1">#REF!</definedName>
    <definedName name="_bdm.F2DB89BE62CC409980CB013651416C5F.edm" hidden="1">#REF!</definedName>
    <definedName name="_bdm.F334C1C7BA54415FAC16604F1FC8060F.edm" hidden="1">#REF!</definedName>
    <definedName name="_bdm.F351F5D7D9324A4DB7FEA1670EB66B18.edm" hidden="1">#REF!</definedName>
    <definedName name="_bdm.F35283313FC542F98F601554FE71EFA4.edm" hidden="1">#REF!</definedName>
    <definedName name="_bdm.F4164DE47BCA44F49E2266B3D5510754.edm" hidden="1">#REF!</definedName>
    <definedName name="_bdm.F42A9DBD7F844D2E8A75BAAADEEBC874.edm" hidden="1">#REF!</definedName>
    <definedName name="_bdm.F4728034891C452F8B990509BFBDCF9D.edm" hidden="1">#REF!</definedName>
    <definedName name="_bdm.F496CE46C0A745C69FA158B999972483.edm" hidden="1">#REF!</definedName>
    <definedName name="_bdm.F4BAA608324149CDBA81AD9250AD0847.edm" hidden="1">#REF!</definedName>
    <definedName name="_bdm.F505BEA8F54C49779612EEA98F7852D0.edm" hidden="1">#REF!</definedName>
    <definedName name="_bdm.F57401DEDF974762BF58E272E36B0333.edm" hidden="1">#REF!</definedName>
    <definedName name="_bdm.F6C0DB28ACD34BCCA3BEBF75AA86DBDC.edm" hidden="1">#REF!</definedName>
    <definedName name="_bdm.F6C8D48D04654C2EA3C4790B5012CC13.edm" hidden="1">#REF!</definedName>
    <definedName name="_bdm.F74420E3F7AC4EA58EF6DAA876211574.edm" hidden="1">#REF!</definedName>
    <definedName name="_bdm.F7DEC7B4D07C428CAA047426FE6464AE.edm" hidden="1">#REF!</definedName>
    <definedName name="_bdm.F81285D83BEA40C8A006792708823BCC.edm" hidden="1">#REF!</definedName>
    <definedName name="_bdm.F8349144CA034B17BAA677CB970252CF.edm" hidden="1">#REF!</definedName>
    <definedName name="_bdm.F848A28F624047A9B448DE8F0847A61D.edm" hidden="1">#REF!</definedName>
    <definedName name="_bdm.F8A8DCEB4DD84118B520FF6070B6FAA2.edm" localSheetId="10" hidden="1">#REF!</definedName>
    <definedName name="_bdm.F8A8DCEB4DD84118B520FF6070B6FAA2.edm" localSheetId="9" hidden="1">#REF!</definedName>
    <definedName name="_bdm.F8A8DCEB4DD84118B520FF6070B6FAA2.edm" localSheetId="8" hidden="1">#REF!</definedName>
    <definedName name="_bdm.F8A8DCEB4DD84118B520FF6070B6FAA2.edm" localSheetId="16" hidden="1">#REF!</definedName>
    <definedName name="_bdm.F8A8DCEB4DD84118B520FF6070B6FAA2.edm" hidden="1">#REF!</definedName>
    <definedName name="_bdm.F914AC8C61ED4E239B2ACF67583A40D0.edm" hidden="1">#REF!</definedName>
    <definedName name="_bdm.F99620898B0D471AB44D996DBE1BB511.edm" hidden="1">#REF!</definedName>
    <definedName name="_bdm.FA5944A4D7D644CA8283449B5AE2024F.edm" hidden="1">#REF!</definedName>
    <definedName name="_bdm.FA5AD8608BF447A19C39E2A014CBA028.edm" hidden="1">#REF!</definedName>
    <definedName name="_bdm.FA5EADE9F91745999510034EC433119A.edm" localSheetId="10" hidden="1">#REF!</definedName>
    <definedName name="_bdm.FA5EADE9F91745999510034EC433119A.edm" localSheetId="9" hidden="1">#REF!</definedName>
    <definedName name="_bdm.FA5EADE9F91745999510034EC433119A.edm" localSheetId="8" hidden="1">#REF!</definedName>
    <definedName name="_bdm.FA5EADE9F91745999510034EC433119A.edm" localSheetId="16" hidden="1">#REF!</definedName>
    <definedName name="_bdm.FA5EADE9F91745999510034EC433119A.edm" hidden="1">#REF!</definedName>
    <definedName name="_bdm.FAB13876AF2E44A3AAE6D9E36271BE48.edm" hidden="1">#REF!</definedName>
    <definedName name="_bdm.FAF60A07397E420D82CC048886829099.edm" hidden="1">#REF!</definedName>
    <definedName name="_bdm.FastTrackBookmark.8_19_2005_5_44_15_PM.edm" hidden="1">#REF!</definedName>
    <definedName name="_bdm.FastTrackBookmark.8_19_2005_5_44_19_PM.edm" hidden="1">#REF!</definedName>
    <definedName name="_bdm.FB06355068A6473E8BFD84F095498EEF.edm" hidden="1">#REF!</definedName>
    <definedName name="_bdm.FB18DEB01EA64EDDBA945360BC456BA7.edm" hidden="1">#REF!</definedName>
    <definedName name="_bdm.FB38E9B0942A481699D62DA9B7981AFF.edm" hidden="1">#REF!</definedName>
    <definedName name="_bdm.FB5994132961411DBC4FBEA0FA486A6E.edm" hidden="1">#REF!</definedName>
    <definedName name="_bdm.FB5C95909890423285E22A53CE3E90F9.edm" hidden="1">#REF!</definedName>
    <definedName name="_bdm.FBEA2642C6954981B12CF93EB47D83C6.edm" hidden="1">#REF!</definedName>
    <definedName name="_bdm.FC289FAD492D473A91EB0A5DA0FC8A51.edm" hidden="1">#REF!</definedName>
    <definedName name="_bdm.FD178DE840B940E4B7189043EA2CFE4D.edm" hidden="1">#REF!</definedName>
    <definedName name="_bdm.FD19150E0C64462990014AA369F7F7CB.edm" hidden="1">#REF!</definedName>
    <definedName name="_bdm.FDBD19558B064FEB9B723E6A8238F094.edm" hidden="1">#REF!</definedName>
    <definedName name="_bdm.FE87379B9A304CDFBD48F5FD1F46C3EF.edm" hidden="1">#REF!</definedName>
    <definedName name="_bdm.FECCCA00150A4D6EAAB22AA99A25E084.edm" hidden="1">#REF!</definedName>
    <definedName name="_bdm.FEDB395C3009431FA3FF5CEEBC0B1187.edm" hidden="1">#REF!</definedName>
    <definedName name="_bdm.FF2819E156E940D3B9AA6C8BD4B8283E.edm" hidden="1">#REF!</definedName>
    <definedName name="_bdm.FF496AA1719E4EE78AB08A59190ABBB0.edm" hidden="1">#REF!</definedName>
    <definedName name="_bdm.FF746FC75BBC48ABBF4E3EF1073EA40A.edm" hidden="1">#REF!</definedName>
    <definedName name="_bdm.FF880AC120F94E8BB9F4EED6D203101F.edm" hidden="1">#REF!</definedName>
    <definedName name="_bdm.FF88BDBC4CA84B57915ED861DFD8A533.edm" hidden="1">#REF!</definedName>
    <definedName name="_bdm.FFBAD8FB10704B6FA7AA24B7176E9B14.edm" hidden="1">#REF!</definedName>
    <definedName name="_bji23" localSheetId="10" hidden="1">{#N/A,"PURCHM",FALSE,"Business Analysis";#N/A,"SPADD",FALSE,"Business Analysis"}</definedName>
    <definedName name="_bji23" hidden="1">{#N/A,"PURCHM",FALSE,"Business Analysis";#N/A,"SPADD",FALSE,"Business Analysis"}</definedName>
    <definedName name="_bkd87" localSheetId="10" hidden="1">{#N/A,"PURCHM",FALSE,"Business Analysis";#N/A,"SPADD",FALSE,"Business Analysis"}</definedName>
    <definedName name="_bkd87" hidden="1">{#N/A,"PURCHM",FALSE,"Business Analysis";#N/A,"SPADD",FALSE,"Business Analysis"}</definedName>
    <definedName name="_BQ4.1" hidden="1">#REF!</definedName>
    <definedName name="_Bud1"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_Bud1"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_Budget_for_Measure" hidden="1">#REF!</definedName>
    <definedName name="_bva" localSheetId="10" hidden="1">#REF!</definedName>
    <definedName name="_bva" hidden="1">#REF!</definedName>
    <definedName name="_c" localSheetId="10" hidden="1">{"Fiesta Facer Page",#N/A,FALSE,"Q_C_S";"Fiesta Main Page",#N/A,FALSE,"V_L";"Fiesta 95BP Struct",#N/A,FALSE,"StructBP";"Fiesta Post 95BP Struct",#N/A,FALSE,"AdjStructBP"}</definedName>
    <definedName name="_c" localSheetId="15"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1" localSheetId="10" hidden="1">{#N/A,#N/A,FALSE,"DCF Summary";#N/A,#N/A,FALSE,"Casema";#N/A,#N/A,FALSE,"Casema NoTel";#N/A,#N/A,FALSE,"UK";#N/A,#N/A,FALSE,"RCF";#N/A,#N/A,FALSE,"Intercable CZ";#N/A,#N/A,FALSE,"Interkabel P"}</definedName>
    <definedName name="_D1" localSheetId="15" hidden="1">{#N/A,#N/A,FALSE,"DCF Summary";#N/A,#N/A,FALSE,"Casema";#N/A,#N/A,FALSE,"Casema NoTel";#N/A,#N/A,FALSE,"UK";#N/A,#N/A,FALSE,"RCF";#N/A,#N/A,FALSE,"Intercable CZ";#N/A,#N/A,FALSE,"Interkabel P"}</definedName>
    <definedName name="_D1" hidden="1">{#N/A,#N/A,FALSE,"DCF Summary";#N/A,#N/A,FALSE,"Casema";#N/A,#N/A,FALSE,"Casema NoTel";#N/A,#N/A,FALSE,"UK";#N/A,#N/A,FALSE,"RCF";#N/A,#N/A,FALSE,"Intercable CZ";#N/A,#N/A,FALSE,"Interkabel P"}</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F1" localSheetId="10" hidden="1">{#N/A,#N/A,FALSE,"DCF Summary";#N/A,#N/A,FALSE,"Casema";#N/A,#N/A,FALSE,"Casema NoTel";#N/A,#N/A,FALSE,"UK";#N/A,#N/A,FALSE,"RCF";#N/A,#N/A,FALSE,"Intercable CZ";#N/A,#N/A,FALSE,"Interkabel P"}</definedName>
    <definedName name="_DCF1" localSheetId="15"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10" hidden="1">{#N/A,#N/A,FALSE,"DCF Summary";#N/A,#N/A,FALSE,"Casema";#N/A,#N/A,FALSE,"Casema NoTel";#N/A,#N/A,FALSE,"UK";#N/A,#N/A,FALSE,"RCF";#N/A,#N/A,FALSE,"Intercable CZ";#N/A,#N/A,FALSE,"Interkabel P"}</definedName>
    <definedName name="_DCF2" localSheetId="15"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CF8" localSheetId="10" hidden="1">{#N/A,#N/A,FALSE,"DCF Summary";#N/A,#N/A,FALSE,"Casema";#N/A,#N/A,FALSE,"Casema NoTel";#N/A,#N/A,FALSE,"UK";#N/A,#N/A,FALSE,"RCF";#N/A,#N/A,FALSE,"Intercable CZ";#N/A,#N/A,FALSE,"Interkabel P"}</definedName>
    <definedName name="_DCF8" localSheetId="15" hidden="1">{#N/A,#N/A,FALSE,"DCF Summary";#N/A,#N/A,FALSE,"Casema";#N/A,#N/A,FALSE,"Casema NoTel";#N/A,#N/A,FALSE,"UK";#N/A,#N/A,FALSE,"RCF";#N/A,#N/A,FALSE,"Intercable CZ";#N/A,#N/A,FALSE,"Interkabel P"}</definedName>
    <definedName name="_DCF8" hidden="1">{#N/A,#N/A,FALSE,"DCF Summary";#N/A,#N/A,FALSE,"Casema";#N/A,#N/A,FALSE,"Casema NoTel";#N/A,#N/A,FALSE,"UK";#N/A,#N/A,FALSE,"RCF";#N/A,#N/A,FALSE,"Intercable CZ";#N/A,#N/A,FALSE,"Interkabel P"}</definedName>
    <definedName name="_DDD" hidden="1">#REF!</definedName>
    <definedName name="_Dec01" localSheetId="10" hidden="1">{"Statement of Income",#N/A,TRUE,"Mar99";"Balance Sheet",#N/A,TRUE,"Mar99"}</definedName>
    <definedName name="_Dec01" localSheetId="15" hidden="1">{"Statement of Income",#N/A,TRUE,"Mar99";"Balance Sheet",#N/A,TRUE,"Mar99"}</definedName>
    <definedName name="_Dec01" hidden="1">{"Statement of Income",#N/A,TRUE,"Mar99";"Balance Sheet",#N/A,TRUE,"Mar99"}</definedName>
    <definedName name="_Dec02" localSheetId="10">#REF!</definedName>
    <definedName name="_Dec02">#REF!</definedName>
    <definedName name="_Dec03" localSheetId="10">#REF!</definedName>
    <definedName name="_Dec03">#REF!</definedName>
    <definedName name="_DF4" localSheetId="10" hidden="1">#REF!</definedName>
    <definedName name="_DF4" localSheetId="9" hidden="1">#REF!</definedName>
    <definedName name="_DF4" localSheetId="8" hidden="1">#REF!</definedName>
    <definedName name="_DF4" localSheetId="16" hidden="1">#REF!</definedName>
    <definedName name="_DF4" hidden="1">#REF!</definedName>
    <definedName name="_dfd1" localSheetId="10" hidden="1">{"FCB_ALL",#N/A,FALSE,"FCB";"GREY_ALL",#N/A,FALSE,"GREY"}</definedName>
    <definedName name="_dfd1" localSheetId="15" hidden="1">{"FCB_ALL",#N/A,FALSE,"FCB";"GREY_ALL",#N/A,FALSE,"GREY"}</definedName>
    <definedName name="_dfd1" hidden="1">{"FCB_ALL",#N/A,FALSE,"FCB";"GREY_ALL",#N/A,FALSE,"GREY"}</definedName>
    <definedName name="_dff1" localSheetId="10"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Bin" hidden="1">#REF!</definedName>
    <definedName name="_Dist_Values" localSheetId="10" hidden="1">#REF!</definedName>
    <definedName name="_Dist_Values" localSheetId="9" hidden="1">#REF!</definedName>
    <definedName name="_Dist_Values" localSheetId="8" hidden="1">#REF!</definedName>
    <definedName name="_Dist_Values" localSheetId="16" hidden="1">#REF!</definedName>
    <definedName name="_Dist_Values" hidden="1">#REF!</definedName>
    <definedName name="_Dist_Values1" hidden="1">#REF!</definedName>
    <definedName name="_div202" localSheetId="10"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10"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2018">#REF!</definedName>
    <definedName name="_DP2019">#REF!</definedName>
    <definedName name="_DRE0700" localSheetId="10" hidden="1">{"'PXR_6500'!$A$1:$I$124"}</definedName>
    <definedName name="_DRE0700" hidden="1">{"'PXR_6500'!$A$1:$I$124"}</definedName>
    <definedName name="_dwa1" localSheetId="10" hidden="1">{#N/A,"PURCHM",FALSE,"Business Analysis";#N/A,"SPADD",FALSE,"Business Analysis"}</definedName>
    <definedName name="_dwa1" hidden="1">{#N/A,"PURCHM",FALSE,"Business Analysis";#N/A,"SPADD",FALSE,"Business Analysis"}</definedName>
    <definedName name="_E1" localSheetId="10" hidden="1">{#N/A,#N/A,FALSE,"DCF Summary";#N/A,#N/A,FALSE,"Casema";#N/A,#N/A,FALSE,"Casema NoTel";#N/A,#N/A,FALSE,"UK";#N/A,#N/A,FALSE,"RCF";#N/A,#N/A,FALSE,"Intercable CZ";#N/A,#N/A,FALSE,"Interkabel P"}</definedName>
    <definedName name="_E1" localSheetId="15" hidden="1">{#N/A,#N/A,FALSE,"DCF Summary";#N/A,#N/A,FALSE,"Casema";#N/A,#N/A,FALSE,"Casema NoTel";#N/A,#N/A,FALSE,"UK";#N/A,#N/A,FALSE,"RCF";#N/A,#N/A,FALSE,"Intercable CZ";#N/A,#N/A,FALSE,"Interkabel P"}</definedName>
    <definedName name="_E1" hidden="1">{#N/A,#N/A,FALSE,"DCF Summary";#N/A,#N/A,FALSE,"Casema";#N/A,#N/A,FALSE,"Casema NoTel";#N/A,#N/A,FALSE,"UK";#N/A,#N/A,FALSE,"RCF";#N/A,#N/A,FALSE,"Intercable CZ";#N/A,#N/A,FALSE,"Interkabel P"}</definedName>
    <definedName name="_eu93" localSheetId="10" hidden="1">{"Comp_of_Price_Effect",#N/A,FALSE,"QTRDPVAR"}</definedName>
    <definedName name="_eu93" hidden="1">{"Comp_of_Price_Effect",#N/A,FALSE,"QTRDPVAR"}</definedName>
    <definedName name="_eva2" localSheetId="10" hidden="1">{"DCF",#N/A,FALSE,"CF"}</definedName>
    <definedName name="_eva2" hidden="1">{"DCF",#N/A,FALSE,"CF"}</definedName>
    <definedName name="_EX137" localSheetId="10" hidden="1">{#N/A,"1",FALSE,"FORM";#N/A,"2",FALSE,"FORM";#N/A,"3",FALSE,"FORM"}</definedName>
    <definedName name="_EX137" hidden="1">{#N/A,"1",FALSE,"FORM";#N/A,"2",FALSE,"FORM";#N/A,"3",FALSE,"FORM"}</definedName>
    <definedName name="_Example" hidden="1">#REF!</definedName>
    <definedName name="_F" hidden="1">#REF!</definedName>
    <definedName name="_F9EmailXmlGuidCells0" hidden="1">"{6394CCA3-D569-4844-9CA6-DE35F650C65B}"</definedName>
    <definedName name="_F9EmailXmlGuidCells0_1" hidden="1">"{B8656E5D-6AA6-492C-98CB-EB3EF1E39B2D}"</definedName>
    <definedName name="_F9EmailXmlGuidCells1" hidden="1">"{084905C6-44FE-4A21-BAB0-E22A8A2735CC}"</definedName>
    <definedName name="_F9EmailXmlGuidCells10" hidden="1">"{47DD1123-1930-48DF-8CCD-8D45ABB4A87B}"</definedName>
    <definedName name="_F9EmailXmlGuidCells2" hidden="1">"{A0D21D4D-D733-4627-9346-BBD461C0E2EC}"</definedName>
    <definedName name="_F9EmailXmlGuidCells3" hidden="1">"{8DF31105-56BF-4005-8FAE-B1B8797D12ED}"</definedName>
    <definedName name="_F9EmailXmlGuidCells4" hidden="1">"{38F633C4-6BAF-4355-9650-E0FD002AE1A9}"</definedName>
    <definedName name="_F9EmailXmlGuidCells5" hidden="1">"{8AB55A51-E8FB-435B-8826-4F9B8596539D}"</definedName>
    <definedName name="_F9EmailXmlGuidCells6" hidden="1">"{C4376AF3-0254-4697-8F56-A0122C77D041}"</definedName>
    <definedName name="_F9EmailXmlGuidCells7" hidden="1">"{83E5172D-219B-4C0A-8B8F-FC634E14DBDF}"</definedName>
    <definedName name="_F9EmailXmlGuidCells8" hidden="1">"{7854BA00-9205-4663-97CE-182D32BD1A19}"</definedName>
    <definedName name="_F9EmailXmlGuidCells9" hidden="1">"{71F3E9FB-2C5E-49A0-8871-39CA399F72EF}"</definedName>
    <definedName name="_fdf1" localSheetId="10"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10"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10"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01" localSheetId="10" hidden="1">{"Statement of Income",#N/A,TRUE,"Mar99";"Balance Sheet",#N/A,TRUE,"Mar99"}</definedName>
    <definedName name="_feb01" localSheetId="15" hidden="1">{"Statement of Income",#N/A,TRUE,"Mar99";"Balance Sheet",#N/A,TRUE,"Mar99"}</definedName>
    <definedName name="_feb01" hidden="1">{"Statement of Income",#N/A,TRUE,"Mar99";"Balance Sheet",#N/A,TRUE,"Mar99"}</definedName>
    <definedName name="_feb02" localSheetId="10" hidden="1">{"Statement of Income",#N/A,TRUE,"Mar99";"Balance Sheet",#N/A,TRUE,"Mar99"}</definedName>
    <definedName name="_feb02" localSheetId="15" hidden="1">{"Statement of Income",#N/A,TRUE,"Mar99";"Balance Sheet",#N/A,TRUE,"Mar99"}</definedName>
    <definedName name="_feb02" hidden="1">{"Statement of Income",#N/A,TRUE,"Mar99";"Balance Sheet",#N/A,TRUE,"Mar99"}</definedName>
    <definedName name="_Fill" localSheetId="1" hidden="1">#REF!</definedName>
    <definedName name="_Fill" localSheetId="10" hidden="1">#REF!</definedName>
    <definedName name="_Fill" localSheetId="3" hidden="1">#REF!</definedName>
    <definedName name="_Fill" localSheetId="9" hidden="1">#REF!</definedName>
    <definedName name="_Fill" localSheetId="8" hidden="1">#REF!</definedName>
    <definedName name="_Fill" localSheetId="11" hidden="1">#REF!</definedName>
    <definedName name="_Fill" localSheetId="16" hidden="1">#REF!</definedName>
    <definedName name="_Fill" hidden="1">#REF!</definedName>
    <definedName name="_Fill1" hidden="1">#REF!</definedName>
    <definedName name="_Fill2" hidden="1">#REF!</definedName>
    <definedName name="_xlnm._FilterDatabase" localSheetId="10" hidden="1">'Other Recast'!$A$4:$H$8</definedName>
    <definedName name="_xlnm._FilterDatabase" localSheetId="15" hidden="1">PL!$C$1:$E$104</definedName>
    <definedName name="_xlnm._FilterDatabase" localSheetId="6" hidden="1">'QE Detail - MGMT.'!$B$1:$B$79</definedName>
    <definedName name="_xlnm._FilterDatabase" localSheetId="9" hidden="1">#REF!</definedName>
    <definedName name="_xlnm._FilterDatabase" localSheetId="8" hidden="1">#REF!</definedName>
    <definedName name="_xlnm._FilterDatabase" localSheetId="16" hidden="1">#REF!</definedName>
    <definedName name="_xlnm._FilterDatabase" hidden="1">#REF!</definedName>
    <definedName name="_for_YTD_Year" hidden="1">#REF!</definedName>
    <definedName name="_FRP" localSheetId="10"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RP_1" localSheetId="10" hidden="1">{#N/A,#N/A,FALSE,"Title";#N/A,#N/A,FALSE,"Index";#N/A,#N/A,FALSE,"1";#N/A,#N/A,FALSE,"2";#N/A,#N/A,FALSE,"3";#N/A,#N/A,FALSE,"4";#N/A,#N/A,FALSE,"5";#N/A,#N/A,FALSE,"6";#N/A,#N/A,FALSE,"7";#N/A,#N/A,FALSE,"8"}</definedName>
    <definedName name="_FRP_1" hidden="1">{#N/A,#N/A,FALSE,"Title";#N/A,#N/A,FALSE,"Index";#N/A,#N/A,FALSE,"1";#N/A,#N/A,FALSE,"2";#N/A,#N/A,FALSE,"3";#N/A,#N/A,FALSE,"4";#N/A,#N/A,FALSE,"5";#N/A,#N/A,FALSE,"6";#N/A,#N/A,FALSE,"7";#N/A,#N/A,FALSE,"8"}</definedName>
    <definedName name="_fy97" localSheetId="10" hidden="1">{#N/A,#N/A,FALSE,"FY97";#N/A,#N/A,FALSE,"FY98";#N/A,#N/A,FALSE,"FY99";#N/A,#N/A,FALSE,"FY00";#N/A,#N/A,FALSE,"FY01"}</definedName>
    <definedName name="_fy97" localSheetId="15" hidden="1">{#N/A,#N/A,FALSE,"FY97";#N/A,#N/A,FALSE,"FY98";#N/A,#N/A,FALSE,"FY99";#N/A,#N/A,FALSE,"FY00";#N/A,#N/A,FALSE,"FY01"}</definedName>
    <definedName name="_fy97" hidden="1">{#N/A,#N/A,FALSE,"FY97";#N/A,#N/A,FALSE,"FY98";#N/A,#N/A,FALSE,"FY99";#N/A,#N/A,FALSE,"FY00";#N/A,#N/A,FALSE,"FY01"}</definedName>
    <definedName name="_fy97_1" localSheetId="10" hidden="1">{#N/A,#N/A,FALSE,"FY97";#N/A,#N/A,FALSE,"FY98";#N/A,#N/A,FALSE,"FY99";#N/A,#N/A,FALSE,"FY00";#N/A,#N/A,FALSE,"FY01"}</definedName>
    <definedName name="_fy97_1" hidden="1">{#N/A,#N/A,FALSE,"FY97";#N/A,#N/A,FALSE,"FY98";#N/A,#N/A,FALSE,"FY99";#N/A,#N/A,FALSE,"FY00";#N/A,#N/A,FALSE,"FY01"}</definedName>
    <definedName name="_fy97_1_1" localSheetId="10" hidden="1">{#N/A,#N/A,FALSE,"FY97";#N/A,#N/A,FALSE,"FY98";#N/A,#N/A,FALSE,"FY99";#N/A,#N/A,FALSE,"FY00";#N/A,#N/A,FALSE,"FY01"}</definedName>
    <definedName name="_fy97_1_1" hidden="1">{#N/A,#N/A,FALSE,"FY97";#N/A,#N/A,FALSE,"FY98";#N/A,#N/A,FALSE,"FY99";#N/A,#N/A,FALSE,"FY00";#N/A,#N/A,FALSE,"FY01"}</definedName>
    <definedName name="_fy97_2" localSheetId="10" hidden="1">{#N/A,#N/A,FALSE,"FY97";#N/A,#N/A,FALSE,"FY98";#N/A,#N/A,FALSE,"FY99";#N/A,#N/A,FALSE,"FY00";#N/A,#N/A,FALSE,"FY01"}</definedName>
    <definedName name="_fy97_2" hidden="1">{#N/A,#N/A,FALSE,"FY97";#N/A,#N/A,FALSE,"FY98";#N/A,#N/A,FALSE,"FY99";#N/A,#N/A,FALSE,"FY00";#N/A,#N/A,FALSE,"FY01"}</definedName>
    <definedName name="_gf1" localSheetId="10"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la1" localSheetId="10"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1_1" localSheetId="10" hidden="1">{#N/A,#N/A,FALSE,"Inc Month";#N/A,#N/A,FALSE,"Inc YTD";#N/A,#N/A,FALSE,"Bal Sheet";#N/A,#N/A,FALSE,"Base Cert";#N/A,#N/A,FALSE,"AR-Detail";#N/A,#N/A,FALSE,"PAC Bal";#N/A,#N/A,FALSE,"PAC Cash";#N/A,#N/A,FALSE,"Equity";#N/A,#N/A,FALSE,"PEI Bal";#N/A,#N/A,FALSE,"PEI Cash"}</definedName>
    <definedName name="_gla1_1" hidden="1">{#N/A,#N/A,FALSE,"Inc Month";#N/A,#N/A,FALSE,"Inc YTD";#N/A,#N/A,FALSE,"Bal Sheet";#N/A,#N/A,FALSE,"Base Cert";#N/A,#N/A,FALSE,"AR-Detail";#N/A,#N/A,FALSE,"PAC Bal";#N/A,#N/A,FALSE,"PAC Cash";#N/A,#N/A,FALSE,"Equity";#N/A,#N/A,FALSE,"PEI Bal";#N/A,#N/A,FALSE,"PEI Cash"}</definedName>
    <definedName name="_gla2" localSheetId="10"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la2_1" localSheetId="10" hidden="1">{#N/A,#N/A,FALSE,"Inc Month";#N/A,#N/A,FALSE,"Inc YTD";#N/A,#N/A,FALSE,"Bal Sheet";#N/A,#N/A,FALSE,"Base Cert";#N/A,#N/A,FALSE,"AR-Detail";#N/A,#N/A,FALSE,"PAC Bal";#N/A,#N/A,FALSE,"PAC Cash";#N/A,#N/A,FALSE,"Equity";#N/A,#N/A,FALSE,"PEI Bal";#N/A,#N/A,FALSE,"PEI Cash"}</definedName>
    <definedName name="_gla2_1" hidden="1">{#N/A,#N/A,FALSE,"Inc Month";#N/A,#N/A,FALSE,"Inc YTD";#N/A,#N/A,FALSE,"Bal Sheet";#N/A,#N/A,FALSE,"Base Cert";#N/A,#N/A,FALSE,"AR-Detail";#N/A,#N/A,FALSE,"PAC Bal";#N/A,#N/A,FALSE,"PAC Cash";#N/A,#N/A,FALSE,"Equity";#N/A,#N/A,FALSE,"PEI Bal";#N/A,#N/A,FALSE,"PEI Cash"}</definedName>
    <definedName name="_GRP1">OFFSET(#REF!,0,0,COUNTA(#REF!),1)</definedName>
    <definedName name="_GRP2">OFFSET(#REF!,0,0,COUNTA(#REF!),1)</definedName>
    <definedName name="_hod2" localSheetId="10"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2" localSheetId="10" hidden="1">{"PVGraph2",#N/A,FALSE,"PV Data"}</definedName>
    <definedName name="_I2" hidden="1">{"PVGraph2",#N/A,FALSE,"PV Data"}</definedName>
    <definedName name="_I3" localSheetId="10" hidden="1">{"PVGraph2",#N/A,FALSE,"PV Data"}</definedName>
    <definedName name="_I3" hidden="1">{"PVGraph2",#N/A,FALSE,"PV Data"}</definedName>
    <definedName name="_ibo2" localSheetId="10"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nv03" localSheetId="10">#REF!</definedName>
    <definedName name="_inv03">#REF!</definedName>
    <definedName name="_inv1" localSheetId="10">#REF!</definedName>
    <definedName name="_inv1">#REF!</definedName>
    <definedName name="_inv2" localSheetId="10">#REF!</definedName>
    <definedName name="_inv2">#REF!</definedName>
    <definedName name="_IPO2" hidden="1">"c6191"</definedName>
    <definedName name="_ISV4" localSheetId="10" hidden="1">{"Material",#N/A,TRUE,"Summary";"Mfg",#N/A,TRUE,"Summary";"mfgbymo",#N/A,TRUE,"By Month";"Mtlbymo",#N/A,TRUE,"By Month"}</definedName>
    <definedName name="_ISV4" hidden="1">{"Material",#N/A,TRUE,"Summary";"Mfg",#N/A,TRUE,"Summary";"mfgbymo",#N/A,TRUE,"By Month";"Mtlbymo",#N/A,TRUE,"By Month"}</definedName>
    <definedName name="_ISV4_1" localSheetId="10" hidden="1">{"Material",#N/A,TRUE,"Summary";"Mfg",#N/A,TRUE,"Summary";"mfgbymo",#N/A,TRUE,"By Month";"Mtlbymo",#N/A,TRUE,"By Month"}</definedName>
    <definedName name="_ISV4_1" hidden="1">{"Material",#N/A,TRUE,"Summary";"Mfg",#N/A,TRUE,"Summary";"mfgbymo",#N/A,TRUE,"By Month";"Mtlbymo",#N/A,TRUE,"By Month"}</definedName>
    <definedName name="_ISV4_1_1" localSheetId="10" hidden="1">{"Material",#N/A,TRUE,"Summary";"Mfg",#N/A,TRUE,"Summary";"mfgbymo",#N/A,TRUE,"By Month";"Mtlbymo",#N/A,TRUE,"By Month"}</definedName>
    <definedName name="_ISV4_1_1" hidden="1">{"Material",#N/A,TRUE,"Summary";"Mfg",#N/A,TRUE,"Summary";"mfgbymo",#N/A,TRUE,"By Month";"Mtlbymo",#N/A,TRUE,"By Month"}</definedName>
    <definedName name="_ISV4_2" localSheetId="10" hidden="1">{"Material",#N/A,TRUE,"Summary";"Mfg",#N/A,TRUE,"Summary";"mfgbymo",#N/A,TRUE,"By Month";"Mtlbymo",#N/A,TRUE,"By Month"}</definedName>
    <definedName name="_ISV4_2" hidden="1">{"Material",#N/A,TRUE,"Summary";"Mfg",#N/A,TRUE,"Summary";"mfgbymo",#N/A,TRUE,"By Month";"Mtlbymo",#N/A,TRUE,"By Month"}</definedName>
    <definedName name="_JAN02" localSheetId="10">#REF!</definedName>
    <definedName name="_JAN02">#REF!</definedName>
    <definedName name="_Jun02" localSheetId="10" hidden="1">{"Statement of Income",#N/A,TRUE,"Mar99";"Balance Sheet",#N/A,TRUE,"Mar99"}</definedName>
    <definedName name="_Jun02" localSheetId="15" hidden="1">{"Statement of Income",#N/A,TRUE,"Mar99";"Balance Sheet",#N/A,TRUE,"Mar99"}</definedName>
    <definedName name="_Jun02" hidden="1">{"Statement of Income",#N/A,TRUE,"Mar99";"Balance Sheet",#N/A,TRUE,"Mar99"}</definedName>
    <definedName name="_KEY" hidden="1">#REF!</definedName>
    <definedName name="_Key1" localSheetId="1" hidden="1">#REF!</definedName>
    <definedName name="_Key1" localSheetId="10" hidden="1">#REF!</definedName>
    <definedName name="_Key1" localSheetId="3" hidden="1">#REF!</definedName>
    <definedName name="_Key1" localSheetId="9" hidden="1">#REF!</definedName>
    <definedName name="_Key1" localSheetId="8" hidden="1">#REF!</definedName>
    <definedName name="_Key1" localSheetId="11" hidden="1">#REF!</definedName>
    <definedName name="_Key1" localSheetId="16" hidden="1">#REF!</definedName>
    <definedName name="_Key1" hidden="1">#REF!</definedName>
    <definedName name="_key10" hidden="1">#REF!</definedName>
    <definedName name="_Key13" hidden="1">#REF!</definedName>
    <definedName name="_key1a" hidden="1">#REF!</definedName>
    <definedName name="_Key2" localSheetId="1" hidden="1">#REF!</definedName>
    <definedName name="_Key2" localSheetId="10" hidden="1">#REF!</definedName>
    <definedName name="_Key2" localSheetId="3" hidden="1">#REF!</definedName>
    <definedName name="_Key2" localSheetId="9" hidden="1">#REF!</definedName>
    <definedName name="_Key2" localSheetId="8" hidden="1">#REF!</definedName>
    <definedName name="_Key2" localSheetId="11" hidden="1">#REF!</definedName>
    <definedName name="_Key2" localSheetId="16" hidden="1">#REF!</definedName>
    <definedName name="_Key2" hidden="1">#REF!</definedName>
    <definedName name="_Key3" hidden="1">#REF!</definedName>
    <definedName name="_key4"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6" hidden="1">#REF!</definedName>
    <definedName name="_Look" localSheetId="10" hidden="1">#REF!</definedName>
    <definedName name="_Look" hidden="1">#REF!</definedName>
    <definedName name="_Mar03" localSheetId="10" hidden="1">{"Statement of Income",#N/A,TRUE,"Mar99";"Balance Sheet",#N/A,TRUE,"Mar99"}</definedName>
    <definedName name="_Mar03" localSheetId="15" hidden="1">{"Statement of Income",#N/A,TRUE,"Mar99";"Balance Sheet",#N/A,TRUE,"Mar99"}</definedName>
    <definedName name="_Mar03" hidden="1">{"Statement of Income",#N/A,TRUE,"Mar99";"Balance Sheet",#N/A,TRUE,"Mar99"}</definedName>
    <definedName name="_Mar04" localSheetId="10" hidden="1">{"Statement of Income",#N/A,TRUE,"Mar99";"Balance Sheet",#N/A,TRUE,"Mar99"}</definedName>
    <definedName name="_Mar04" localSheetId="15" hidden="1">{"Statement of Income",#N/A,TRUE,"Mar99";"Balance Sheet",#N/A,TRUE,"Mar99"}</definedName>
    <definedName name="_Mar04" hidden="1">{"Statement of Income",#N/A,TRUE,"Mar99";"Balance Sheet",#N/A,TRUE,"Mar99"}</definedName>
    <definedName name="_mno9" localSheetId="10" hidden="1">{"detail",#N/A,FALSE,"mfg";"summary",#N/A,FALSE,"mfg"}</definedName>
    <definedName name="_mno9" hidden="1">{"detail",#N/A,FALSE,"mfg";"summary",#N/A,FALSE,"mfg"}</definedName>
    <definedName name="_moo" localSheetId="10" hidden="1">#REF!</definedName>
    <definedName name="_moo" localSheetId="9" hidden="1">#REF!</definedName>
    <definedName name="_moo" localSheetId="8" hidden="1">#REF!</definedName>
    <definedName name="_moo" localSheetId="16" hidden="1">#REF!</definedName>
    <definedName name="_moo" hidden="1">#REF!</definedName>
    <definedName name="_mty1" localSheetId="10" hidden="1">{#N/A,#N/A,TRUE,"2432"}</definedName>
    <definedName name="_mty1" hidden="1">{#N/A,#N/A,TRUE,"2432"}</definedName>
    <definedName name="_MUM1" localSheetId="10" hidden="1">#REF!</definedName>
    <definedName name="_MUM1" hidden="1">#REF!</definedName>
    <definedName name="_MUM1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a2" hidden="1">"100"</definedName>
    <definedName name="_na3" hidden="1">"50"</definedName>
    <definedName name="_na4" hidden="1">"IQ_LTM_DATE"</definedName>
    <definedName name="_nam305" localSheetId="10" hidden="1">{"detail",#N/A,FALSE,"mfg";"summary",#N/A,FALSE,"mfg"}</definedName>
    <definedName name="_nam305" hidden="1">{"detail",#N/A,FALSE,"mfg";"summary",#N/A,FALSE,"mfg"}</definedName>
    <definedName name="_new" localSheetId="10" hidden="1">#REF!</definedName>
    <definedName name="_new" localSheetId="9" hidden="1">#REF!</definedName>
    <definedName name="_new" localSheetId="8" hidden="1">#REF!</definedName>
    <definedName name="_new" localSheetId="16" hidden="1">#REF!</definedName>
    <definedName name="_new" hidden="1">#REF!</definedName>
    <definedName name="_new1" localSheetId="10" hidden="1">{#N/A,#N/A,FALSE,"Pharm";#N/A,#N/A,FALSE,"WWCM"}</definedName>
    <definedName name="_new1" hidden="1">{#N/A,#N/A,FALSE,"Pharm";#N/A,#N/A,FALSE,"WWCM"}</definedName>
    <definedName name="_New2" localSheetId="10" hidden="1">{"TOTAL",#N/A,FALSE,"A";"FISCAL94",#N/A,FALSE,"A";"FISCAL95",#N/A,FALSE,"A";"FISCAL96",#N/A,FALSE,"A";"misc page",#N/A,FALSE,"A"}</definedName>
    <definedName name="_New2" localSheetId="15" hidden="1">{"TOTAL",#N/A,FALSE,"A";"FISCAL94",#N/A,FALSE,"A";"FISCAL95",#N/A,FALSE,"A";"FISCAL96",#N/A,FALSE,"A";"misc page",#N/A,FALSE,"A"}</definedName>
    <definedName name="_New2" hidden="1">{"TOTAL",#N/A,FALSE,"A";"FISCAL94",#N/A,FALSE,"A";"FISCAL95",#N/A,FALSE,"A";"FISCAL96",#N/A,FALSE,"A";"misc page",#N/A,FALSE,"A"}</definedName>
    <definedName name="_o1" localSheetId="10" hidden="1">{#N/A,#N/A,FALSE,"SUMMARY";#N/A,#N/A,FALSE,"mcsh";#N/A,#N/A,FALSE,"vol&amp;rev";#N/A,#N/A,FALSE,"wkgcap";#N/A,#N/A,FALSE,"DEPR&amp;DT";#N/A,#N/A,FALSE,"ASSETS";#N/A,#N/A,FALSE,"NI&amp;OTH&amp;DIV";#N/A,#N/A,FALSE,"CASHFLOW";#N/A,#N/A,FALSE,"CAPEMPL";#N/A,#N/A,FALSE,"ROCE"}</definedName>
    <definedName name="_o1" localSheetId="15"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CT01" localSheetId="10" hidden="1">{"Statement of Income",#N/A,TRUE,"Mar99";"Balance Sheet",#N/A,TRUE,"Mar99"}</definedName>
    <definedName name="_OCT01" localSheetId="15" hidden="1">{"Statement of Income",#N/A,TRUE,"Mar99";"Balance Sheet",#N/A,TRUE,"Mar99"}</definedName>
    <definedName name="_OCT01" hidden="1">{"Statement of Income",#N/A,TRUE,"Mar99";"Balance Sheet",#N/A,TRUE,"Mar99"}</definedName>
    <definedName name="_OCT03" localSheetId="10" hidden="1">{"Statement of Income",#N/A,TRUE,"Mar99";"Balance Sheet",#N/A,TRUE,"Mar99"}</definedName>
    <definedName name="_OCT03" localSheetId="15" hidden="1">{"Statement of Income",#N/A,TRUE,"Mar99";"Balance Sheet",#N/A,TRUE,"Mar99"}</definedName>
    <definedName name="_OCT03" hidden="1">{"Statement of Income",#N/A,TRUE,"Mar99";"Balance Sheet",#N/A,TRUE,"Mar99"}</definedName>
    <definedName name="_old2" localSheetId="10" hidden="1">{#N/A,#N/A,FALSE,"Income";#N/A,#N/A,FALSE,"Cost of Goods Sold";#N/A,#N/A,FALSE,"Other Costs";#N/A,#N/A,FALSE,"Other Income";#N/A,#N/A,FALSE,"Taxes";#N/A,#N/A,FALSE,"Other Deductions";#N/A,#N/A,FALSE,"Compensation of Officers"}</definedName>
    <definedName name="_old2" localSheetId="15" hidden="1">{#N/A,#N/A,FALSE,"Income";#N/A,#N/A,FALSE,"Cost of Goods Sold";#N/A,#N/A,FALSE,"Other Costs";#N/A,#N/A,FALSE,"Other Income";#N/A,#N/A,FALSE,"Taxes";#N/A,#N/A,FALSE,"Other Deductions";#N/A,#N/A,FALSE,"Compensation of Officers"}</definedName>
    <definedName name="_old2" hidden="1">{#N/A,#N/A,FALSE,"Income";#N/A,#N/A,FALSE,"Cost of Goods Sold";#N/A,#N/A,FALSE,"Other Costs";#N/A,#N/A,FALSE,"Other Income";#N/A,#N/A,FALSE,"Taxes";#N/A,#N/A,FALSE,"Other Deductions";#N/A,#N/A,FALSE,"Compensation of Officers"}</definedName>
    <definedName name="_old3" localSheetId="10" hidden="1">{#N/A,#N/A,FALSE,"Income";#N/A,#N/A,FALSE,"Cost of Goods Sold";#N/A,#N/A,FALSE,"Other Costs";#N/A,#N/A,FALSE,"Other Income";#N/A,#N/A,FALSE,"Taxes";#N/A,#N/A,FALSE,"Other Deductions";#N/A,#N/A,FALSE,"Compensation of Officers"}</definedName>
    <definedName name="_old3" localSheetId="15"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localSheetId="10" hidden="1">{#N/A,#N/A,FALSE,"Income";#N/A,#N/A,FALSE,"Cost of Goods Sold";#N/A,#N/A,FALSE,"Other Costs";#N/A,#N/A,FALSE,"Other Income";#N/A,#N/A,FALSE,"Taxes";#N/A,#N/A,FALSE,"Other Deductions";#N/A,#N/A,FALSE,"Compensation of Officers"}</definedName>
    <definedName name="_old4" localSheetId="15"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localSheetId="10" hidden="1">{#N/A,#N/A,FALSE,"Income";#N/A,#N/A,FALSE,"Cost of Goods Sold";#N/A,#N/A,FALSE,"Other Costs";#N/A,#N/A,FALSE,"Other Income";#N/A,#N/A,FALSE,"Taxes";#N/A,#N/A,FALSE,"Other Deductions";#N/A,#N/A,FALSE,"Compensation of Officers"}</definedName>
    <definedName name="_old5" localSheetId="15"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localSheetId="10" hidden="1">{#N/A,#N/A,FALSE,"Income";#N/A,#N/A,FALSE,"Cost of Goods Sold";#N/A,#N/A,FALSE,"Other Costs";#N/A,#N/A,FALSE,"Other Income";#N/A,#N/A,FALSE,"Taxes";#N/A,#N/A,FALSE,"Other Deductions";#N/A,#N/A,FALSE,"Compensation of Officers"}</definedName>
    <definedName name="_old8" localSheetId="1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localSheetId="10" hidden="1">{#N/A,#N/A,FALSE,"Income";#N/A,#N/A,FALSE,"Cost of Goods Sold";#N/A,#N/A,FALSE,"Other Costs";#N/A,#N/A,FALSE,"Other Income";#N/A,#N/A,FALSE,"Taxes";#N/A,#N/A,FALSE,"Other Deductions";#N/A,#N/A,FALSE,"Compensation of Officers"}</definedName>
    <definedName name="_old9" localSheetId="15"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M95"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rder1" hidden="1">255</definedName>
    <definedName name="_Order1a" hidden="1">0</definedName>
    <definedName name="_Order2" localSheetId="3" hidden="1">255</definedName>
    <definedName name="_Order2" localSheetId="11" hidden="1">255</definedName>
    <definedName name="_Order2" hidden="1">0</definedName>
    <definedName name="_P__L" hidden="1">#REF!</definedName>
    <definedName name="_P00comps1" hidden="1">#REF!</definedName>
    <definedName name="_P00comps2" hidden="1">#REF!</definedName>
    <definedName name="_paloimportactive" hidden="1">FALSE</definedName>
    <definedName name="_Parse_In" localSheetId="10" hidden="1">#REF!</definedName>
    <definedName name="_Parse_In" localSheetId="9" hidden="1">#REF!</definedName>
    <definedName name="_Parse_In" localSheetId="8" hidden="1">#REF!</definedName>
    <definedName name="_Parse_In" localSheetId="16" hidden="1">#REF!</definedName>
    <definedName name="_Parse_In" hidden="1">#REF!</definedName>
    <definedName name="_Parse_Out" localSheetId="10" hidden="1">#REF!</definedName>
    <definedName name="_Parse_Out" localSheetId="9" hidden="1">#REF!</definedName>
    <definedName name="_Parse_Out" localSheetId="8" hidden="1">#REF!</definedName>
    <definedName name="_Parse_Out" localSheetId="16" hidden="1">#REF!</definedName>
    <definedName name="_Parse_Out" hidden="1">#REF!</definedName>
    <definedName name="_PCD1" localSheetId="10" hidden="1">{#N/A,#N/A,TRUE,"Sch-1a";#N/A,#N/A,TRUE,"Sch-1b";#N/A,#N/A,TRUE,"Sch-1c";#N/A,#N/A,TRUE,"Sch-1d";#N/A,#N/A,TRUE,"Sch-2a";#N/A,#N/A,TRUE,"Sch-2b";#N/A,#N/A,TRUE,"Sch-2c";#N/A,#N/A,TRUE,"Sch-3a";#N/A,#N/A,TRUE,"Sch-3b";#N/A,#N/A,TRUE,"Sch-3c";#N/A,#N/A,TRUE,"Sch-3d";#N/A,#N/A,TRUE,"Sch-3e"}</definedName>
    <definedName name="_PCD1" hidden="1">{#N/A,#N/A,TRUE,"Sch-1a";#N/A,#N/A,TRUE,"Sch-1b";#N/A,#N/A,TRUE,"Sch-1c";#N/A,#N/A,TRUE,"Sch-1d";#N/A,#N/A,TRUE,"Sch-2a";#N/A,#N/A,TRUE,"Sch-2b";#N/A,#N/A,TRUE,"Sch-2c";#N/A,#N/A,TRUE,"Sch-3a";#N/A,#N/A,TRUE,"Sch-3b";#N/A,#N/A,TRUE,"Sch-3c";#N/A,#N/A,TRUE,"Sch-3d";#N/A,#N/A,TRUE,"Sch-3e"}</definedName>
    <definedName name="_PL2"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0" hidden="1">{#N/A,#N/A,FALSE,"Report Data";#N/A,#N/A,FALSE,"COMP POOL";#N/A,#N/A,FALSE,"COMP POOL NB95";#N/A,#N/A,FALSE,"COMP POOL NB94"}</definedName>
    <definedName name="_PL4" hidden="1">{#N/A,#N/A,FALSE,"Report Data";#N/A,#N/A,FALSE,"COMP POOL";#N/A,#N/A,FALSE,"COMP POOL NB95";#N/A,#N/A,FALSE,"COMP POOL NB94"}</definedName>
    <definedName name="_PL5"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1" localSheetId="10" hidden="1">{#N/A,#N/A,FALSE,"Trends";#N/A,#N/A,FALSE,"As Reported";#N/A,#N/A,FALSE,"(un) Commited"}</definedName>
    <definedName name="_pp1" hidden="1">{#N/A,#N/A,FALSE,"Trends";#N/A,#N/A,FALSE,"As Reported";#N/A,#N/A,FALSE,"(un) Commited"}</definedName>
    <definedName name="_puc101" localSheetId="10" hidden="1">{#N/A,"PURCHM",FALSE,"Business Analysis";#N/A,"SPADD",FALSE,"Business Analysis"}</definedName>
    <definedName name="_puc101" hidden="1">{#N/A,"PURCHM",FALSE,"Business Analysis";#N/A,"SPADD",FALSE,"Business Analysis"}</definedName>
    <definedName name="_puc102" localSheetId="10" hidden="1">{#N/A,"PURCHM",FALSE,"Business Analysis";#N/A,"SPADD",FALSE,"Business Analysis"}</definedName>
    <definedName name="_puc102" hidden="1">{#N/A,"PURCHM",FALSE,"Business Analysis";#N/A,"SPADD",FALSE,"Business Analysis"}</definedName>
    <definedName name="_q1" localSheetId="10" hidden="1">{"inflated_pl",#N/A,FALSE,"P&amp;L"}</definedName>
    <definedName name="_q1" hidden="1">{"inflated_pl",#N/A,FALSE,"P&amp;L"}</definedName>
    <definedName name="_q2" localSheetId="10" hidden="1">{"PL_no_inflated",#N/A,FALSE,"P&amp;L"}</definedName>
    <definedName name="_q2" hidden="1">{"PL_no_inflated",#N/A,FALSE,"P&amp;L"}</definedName>
    <definedName name="_q3" localSheetId="10" hidden="1">#REF!</definedName>
    <definedName name="_q3" hidden="1">#REF!</definedName>
    <definedName name="_Qallcmps" localSheetId="10">{"page 1";"page 2";"notes";"summary";"source";"analys";"covrge";"roea"}</definedName>
    <definedName name="_Qallcmps">{"page 1";"page 2";"notes";"summary";"source";"analys";"covrge";"roea"}</definedName>
    <definedName name="_Qcmpsplus" localSheetId="10">{"page 1";"page 2";"summary";"notes";"source"}</definedName>
    <definedName name="_Qcmpsplus">{"page 1";"page 2";"summary";"notes";"source"}</definedName>
    <definedName name="_Qprescomps" localSheetId="10">{"page 1";"page 2";"notes";"summary"}</definedName>
    <definedName name="_Qprescomps">{"page 1";"page 2";"notes";"summary"}</definedName>
    <definedName name="_r" localSheetId="10" hidden="1">{"consolidated",#N/A,FALSE,"Sheet1";"cms",#N/A,FALSE,"Sheet1";"fse",#N/A,FALSE,"Sheet1"}</definedName>
    <definedName name="_r" localSheetId="15" hidden="1">{"consolidated",#N/A,FALSE,"Sheet1";"cms",#N/A,FALSE,"Sheet1";"fse",#N/A,FALSE,"Sheet1"}</definedName>
    <definedName name="_r" hidden="1">{"consolidated",#N/A,FALSE,"Sheet1";"cms",#N/A,FALSE,"Sheet1";"fse",#N/A,FALSE,"Sheet1"}</definedName>
    <definedName name="_r_1" localSheetId="10" hidden="1">{"consolidated",#N/A,FALSE,"Sheet1";"cms",#N/A,FALSE,"Sheet1";"fse",#N/A,FALSE,"Sheet1"}</definedName>
    <definedName name="_r_1" hidden="1">{"consolidated",#N/A,FALSE,"Sheet1";"cms",#N/A,FALSE,"Sheet1";"fse",#N/A,FALSE,"Sheet1"}</definedName>
    <definedName name="_r_1_1" localSheetId="10" hidden="1">{"consolidated",#N/A,FALSE,"Sheet1";"cms",#N/A,FALSE,"Sheet1";"fse",#N/A,FALSE,"Sheet1"}</definedName>
    <definedName name="_r_1_1" hidden="1">{"consolidated",#N/A,FALSE,"Sheet1";"cms",#N/A,FALSE,"Sheet1";"fse",#N/A,FALSE,"Sheet1"}</definedName>
    <definedName name="_r_2" localSheetId="10" hidden="1">{"consolidated",#N/A,FALSE,"Sheet1";"cms",#N/A,FALSE,"Sheet1";"fse",#N/A,FALSE,"Sheet1"}</definedName>
    <definedName name="_r_2" hidden="1">{"consolidated",#N/A,FALSE,"Sheet1";"cms",#N/A,FALSE,"Sheet1";"fse",#N/A,FALSE,"Sheet1"}</definedName>
    <definedName name="_r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 localSheetId="10" hidden="1">{"NOPCAPEVA",#N/A,FALSE,"Nopat";"FCFCSTAR",#N/A,FALSE,"FCFVAL";"EVAVL",#N/A,FALSE,"EVAVAL";"LEASE",#N/A,FALSE,"OpLease"}</definedName>
    <definedName name="_re2" hidden="1">{"NOPCAPEVA",#N/A,FALSE,"Nopat";"FCFCSTAR",#N/A,FALSE,"FCFVAL";"EVAVL",#N/A,FALSE,"EVAVAL";"LEASE",#N/A,FALSE,"OpLease"}</definedName>
    <definedName name="_re3" localSheetId="10" hidden="1">{"NOPCAPEVA",#N/A,FALSE,"Nopat";"FCFCSTAR",#N/A,FALSE,"FCFVAL";"EVAVL",#N/A,FALSE,"EVAVAL";"LEASE",#N/A,FALSE,"OpLease"}</definedName>
    <definedName name="_re3" hidden="1">{"NOPCAPEVA",#N/A,FALSE,"Nopat";"FCFCSTAR",#N/A,FALSE,"FCFVAL";"EVAVL",#N/A,FALSE,"EVAVAL";"LEASE",#N/A,FALSE,"OpLease"}</definedName>
    <definedName name="_re4" localSheetId="10" hidden="1">{"NOPCAPEVA",#N/A,FALSE,"Nopat";"FCFCSTAR",#N/A,FALSE,"FCFVAL";"EVAVL",#N/A,FALSE,"EVAVAL";"LEASE",#N/A,FALSE,"OpLease"}</definedName>
    <definedName name="_re4" hidden="1">{"NOPCAPEVA",#N/A,FALSE,"Nopat";"FCFCSTAR",#N/A,FALSE,"FCFVAL";"EVAVL",#N/A,FALSE,"EVAVAL";"LEASE",#N/A,FALSE,"OpLease"}</definedName>
    <definedName name="_re5" localSheetId="10" hidden="1">{"NOPCAPEVA",#N/A,FALSE,"Nopat";"FCFCSTAR",#N/A,FALSE,"FCFVAL";"EVAVL",#N/A,FALSE,"EVAVAL";"LEASE",#N/A,FALSE,"OpLease"}</definedName>
    <definedName name="_re5" hidden="1">{"NOPCAPEVA",#N/A,FALSE,"Nopat";"FCFCSTAR",#N/A,FALSE,"FCFVAL";"EVAVL",#N/A,FALSE,"EVAVAL";"LEASE",#N/A,FALSE,"OpLease"}</definedName>
    <definedName name="_re6" localSheetId="10" hidden="1">{"NOPCAPEVA",#N/A,FALSE,"Nopat";"FCFCSTAR",#N/A,FALSE,"FCFVAL";"EVAVL",#N/A,FALSE,"EVAVAL";"LEASE",#N/A,FALSE,"OpLease"}</definedName>
    <definedName name="_re6" hidden="1">{"NOPCAPEVA",#N/A,FALSE,"Nopat";"FCFCSTAR",#N/A,FALSE,"FCFVAL";"EVAVL",#N/A,FALSE,"EVAVAL";"LEASE",#N/A,FALSE,"OpLease"}</definedName>
    <definedName name="_re7" localSheetId="10" hidden="1">{"NOPCAPEVA",#N/A,FALSE,"Nopat";"FCFCSTAR",#N/A,FALSE,"FCFVAL";"EVAVL",#N/A,FALSE,"EVAVAL";"LEASE",#N/A,FALSE,"OpLease"}</definedName>
    <definedName name="_re7" hidden="1">{"NOPCAPEVA",#N/A,FALSE,"Nopat";"FCFCSTAR",#N/A,FALSE,"FCFVAL";"EVAVL",#N/A,FALSE,"EVAVAL";"LEASE",#N/A,FALSE,"OpLease"}</definedName>
    <definedName name="_re8" localSheetId="10" hidden="1">{"NOPCAPEVA",#N/A,FALSE,"Nopat";"FCFCSTAR",#N/A,FALSE,"FCFVAL";"EVAVL",#N/A,FALSE,"EVAVAL";"LEASE",#N/A,FALSE,"OpLease"}</definedName>
    <definedName name="_re8" hidden="1">{"NOPCAPEVA",#N/A,FALSE,"Nopat";"FCFCSTAR",#N/A,FALSE,"FCFVAL";"EVAVL",#N/A,FALSE,"EVAVAL";"LEASE",#N/A,FALSE,"OpLease"}</definedName>
    <definedName name="_Regression_Int" hidden="1">1</definedName>
    <definedName name="_Regression_Out" localSheetId="10" hidden="1">#REF!</definedName>
    <definedName name="_Regression_Out" hidden="1">#REF!</definedName>
    <definedName name="_Regression_X" hidden="1">#REF!</definedName>
    <definedName name="_Regression_Y" hidden="1">#REF!</definedName>
    <definedName name="_REP" localSheetId="10" hidden="1">{#N/A,#N/A,FALSE,"ESI";#N/A,#N/A,FALSE,"LTI";#N/A,#N/A,FALSE,"PE";#N/A,#N/A,FALSE,"PI";#N/A,#N/A,FALSE,"OI";#N/A,#N/A,FALSE,"AT";#N/A,#N/A,FALSE,"CAN"}</definedName>
    <definedName name="_REP" hidden="1">{#N/A,#N/A,FALSE,"ESI";#N/A,#N/A,FALSE,"LTI";#N/A,#N/A,FALSE,"PE";#N/A,#N/A,FALSE,"PI";#N/A,#N/A,FALSE,"OI";#N/A,#N/A,FALSE,"AT";#N/A,#N/A,FALSE,"CAN"}</definedName>
    <definedName name="_REP_1" localSheetId="10" hidden="1">{#N/A,#N/A,FALSE,"ESI";#N/A,#N/A,FALSE,"LTI";#N/A,#N/A,FALSE,"PE";#N/A,#N/A,FALSE,"PI";#N/A,#N/A,FALSE,"OI";#N/A,#N/A,FALSE,"AT";#N/A,#N/A,FALSE,"CAN"}</definedName>
    <definedName name="_REP_1" hidden="1">{#N/A,#N/A,FALSE,"ESI";#N/A,#N/A,FALSE,"LTI";#N/A,#N/A,FALSE,"PE";#N/A,#N/A,FALSE,"PI";#N/A,#N/A,FALSE,"OI";#N/A,#N/A,FALSE,"AT";#N/A,#N/A,FALSE,"CAN"}</definedName>
    <definedName name="_Report" localSheetId="10">{"page2";"page1"}</definedName>
    <definedName name="_Report">{"page2";"page1"}</definedName>
    <definedName name="_Rf_Feb_Act_for_YTD" hidden="1">#REF!</definedName>
    <definedName name="_Rf_Oct_Act_for_2003_YTD" hidden="1">#REF!</definedName>
    <definedName name="_RO" localSheetId="10" hidden="1">{#N/A,#N/A,FALSE,"ESI";#N/A,#N/A,FALSE,"LTI";#N/A,#N/A,FALSE,"Medical";#N/A,#N/A,FALSE,"DSG";#N/A,#N/A,FALSE,"PI";#N/A,#N/A,FALSE,"OI"}</definedName>
    <definedName name="_RO" hidden="1">{#N/A,#N/A,FALSE,"ESI";#N/A,#N/A,FALSE,"LTI";#N/A,#N/A,FALSE,"Medical";#N/A,#N/A,FALSE,"DSG";#N/A,#N/A,FALSE,"PI";#N/A,#N/A,FALSE,"OI"}</definedName>
    <definedName name="_RO_1" localSheetId="10" hidden="1">{#N/A,#N/A,FALSE,"ESI";#N/A,#N/A,FALSE,"LTI";#N/A,#N/A,FALSE,"Medical";#N/A,#N/A,FALSE,"DSG";#N/A,#N/A,FALSE,"PI";#N/A,#N/A,FALSE,"OI"}</definedName>
    <definedName name="_RO_1" hidden="1">{#N/A,#N/A,FALSE,"ESI";#N/A,#N/A,FALSE,"LTI";#N/A,#N/A,FALSE,"Medical";#N/A,#N/A,FALSE,"DSG";#N/A,#N/A,FALSE,"PI";#N/A,#N/A,FALSE,"OI"}</definedName>
    <definedName name="_rod1" localSheetId="10"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SE1">#REF!</definedName>
    <definedName name="_RSE2">#REF!</definedName>
    <definedName name="_S_Base" localSheetId="10">{0.1;0;0.382758620689655;0;0;0;0.258620689655172;0;0.258620689655172}</definedName>
    <definedName name="_S_Base">{0.1;0;0.382758620689655;0;0;0;0.258620689655172;0;0.258620689655172}</definedName>
    <definedName name="_S_new_case" localSheetId="10">{0.1;0;0.45;0;0;0;0;0;0.45}</definedName>
    <definedName name="_S_new_case">{0.1;0;0.45;0;0;0;0;0;0.45}</definedName>
    <definedName name="_s1" hidden="1">#REF!</definedName>
    <definedName name="_s2" hidden="1">#REF!</definedName>
    <definedName name="_s3" hidden="1">#REF!</definedName>
    <definedName name="_s34" localSheetId="10" hidden="1">{"QTD_GENERALH2",#N/A,FALSE,"QTD"}</definedName>
    <definedName name="_s34" hidden="1">{"QTD_GENERALH2",#N/A,FALSE,"QTD"}</definedName>
    <definedName name="_s4" hidden="1">#REF!</definedName>
    <definedName name="_s5" hidden="1">#REF!</definedName>
    <definedName name="_s6" hidden="1">#REF!</definedName>
    <definedName name="_SA1" localSheetId="10" hidden="1">{#N/A,#N/A,TRUE,"0 Deckbl.";#N/A,#N/A,TRUE,"S 1 Komm";#N/A,#N/A,TRUE,"S 1a Komm";#N/A,#N/A,TRUE,"S 1b Komm";#N/A,#N/A,TRUE,"S  2 DBR";#N/A,#N/A,TRUE,"S  3 Sparten";#N/A,#N/A,TRUE,"S 4  Betr. K.";#N/A,#N/A,TRUE,"6 Bilanz";#N/A,#N/A,TRUE,"6a Bilanz ";#N/A,#N/A,TRUE,"6b Bilanz ";#N/A,#N/A,TRUE,"7 GS I";#N/A,#N/A,TRUE,"S 8 EQ-GuV"}</definedName>
    <definedName name="_SA1" hidden="1">{#N/A,#N/A,TRUE,"0 Deckbl.";#N/A,#N/A,TRUE,"S 1 Komm";#N/A,#N/A,TRUE,"S 1a Komm";#N/A,#N/A,TRUE,"S 1b Komm";#N/A,#N/A,TRUE,"S  2 DBR";#N/A,#N/A,TRUE,"S  3 Sparten";#N/A,#N/A,TRUE,"S 4  Betr. K.";#N/A,#N/A,TRUE,"6 Bilanz";#N/A,#N/A,TRUE,"6a Bilanz ";#N/A,#N/A,TRUE,"6b Bilanz ";#N/A,#N/A,TRUE,"7 GS I";#N/A,#N/A,TRUE,"S 8 EQ-GuV"}</definedName>
    <definedName name="_sd34" localSheetId="10" hidden="1">{"QTD",#N/A,FALSE,"SUM"}</definedName>
    <definedName name="_sd34" hidden="1">{"QTD",#N/A,FALSE,"SUM"}</definedName>
    <definedName name="_SEP01" localSheetId="10" hidden="1">{"Statement of Income",#N/A,TRUE,"Mar99";"Balance Sheet",#N/A,TRUE,"Mar99"}</definedName>
    <definedName name="_SEP01" localSheetId="15" hidden="1">{"Statement of Income",#N/A,TRUE,"Mar99";"Balance Sheet",#N/A,TRUE,"Mar99"}</definedName>
    <definedName name="_SEP01" hidden="1">{"Statement of Income",#N/A,TRUE,"Mar99";"Balance Sheet",#N/A,TRUE,"Mar99"}</definedName>
    <definedName name="_Sep03" localSheetId="10" hidden="1">{"Statement of Income",#N/A,TRUE,"Mar99";"Balance Sheet",#N/A,TRUE,"Mar99"}</definedName>
    <definedName name="_Sep03" localSheetId="15" hidden="1">{"Statement of Income",#N/A,TRUE,"Mar99";"Balance Sheet",#N/A,TRUE,"Mar99"}</definedName>
    <definedName name="_Sep03" hidden="1">{"Statement of Income",#N/A,TRUE,"Mar99";"Balance Sheet",#N/A,TRUE,"Mar99"}</definedName>
    <definedName name="_sep97">#REF!</definedName>
    <definedName name="_Series" hidden="1">#REF!</definedName>
    <definedName name="_Shading" hidden="1">#REF!</definedName>
    <definedName name="_Sort" localSheetId="1" hidden="1">#REF!</definedName>
    <definedName name="_Sort" localSheetId="10" hidden="1">#REF!</definedName>
    <definedName name="_Sort" localSheetId="3" hidden="1">#REF!</definedName>
    <definedName name="_Sort" localSheetId="9" hidden="1">#REF!</definedName>
    <definedName name="_Sort" localSheetId="8" hidden="1">#REF!</definedName>
    <definedName name="_Sort" localSheetId="11" hidden="1">#REF!</definedName>
    <definedName name="_Sort" localSheetId="16" hidden="1">#REF!</definedName>
    <definedName name="_Sort" hidden="1">#REF!</definedName>
    <definedName name="_Sort1" hidden="1">#REF!</definedName>
    <definedName name="_Sort2" hidden="1">#REF!</definedName>
    <definedName name="_ss1" localSheetId="10" hidden="1">{"detail",#N/A,FALSE,"mfg";"summary",#N/A,FALSE,"mfg"}</definedName>
    <definedName name="_ss1" hidden="1">{"detail",#N/A,FALSE,"mfg";"summary",#N/A,FALSE,"mfg"}</definedName>
    <definedName name="_SummaryExhibit" localSheetId="10" hidden="1">#REF!</definedName>
    <definedName name="_SummaryExhibit" hidden="1">#REF!</definedName>
    <definedName name="_t1" localSheetId="10" hidden="1">{"bs",#N/A,FALSE,"SCF"}</definedName>
    <definedName name="_t1" hidden="1">{"bs",#N/A,FALSE,"SCF"}</definedName>
    <definedName name="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0" hidden="1">#REF!</definedName>
    <definedName name="_Table1_In1" localSheetId="9" hidden="1">#REF!</definedName>
    <definedName name="_Table1_In1" localSheetId="8" hidden="1">#REF!</definedName>
    <definedName name="_Table1_In1" localSheetId="16" hidden="1">#REF!</definedName>
    <definedName name="_Table1_In1" hidden="1">#REF!</definedName>
    <definedName name="_Table1_In2" localSheetId="10" hidden="1">#REF!</definedName>
    <definedName name="_Table1_In2" localSheetId="9" hidden="1">#REF!</definedName>
    <definedName name="_Table1_In2" localSheetId="8" hidden="1">#REF!</definedName>
    <definedName name="_Table1_In2" localSheetId="16" hidden="1">#REF!</definedName>
    <definedName name="_Table1_In2" hidden="1">#REF!</definedName>
    <definedName name="_Table1_Out" localSheetId="10" hidden="1">#REF!</definedName>
    <definedName name="_Table1_Out" localSheetId="9" hidden="1">#REF!</definedName>
    <definedName name="_Table1_Out" localSheetId="8" hidden="1">#REF!</definedName>
    <definedName name="_Table1_Out" localSheetId="16" hidden="1">#REF!</definedName>
    <definedName name="_Table1_Out" hidden="1">#REF!</definedName>
    <definedName name="_Table2_In1" localSheetId="10" hidden="1">#REF!</definedName>
    <definedName name="_Table2_In1" localSheetId="9" hidden="1">#REF!</definedName>
    <definedName name="_Table2_In1" localSheetId="8" hidden="1">#REF!</definedName>
    <definedName name="_Table2_In1" localSheetId="16" hidden="1">#REF!</definedName>
    <definedName name="_Table2_In1" hidden="1">#REF!</definedName>
    <definedName name="_Table2_In1a" hidden="1">#REF!</definedName>
    <definedName name="_Table2_In2" localSheetId="10" hidden="1">#REF!</definedName>
    <definedName name="_Table2_In2" localSheetId="9" hidden="1">#REF!</definedName>
    <definedName name="_Table2_In2" localSheetId="8" hidden="1">#REF!</definedName>
    <definedName name="_Table2_In2" localSheetId="16" hidden="1">#REF!</definedName>
    <definedName name="_Table2_In2" hidden="1">#REF!</definedName>
    <definedName name="_Table2_In2a" hidden="1">#REF!</definedName>
    <definedName name="_Table2_Out" localSheetId="10" hidden="1">#REF!</definedName>
    <definedName name="_Table2_Out" localSheetId="9" hidden="1">#REF!</definedName>
    <definedName name="_Table2_Out" localSheetId="8" hidden="1">#REF!</definedName>
    <definedName name="_Table2_Out" localSheetId="16" hidden="1">#REF!</definedName>
    <definedName name="_Table2_Out" hidden="1">#REF!</definedName>
    <definedName name="_Table3_In2" localSheetId="10" hidden="1">#REF!</definedName>
    <definedName name="_Table3_In2" localSheetId="9" hidden="1">#REF!</definedName>
    <definedName name="_Table3_In2" localSheetId="8" hidden="1">#REF!</definedName>
    <definedName name="_Table3_In2" localSheetId="16" hidden="1">#REF!</definedName>
    <definedName name="_Table3_In2" hidden="1">#REF!</definedName>
    <definedName name="_tax1">#REF!</definedName>
    <definedName name="_tax2">#REF!</definedName>
    <definedName name="_tax3">#REF!</definedName>
    <definedName name="_tax4">#REF!</definedName>
    <definedName name="_tes6" localSheetId="10" hidden="1">{"Data Worksheet",#N/A,FALSE,"CAREY97"}</definedName>
    <definedName name="_tes6" hidden="1">{"Data Worksheet",#N/A,FALSE,"CAREY97"}</definedName>
    <definedName name="_TEst">#REF!</definedName>
    <definedName name="_tm1" localSheetId="10" hidden="1">{#N/A,#N/A,FALSE,"Pharm";#N/A,#N/A,FALSE,"WWCM"}</definedName>
    <definedName name="_tm1" hidden="1">{#N/A,#N/A,FALSE,"Pharm";#N/A,#N/A,FALSE,"WWCM"}</definedName>
    <definedName name="_TMAutoChart1Names" localSheetId="10" hidden="1">{"Timeline","Chart 6","Timeline Chart 6"}</definedName>
    <definedName name="_TMAutoChart1Names" hidden="1">{"Timeline","Chart 6","Timeline Chart 6"}</definedName>
    <definedName name="_TMAutoChart1Refs" localSheetId="10" hidden="1">{"","","'Timeline'!$F$16","'Timeline'!$F$25","","","","","",""}</definedName>
    <definedName name="_TMAutoChart1Refs" hidden="1">{"","","'Timeline'!$F$16","'Timeline'!$F$25","","","","","",""}</definedName>
    <definedName name="_TMAutoChart2Names" localSheetId="10" hidden="1">{"Timeline","Chart 6","Timeline Chart 6"}</definedName>
    <definedName name="_TMAutoChart2Names" hidden="1">{"Timeline","Chart 6","Timeline Chart 6"}</definedName>
    <definedName name="_TMAutoChart2Refs" localSheetId="10" hidden="1">{"","","'Timeline'!$F$16","'Timeline'!$H$25","","","","","",""}</definedName>
    <definedName name="_TMAutoChart2Refs" hidden="1">{"","","'Timeline'!$F$16","'Timeline'!$H$25","","","","","",""}</definedName>
    <definedName name="_TMAutoChartCount" hidden="1">1</definedName>
    <definedName name="_UNDO_UPS_" localSheetId="10" hidden="1">#REF!</definedName>
    <definedName name="_UNDO_UPS_" hidden="1">#REF!</definedName>
    <definedName name="_UNDO_UPS_SEL_" hidden="1">#REF!</definedName>
    <definedName name="_UNDO31X31X_" hidden="1">#REF!</definedName>
    <definedName name="_var3" localSheetId="10" hidden="1">{"'777'!$A$1:$H$41"}</definedName>
    <definedName name="_var3" localSheetId="15" hidden="1">{"'777'!$A$1:$H$41"}</definedName>
    <definedName name="_var3" hidden="1">{"'777'!$A$1:$H$41"}</definedName>
    <definedName name="_vena_DebtCovenants_DebtCovenants_C_8_365247895181590529">#REF!</definedName>
    <definedName name="_vena_DebtCovenants_DebtCovenants_C_8_365247895181590529_1">#REF!</definedName>
    <definedName name="_vena_DebtCovenants_DebtCovenants_C_8_365247895181590529_2">#REF!</definedName>
    <definedName name="_vena_DebtCovenants_DebtCovenants_C_8_365247895181590529_3">#REF!</definedName>
    <definedName name="_vena_DebtCovenants_DebtCovenants_C_8_365247895198367744">#REF!</definedName>
    <definedName name="_vena_DebtCovenants_DebtCovenants_C_8_365247895198367744_1">#REF!</definedName>
    <definedName name="_vena_DebtCovenants_DebtCovenants_C_8_365247895198367744_2">#REF!</definedName>
    <definedName name="_vena_DebtCovenants_DebtCovenants_C_8_365247895198367744_3">#REF!</definedName>
    <definedName name="_vena_DebtCovenants_DebtCovenants_C_9_365247895361945600">#REF!</definedName>
    <definedName name="_vena_DebtCovenants_DebtCovenants_C_9_365247895361945600_1">#REF!</definedName>
    <definedName name="_vena_DebtCovenants_DebtCovenants_C_9_365247895408082944">#REF!</definedName>
    <definedName name="_vena_DebtCovenants_DebtCovenants_C_9_365247895408082944_1">#REF!</definedName>
    <definedName name="_vena_DebtCovenants_DebtCovenants_C_9_365247895454220288">#REF!</definedName>
    <definedName name="_vena_DebtCovenants_DebtCovenants_C_9_365247895454220288_1">#REF!</definedName>
    <definedName name="_vena_DebtCovenants_DebtCovenants_C_9_365247895504551936">#REF!</definedName>
    <definedName name="_vena_DebtCovenants_DebtCovenants_C_9_365247895504551936_1">#REF!</definedName>
    <definedName name="_vena_DebtCovenants_DebtCovenants_C_GV_386649598377066496">#REF!</definedName>
    <definedName name="_vena_DebtCovenants_DebtCovenants_C_GV_386649600356646912_1">#REF!</definedName>
    <definedName name="_vena_DebtCovenants_DebtCovenants_R_1_365247892736311297">#REF!</definedName>
    <definedName name="_vena_DebtCovenants_DebtCovenants_R_1_365247892736311297_1">#REF!</definedName>
    <definedName name="_vena_DebtCovenants_DebtCovenants_R_1_365247894485336065">#REF!</definedName>
    <definedName name="_vena_DebtCovenants_DebtCovenants_R_1_396003849221308416">#REF!</definedName>
    <definedName name="_vena_DebtCovenants_P_10_365247895613603841" comment="*">#REF!</definedName>
    <definedName name="_vena_DebtCovenants_P_11_365247895227727873" comment="*">#REF!</definedName>
    <definedName name="_vena_DebtCovenants_P_4_365247895047372801" comment="*">#REF!</definedName>
    <definedName name="_vena_DebtCovenants_P_5_370051612712239104" comment="*">#REF!</definedName>
    <definedName name="_vena_DebtCovenants_P_PV1_2" comment="*">#REF!</definedName>
    <definedName name="_vena_DebtCovenants_P_PV1_3" comment="*">#REF!</definedName>
    <definedName name="_vena_DebtCovenants_P_PV1_6" comment="*">#REF!</definedName>
    <definedName name="_vena_DebtCovenants_P_PV1_7" comment="*">#REF!</definedName>
    <definedName name="_vena_PLByLocation_Actual_C_3_365248009367584768">#REF!</definedName>
    <definedName name="_vena_PLByLocation_Actual_C_3_365248105773531136">#REF!</definedName>
    <definedName name="_vena_PLByLocation_Actual_C_3_365248132932567040">#REF!</definedName>
    <definedName name="_vena_PLByLocation_Actual_C_3_365248157468590080">#REF!</definedName>
    <definedName name="_vena_PLByLocation_Actual_C_3_365248184577032192">#REF!</definedName>
    <definedName name="_vena_PLByLocation_Actual_C_3_365248211050692608">#REF!</definedName>
    <definedName name="_vena_PLByLocation_Actual_C_3_365248245565620224">#REF!</definedName>
    <definedName name="_vena_PLByLocation_Actual_C_3_365248278676242432">#REF!</definedName>
    <definedName name="_vena_PLByLocation_Actual_C_3_365248302528462848">#REF!</definedName>
    <definedName name="_vena_PLByLocation_Actual_C_3_365248321142521856">#REF!</definedName>
    <definedName name="_vena_PLByLocation_Actual_C_3_365249323958665216">#REF!</definedName>
    <definedName name="_vena_PLByLocation_Actual_R_1_365247892325269504">#REF!</definedName>
    <definedName name="_vena_PLByLocation_Actual_R_1_365247892325269504_1">#REF!</definedName>
    <definedName name="_vena_PLByLocation_Actual_R_1_365247892342046720">#REF!</definedName>
    <definedName name="_vena_PLByLocation_Actual_R_1_365247892358823936">#REF!</definedName>
    <definedName name="_vena_PLByLocation_Actual_R_1_365247892501430273">#REF!</definedName>
    <definedName name="_vena_PLByLocation_Actual_R_1_365247892505624577">#REF!</definedName>
    <definedName name="_vena_PLByLocation_Actual_R_1_365247892522401792">#REF!</definedName>
    <definedName name="_vena_PLByLocation_Actual_R_1_365247892534984704">#REF!</definedName>
    <definedName name="_vena_PLByLocation_Actual_R_1_365247892547567617">#REF!</definedName>
    <definedName name="_vena_PLByLocation_Actual_R_1_365247892547567617_1">#REF!</definedName>
    <definedName name="_vena_PLByLocation_Actual_R_1_365247892665008129">#REF!</definedName>
    <definedName name="_vena_PLByLocation_Actual_R_1_365247892673396736">#REF!</definedName>
    <definedName name="_vena_PLByLocation_Actual_R_1_365247892690173953">#REF!</definedName>
    <definedName name="_vena_PLByLocation_Actual_R_1_365247892698562561">#REF!</definedName>
    <definedName name="_vena_PLByLocation_Actual_R_1_365247892702756865">#REF!</definedName>
    <definedName name="_vena_PLByLocation_Actual_R_1_365247892706951169">#REF!</definedName>
    <definedName name="_vena_PLByLocation_Actual_R_1_365247892711145473">#REF!</definedName>
    <definedName name="_vena_PLByLocation_Actual_R_1_365247892715339777">#REF!</definedName>
    <definedName name="_vena_PLByLocation_Actual_R_1_365247892732116992">#REF!</definedName>
    <definedName name="_vena_PLByLocation_Actual_R_1_365247892740505601">#REF!</definedName>
    <definedName name="_vena_PLByLocation_Actual_R_1_365247892748894209">#REF!</definedName>
    <definedName name="_vena_PLByLocation_Actual_R_1_365247892753088513">#REF!</definedName>
    <definedName name="_vena_PLByLocation_Actual_R_1_365247892828585985">#REF!</definedName>
    <definedName name="_vena_PLByLocation_Actual_R_1_365247892836974593">#REF!</definedName>
    <definedName name="_vena_PLByLocation_Actual_R_1_365247892849557504">#REF!</definedName>
    <definedName name="_vena_PLByLocation_Actual_R_1_365247892874723329">#REF!</definedName>
    <definedName name="_vena_PLByLocation_Actual_R_1_365247892908277761">#REF!</definedName>
    <definedName name="_vena_PLByLocation_Actual_R_1_365247892925054976">#REF!</definedName>
    <definedName name="_vena_PLByLocation_Actual_R_1_365247893885550592">#REF!</definedName>
    <definedName name="_vena_PLByLocation_Actual_R_1_365247894174957569">#REF!</definedName>
    <definedName name="_vena_PLByLocation_Actual_R_1_365247894195929088">#REF!</definedName>
    <definedName name="_vena_PLByLocation_Actual_R_1_365247894225289217">#REF!</definedName>
    <definedName name="_vena_PLByLocation_Actual_R_1_365247894246260736">#REF!</definedName>
    <definedName name="_vena_PLByLocation_Actual_R_1_365247894359506945">#REF!</definedName>
    <definedName name="_vena_PLByLocation_Actual_R_1_365247894401449985">#REF!</definedName>
    <definedName name="_vena_PLByLocation_Actual_R_1_365247894443393024">#REF!</definedName>
    <definedName name="_vena_PLByLocation_Actual_R_1_365247894476947457">#REF!</definedName>
    <definedName name="_vena_PLByLocation_Actual_R_1_365247894485336065">#REF!</definedName>
    <definedName name="_vena_PLByLocation_Actual_R_1_365247894644719616">#REF!</definedName>
    <definedName name="_vena_PLByLocation_Actual_R_1_365247894661496833">#REF!</definedName>
    <definedName name="_vena_PLByLocation_Actual_R_1_365247894690856960">#REF!</definedName>
    <definedName name="_vena_PLByLocation_Actual_R_1_365247894707634176">#REF!</definedName>
    <definedName name="_vena_PLByLocation_Actual_R_1_365247894711828481">#REF!</definedName>
    <definedName name="_vena_PLByLocation_Actual_R_1_365247894716022785">#REF!</definedName>
    <definedName name="_vena_PLByLocation_Actual_R_1_365247894732800000">#REF!</definedName>
    <definedName name="_vena_PLByLocation_Actual_R_1_365247894736994305">#REF!</definedName>
    <definedName name="_vena_PLByLocation_Actual_R_1_365247894741188609">#REF!</definedName>
    <definedName name="_vena_PLByLocation_Actual_R_1_365247894745382913">#REF!</definedName>
    <definedName name="_vena_PLByLocation_Actual_R_1_365247894938320897">#REF!</definedName>
    <definedName name="_vena_PLByLocation_Actual_R_1_365247894950903809">#REF!</definedName>
    <definedName name="_vena_PLByLocation_Actual_R_1_365247894971875329">#REF!</definedName>
    <definedName name="_vena_PLByLocation_Actual_R_1_370446448909746176">#REF!</definedName>
    <definedName name="_vena_PLByLocation_Actual_R_1_374084187911094272">#REF!</definedName>
    <definedName name="_vena_PLByLocation_Actual_R_1_374136738367537152">#REF!</definedName>
    <definedName name="_vena_PLByLocation_Actual_R_1_374136738367537152_1">#REF!</definedName>
    <definedName name="_vena_PLByLocation_Actual_R_1_374137203942752256">#REF!</definedName>
    <definedName name="_vena_PLByLocation_Actual_R_1_374137203942752256_1">#REF!</definedName>
    <definedName name="_vena_PLByLocation_P_10_365247895613603841" comment="*">#REF!</definedName>
    <definedName name="_vena_PLByLocation_P_11_365247895227727873" comment="*">#REF!</definedName>
    <definedName name="_vena_PLByLocation_P_2_365249323883167744" comment="*">#REF!</definedName>
    <definedName name="_vena_PLByLocation_P_4_365247895047372801" comment="*">#REF!</definedName>
    <definedName name="_vena_PLByLocation_P_5_370051612712239104" comment="*">#REF!</definedName>
    <definedName name="_vena_PLByLocation_P_6_365247895127064577" comment="*">#REF!</definedName>
    <definedName name="_vena_PLByLocation_P_7_365247895152230401" comment="*">#REF!</definedName>
    <definedName name="_vena_PLByLocation_P_8_365247895181590529">#REF!</definedName>
    <definedName name="_vena_PLByLocation_P_8_365247895198367744">#REF!</definedName>
    <definedName name="_vena_PLByLocation_P_8_365247895202562049">#REF!</definedName>
    <definedName name="_vena_PLByLocation_P_9_365247895299031041">#REF!</definedName>
    <definedName name="_vena_PLByLocation_P_9_365247895320002561">#REF!</definedName>
    <definedName name="_vena_PLByLocation_P_9_365247895345168384">#REF!</definedName>
    <definedName name="_vena_PLByLocation_P_9_365247895361945600">#REF!</definedName>
    <definedName name="_vena_PLByLocation_P_9_365247895378722816">#REF!</definedName>
    <definedName name="_vena_PLByLocation_P_9_365247895395500032">#REF!</definedName>
    <definedName name="_vena_PLByLocation_P_9_365247895408082944">#REF!</definedName>
    <definedName name="_vena_PLByLocation_P_9_365247895424860160">#REF!</definedName>
    <definedName name="_vena_PLByLocation_P_9_365247895441637376">#REF!</definedName>
    <definedName name="_vena_PLByLocation_P_9_365247895454220288">#REF!</definedName>
    <definedName name="_vena_PLByLocation_P_9_365247895470997504">#REF!</definedName>
    <definedName name="_vena_PLByLocation_P_9_365247895487774720">#REF!</definedName>
    <definedName name="_vena_PLByLocation_P_9_365247895504551936">#REF!</definedName>
    <definedName name="_vena_PLByLocation_P_9_365247895517134848">#REF!</definedName>
    <definedName name="_vena_PLByLocation_P_9_365247895525523468">#REF!</definedName>
    <definedName name="_vena_PLByLocation_P_9_365247895542300678">#REF!</definedName>
    <definedName name="_vena_PLByLocation_P_9_365247895546494985">#REF!</definedName>
    <definedName name="_vena_PLByLocation_P_9_365247895550689288">#REF!</definedName>
    <definedName name="_vena_PLByLocation_P_9_365247895567466502">#REF!</definedName>
    <definedName name="_vena_PLByLocation_P_9_365247895571660806">#REF!</definedName>
    <definedName name="_vena_PLByLocation_P_9_365247895575855109">#REF!</definedName>
    <definedName name="_vena_PLByLocation_P_9_365247895592632323">#REF!</definedName>
    <definedName name="_vena_PLByLocation_P_9_365247895596826627">#REF!</definedName>
    <definedName name="_vena_PLByLocation_P_9_365247895605215234">#REF!</definedName>
    <definedName name="_vena_PLByLocation_P_GV_370439227303395328" comment="*">#REF!</definedName>
    <definedName name="_vena_PLByLocation_P_GV_370443486552391680" comment="*">#REF!</definedName>
    <definedName name="_ver1"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0" hidden="1">{"PVGraph2",#N/A,FALSE,"PV Data"}</definedName>
    <definedName name="_w1" hidden="1">{"PVGraph2",#N/A,FALSE,"PV Data"}</definedName>
    <definedName name="_w2" localSheetId="10" hidden="1">{"PVGraph2",#N/A,FALSE,"PV Data"}</definedName>
    <definedName name="_w2" hidden="1">{"PVGraph2",#N/A,FALSE,"PV Data"}</definedName>
    <definedName name="_w3" localSheetId="10" hidden="1">{"PVGraph2",#N/A,FALSE,"PV Data"}</definedName>
    <definedName name="_w3" hidden="1">{"PVGraph2",#N/A,FALSE,"PV Data"}</definedName>
    <definedName name="_wk01">#REF!</definedName>
    <definedName name="_wr1" localSheetId="10" hidden="1">{"hist_bs",#N/A,FALSE,"Exhibit D,E1,E2";#N/A,#N/A,FALSE,"Exhibit E3";#N/A,#N/A,FALSE,"Mgmt. Projtn";#N/A,#N/A,FALSE,"Exhibit B-1";#N/A,#N/A,FALSE,"Exhibit A";#N/A,#N/A,FALSE,"WACC";#N/A,#N/A,FALSE,"Control";"hist_inc",#N/A,FALSE,"Exhibit D,E1,E2"}</definedName>
    <definedName name="_wr1" hidden="1">{"hist_bs",#N/A,FALSE,"Exhibit D,E1,E2";#N/A,#N/A,FALSE,"Exhibit E3";#N/A,#N/A,FALSE,"Mgmt. Projtn";#N/A,#N/A,FALSE,"Exhibit B-1";#N/A,#N/A,FALSE,"Exhibit A";#N/A,#N/A,FALSE,"WACC";#N/A,#N/A,FALSE,"Control";"hist_inc",#N/A,FALSE,"Exhibit D,E1,E2"}</definedName>
    <definedName name="_wrn071" localSheetId="10" hidden="1">{#N/A,"PURCHM",FALSE,"Business Analysis";#N/A,"SPADD",FALSE,"Business Analysis"}</definedName>
    <definedName name="_wrn071" hidden="1">{#N/A,"PURCHM",FALSE,"Business Analysis";#N/A,"SPADD",FALSE,"Business Analysis"}</definedName>
    <definedName name="_wrn1" localSheetId="10" hidden="1">{#N/A,#N/A,FALSE,"DCF";#N/A,#N/A,FALSE,"WACC";#N/A,#N/A,FALSE,"Sales_EBIT";#N/A,#N/A,FALSE,"Capex_Depreciation";#N/A,#N/A,FALSE,"WC";#N/A,#N/A,FALSE,"Interest";#N/A,#N/A,FALSE,"Assumptions"}</definedName>
    <definedName name="_wrn1" localSheetId="15"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2" localSheetId="10" hidden="1">{#N/A,#N/A,TRUE,"Notes";#N/A,#N/A,TRUE,"Cap Struct";#N/A,#N/A,TRUE,"OBS";#N/A,#N/A,TRUE,"bal Sheet";#N/A,#N/A,TRUE,"Inc stmt";#N/A,#N/A,TRUE,"csh flw";#N/A,#N/A,TRUE,"debt";#N/A,#N/A,TRUE,"detail 96,97";#N/A,#N/A,TRUE,"Covenants"}</definedName>
    <definedName name="_wrn2" localSheetId="15" hidden="1">{#N/A,#N/A,TRUE,"Notes";#N/A,#N/A,TRUE,"Cap Struct";#N/A,#N/A,TRUE,"OBS";#N/A,#N/A,TRUE,"bal Sheet";#N/A,#N/A,TRUE,"Inc stmt";#N/A,#N/A,TRUE,"csh flw";#N/A,#N/A,TRUE,"debt";#N/A,#N/A,TRUE,"detail 96,97";#N/A,#N/A,TRUE,"Covenants"}</definedName>
    <definedName name="_wrn2" hidden="1">{#N/A,#N/A,TRUE,"Notes";#N/A,#N/A,TRUE,"Cap Struct";#N/A,#N/A,TRUE,"OBS";#N/A,#N/A,TRUE,"bal Sheet";#N/A,#N/A,TRUE,"Inc stmt";#N/A,#N/A,TRUE,"csh flw";#N/A,#N/A,TRUE,"debt";#N/A,#N/A,TRUE,"detail 96,97";#N/A,#N/A,TRUE,"Covenants"}</definedName>
    <definedName name="_wrn213" localSheetId="10" hidden="1">{"detail",#N/A,FALSE,"mfg";"summary",#N/A,FALSE,"mfg"}</definedName>
    <definedName name="_wrn213" hidden="1">{"detail",#N/A,FALSE,"mfg";"summary",#N/A,FALSE,"mfg"}</definedName>
    <definedName name="_wrn3" localSheetId="10" hidden="1">{#N/A,#N/A,TRUE,"Notes";#N/A,#N/A,TRUE,"Cap Struct";#N/A,#N/A,TRUE,"OBS";#N/A,#N/A,TRUE,"bal Sheet";#N/A,#N/A,TRUE,"Inc stmt";#N/A,#N/A,TRUE,"csh flw";#N/A,#N/A,TRUE,"debt";#N/A,#N/A,TRUE,"detail 96,97";#N/A,#N/A,TRUE,"Covenants"}</definedName>
    <definedName name="_wrn3" localSheetId="15" hidden="1">{#N/A,#N/A,TRUE,"Notes";#N/A,#N/A,TRUE,"Cap Struct";#N/A,#N/A,TRUE,"OBS";#N/A,#N/A,TRUE,"bal Sheet";#N/A,#N/A,TRUE,"Inc stmt";#N/A,#N/A,TRUE,"csh flw";#N/A,#N/A,TRUE,"debt";#N/A,#N/A,TRUE,"detail 96,97";#N/A,#N/A,TRUE,"Covenants"}</definedName>
    <definedName name="_wrn3" hidden="1">{#N/A,#N/A,TRUE,"Notes";#N/A,#N/A,TRUE,"Cap Struct";#N/A,#N/A,TRUE,"OBS";#N/A,#N/A,TRUE,"bal Sheet";#N/A,#N/A,TRUE,"Inc stmt";#N/A,#N/A,TRUE,"csh flw";#N/A,#N/A,TRUE,"debt";#N/A,#N/A,TRUE,"detail 96,97";#N/A,#N/A,TRUE,"Covenants"}</definedName>
    <definedName name="_wrn4" localSheetId="10" hidden="1">{"client stats",#N/A,FALSE,"Client"}</definedName>
    <definedName name="_wrn4" localSheetId="15" hidden="1">{"client stats",#N/A,FALSE,"Client"}</definedName>
    <definedName name="_wrn4" hidden="1">{"client stats",#N/A,FALSE,"Client"}</definedName>
    <definedName name="_WRN41" localSheetId="10" hidden="1">{"detail",#N/A,FALSE,"mfg";"summary",#N/A,FALSE,"mfg"}</definedName>
    <definedName name="_WRN41" hidden="1">{"detail",#N/A,FALSE,"mfg";"summary",#N/A,FALSE,"mfg"}</definedName>
    <definedName name="_wrn413" localSheetId="10" hidden="1">{"detail",#N/A,FALSE,"mfg";"summary",#N/A,FALSE,"mfg"}</definedName>
    <definedName name="_wrn413" hidden="1">{"detail",#N/A,FALSE,"mfg";"summary",#N/A,FALSE,"mfg"}</definedName>
    <definedName name="_wrn5" localSheetId="10" hidden="1">{"internal is",#N/A,FALSE,"Model"}</definedName>
    <definedName name="_wrn5" localSheetId="15" hidden="1">{"internal is",#N/A,FALSE,"Model"}</definedName>
    <definedName name="_wrn5" hidden="1">{"internal is",#N/A,FALSE,"Model"}</definedName>
    <definedName name="_wrn51" localSheetId="10" hidden="1">{#N/A,"PURCHM",FALSE,"Business Analysis";#N/A,"SPADD",FALSE,"Business Analysis"}</definedName>
    <definedName name="_wrn51" hidden="1">{#N/A,"PURCHM",FALSE,"Business Analysis";#N/A,"SPADD",FALSE,"Business Analysis"}</definedName>
    <definedName name="_wrn6" localSheetId="10" hidden="1">{"portrait letter is",#N/A,FALSE,"Model"}</definedName>
    <definedName name="_wrn6" localSheetId="15" hidden="1">{"portrait letter is",#N/A,FALSE,"Model"}</definedName>
    <definedName name="_wrn6" hidden="1">{"portrait letter is",#N/A,FALSE,"Model"}</definedName>
    <definedName name="_wrn61" localSheetId="10" hidden="1">{"detail",#N/A,FALSE,"mfg";"summary",#N/A,FALSE,"mfg"}</definedName>
    <definedName name="_wrn61" hidden="1">{"detail",#N/A,FALSE,"mfg";"summary",#N/A,FALSE,"mfg"}</definedName>
    <definedName name="_wrn651" localSheetId="10" hidden="1">{"detail",#N/A,FALSE,"mfg";"summary",#N/A,FALSE,"mfg"}</definedName>
    <definedName name="_wrn651" hidden="1">{"detail",#N/A,FALSE,"mfg";"summary",#N/A,FALSE,"mfg"}</definedName>
    <definedName name="_wrn7" localSheetId="10" hidden="1">{#N/A,#N/A,FALSE,"Financial";#N/A,#N/A,FALSE,"Balance Sheet";#N/A,#N/A,FALSE,"Income stmt";#N/A,#N/A,FALSE,"Ratio"}</definedName>
    <definedName name="_wrn7" localSheetId="15" hidden="1">{#N/A,#N/A,FALSE,"Financial";#N/A,#N/A,FALSE,"Balance Sheet";#N/A,#N/A,FALSE,"Income stmt";#N/A,#N/A,FALSE,"Ratio"}</definedName>
    <definedName name="_wrn7" hidden="1">{#N/A,#N/A,FALSE,"Financial";#N/A,#N/A,FALSE,"Balance Sheet";#N/A,#N/A,FALSE,"Income stmt";#N/A,#N/A,FALSE,"Ratio"}</definedName>
    <definedName name="_wrn9" localSheetId="10" hidden="1">{"FCB_ALL",#N/A,FALSE,"FCB"}</definedName>
    <definedName name="_wrn9" localSheetId="15" hidden="1">{"FCB_ALL",#N/A,FALSE,"FCB"}</definedName>
    <definedName name="_wrn9" hidden="1">{"FCB_ALL",#N/A,FALSE,"FCB"}</definedName>
    <definedName name="_WVU4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localSheetId="10" hidden="1">{#N/A,#N/A,FALSE,"Admin";#N/A,#N/A,FALSE,"Other"}</definedName>
    <definedName name="_ww2" localSheetId="15" hidden="1">{#N/A,#N/A,FALSE,"Admin";#N/A,#N/A,FALSE,"Other"}</definedName>
    <definedName name="_ww2" hidden="1">{#N/A,#N/A,FALSE,"Admin";#N/A,#N/A,FALSE,"Other"}</definedName>
    <definedName name="_x1" localSheetId="10" hidden="1">{#N/A,#N/A,FALSE,"FY97";#N/A,#N/A,FALSE,"FY98";#N/A,#N/A,FALSE,"FY99";#N/A,#N/A,FALSE,"FY00";#N/A,#N/A,FALSE,"FY01"}</definedName>
    <definedName name="_x1" hidden="1">{#N/A,#N/A,FALSE,"FY97";#N/A,#N/A,FALSE,"FY98";#N/A,#N/A,FALSE,"FY99";#N/A,#N/A,FALSE,"FY00";#N/A,#N/A,FALSE,"FY01"}</definedName>
    <definedName name="_x10" localSheetId="10" hidden="1">#REF!</definedName>
    <definedName name="_x10" localSheetId="9" hidden="1">#REF!</definedName>
    <definedName name="_x10" localSheetId="8" hidden="1">#REF!</definedName>
    <definedName name="_x10" localSheetId="16" hidden="1">#REF!</definedName>
    <definedName name="_x10" hidden="1">#REF!</definedName>
    <definedName name="_x11" localSheetId="10" hidden="1">#REF!</definedName>
    <definedName name="_x11" localSheetId="9" hidden="1">#REF!</definedName>
    <definedName name="_x11" localSheetId="8" hidden="1">#REF!</definedName>
    <definedName name="_x11" localSheetId="16" hidden="1">#REF!</definedName>
    <definedName name="_x11" hidden="1">#REF!</definedName>
    <definedName name="_x12" localSheetId="10" hidden="1">#REF!</definedName>
    <definedName name="_x12" localSheetId="9" hidden="1">#REF!</definedName>
    <definedName name="_x12" localSheetId="8" hidden="1">#REF!</definedName>
    <definedName name="_x12" localSheetId="16" hidden="1">#REF!</definedName>
    <definedName name="_x12" hidden="1">#REF!</definedName>
    <definedName name="_x13" localSheetId="10" hidden="1">#REF!</definedName>
    <definedName name="_x13" localSheetId="9" hidden="1">#REF!</definedName>
    <definedName name="_x13" localSheetId="8" hidden="1">#REF!</definedName>
    <definedName name="_x13" localSheetId="16" hidden="1">#REF!</definedName>
    <definedName name="_x13" hidden="1">#REF!</definedName>
    <definedName name="_x14" localSheetId="10" hidden="1">#REF!</definedName>
    <definedName name="_x14" localSheetId="9" hidden="1">#REF!</definedName>
    <definedName name="_x14" localSheetId="8" hidden="1">#REF!</definedName>
    <definedName name="_x14" localSheetId="16" hidden="1">#REF!</definedName>
    <definedName name="_x14" hidden="1">#REF!</definedName>
    <definedName name="_x15" localSheetId="10" hidden="1">#REF!</definedName>
    <definedName name="_x15" localSheetId="9" hidden="1">#REF!</definedName>
    <definedName name="_x15" localSheetId="8" hidden="1">#REF!</definedName>
    <definedName name="_x15" localSheetId="16" hidden="1">#REF!</definedName>
    <definedName name="_x15" hidden="1">#REF!</definedName>
    <definedName name="_x16" localSheetId="10" hidden="1">#REF!</definedName>
    <definedName name="_x16" localSheetId="9" hidden="1">#REF!</definedName>
    <definedName name="_x16" localSheetId="8" hidden="1">#REF!</definedName>
    <definedName name="_x16" localSheetId="16" hidden="1">#REF!</definedName>
    <definedName name="_x16" hidden="1">#REF!</definedName>
    <definedName name="_x17" localSheetId="10" hidden="1">#REF!</definedName>
    <definedName name="_x17" localSheetId="9" hidden="1">#REF!</definedName>
    <definedName name="_x17" localSheetId="8" hidden="1">#REF!</definedName>
    <definedName name="_x17" localSheetId="16" hidden="1">#REF!</definedName>
    <definedName name="_x17" hidden="1">#REF!</definedName>
    <definedName name="_x2" localSheetId="10" hidden="1">#REF!</definedName>
    <definedName name="_x2" localSheetId="9" hidden="1">#REF!</definedName>
    <definedName name="_x2" localSheetId="8" hidden="1">#REF!</definedName>
    <definedName name="_x2" localSheetId="16" hidden="1">#REF!</definedName>
    <definedName name="_x2" hidden="1">#REF!</definedName>
    <definedName name="_X2002" localSheetId="10" hidden="1">{"Weekly",#N/A,FALSE,"Cash Projection";"Months",#N/A,FALSE,"Cash Projection"}</definedName>
    <definedName name="_X2002" hidden="1">{"Weekly",#N/A,FALSE,"Cash Projection";"Months",#N/A,FALSE,"Cash Projection"}</definedName>
    <definedName name="_x3" localSheetId="10" hidden="1">#REF!</definedName>
    <definedName name="_x3" localSheetId="9" hidden="1">#REF!</definedName>
    <definedName name="_x3" localSheetId="8" hidden="1">#REF!</definedName>
    <definedName name="_x3" localSheetId="16" hidden="1">#REF!</definedName>
    <definedName name="_x3" hidden="1">#REF!</definedName>
    <definedName name="_x4" localSheetId="10" hidden="1">#REF!</definedName>
    <definedName name="_x4" localSheetId="9" hidden="1">#REF!</definedName>
    <definedName name="_x4" localSheetId="8" hidden="1">#REF!</definedName>
    <definedName name="_x4" localSheetId="16" hidden="1">#REF!</definedName>
    <definedName name="_x4" hidden="1">#REF!</definedName>
    <definedName name="_x5" localSheetId="10" hidden="1">#REF!</definedName>
    <definedName name="_x5" localSheetId="9" hidden="1">#REF!</definedName>
    <definedName name="_x5" localSheetId="8" hidden="1">#REF!</definedName>
    <definedName name="_x5" localSheetId="16" hidden="1">#REF!</definedName>
    <definedName name="_x5" hidden="1">#REF!</definedName>
    <definedName name="_x6" localSheetId="10" hidden="1">#REF!</definedName>
    <definedName name="_x6" localSheetId="9" hidden="1">#REF!</definedName>
    <definedName name="_x6" localSheetId="8" hidden="1">#REF!</definedName>
    <definedName name="_x6" localSheetId="16" hidden="1">#REF!</definedName>
    <definedName name="_x6" hidden="1">#REF!</definedName>
    <definedName name="_x7" localSheetId="10" hidden="1">#REF!</definedName>
    <definedName name="_x7" localSheetId="9" hidden="1">#REF!</definedName>
    <definedName name="_x7" localSheetId="8" hidden="1">#REF!</definedName>
    <definedName name="_x7" localSheetId="16" hidden="1">#REF!</definedName>
    <definedName name="_x7" hidden="1">#REF!</definedName>
    <definedName name="_x8" localSheetId="10" hidden="1">#REF!</definedName>
    <definedName name="_x8" localSheetId="9" hidden="1">#REF!</definedName>
    <definedName name="_x8" localSheetId="8" hidden="1">#REF!</definedName>
    <definedName name="_x8" localSheetId="16" hidden="1">#REF!</definedName>
    <definedName name="_x8" hidden="1">#REF!</definedName>
    <definedName name="_x9" localSheetId="10" hidden="1">#REF!</definedName>
    <definedName name="_x9" localSheetId="9" hidden="1">#REF!</definedName>
    <definedName name="_x9" localSheetId="8" hidden="1">#REF!</definedName>
    <definedName name="_x9" localSheetId="16" hidden="1">#REF!</definedName>
    <definedName name="_x9" hidden="1">#REF!</definedName>
    <definedName name="_xlcn.LinkedTable_ADA_Code_Lookup" hidden="1">#REF!</definedName>
    <definedName name="_xlcn.LinkedTable_AdjustmentType" hidden="1">#REF!</definedName>
    <definedName name="_xlcn.LinkedTable_CapitationIndicator" hidden="1">#REF!</definedName>
    <definedName name="_xlcn.LinkedTable_InvisalignIndicator" hidden="1">#REF!</definedName>
    <definedName name="_xlcn.LinkedTable_MetrocareID" hidden="1">#REF!</definedName>
    <definedName name="_xlcn.LinkedTable_MetrocareIndicator" hidden="1">#REF!</definedName>
    <definedName name="_xlcn.LinkedTable_OfficeLookup" hidden="1">#REF!</definedName>
    <definedName name="_xlcn.LinkedTable_Ortho_PatientLookup" hidden="1">#REF!</definedName>
    <definedName name="_xlcn.LinkedTable_OrthoIndicator" hidden="1">#REF!</definedName>
    <definedName name="_xlcn.LinkedTable_OrthoStartDates" hidden="1">#REF!</definedName>
    <definedName name="_xlcn.LinkedTable_PayorIndicator" hidden="1">#REF!</definedName>
    <definedName name="_xlcn.LinkedTable_PayorList" hidden="1">#REF!</definedName>
    <definedName name="_xlcn.LinkedTable_PmtDescrDOS" hidden="1">#REF!</definedName>
    <definedName name="_xlcn.LinkedTable_RevenueGroup" hidden="1">#REF!</definedName>
    <definedName name="_xlcn.LinkedTable_Table1" hidden="1">#REF!</definedName>
    <definedName name="_xlcn.LinkedTable_Table12" hidden="1">#REF!</definedName>
    <definedName name="_xlcn.LinkedTable_Table15" hidden="1">#REF!</definedName>
    <definedName name="_xlcn.LinkedTable_Table2" hidden="1">#REF!</definedName>
    <definedName name="_xlcn.LinkedTable_Table3" hidden="1">#REF!</definedName>
    <definedName name="_xlcn.LinkedTable_Table4" hidden="1">#REF!</definedName>
    <definedName name="_xlcn.LinkedTable_Table5" hidden="1">#REF!</definedName>
    <definedName name="_xlcn.LinkedTable_Table6" hidden="1">#REF!</definedName>
    <definedName name="_xlcn.LinkedTable_Table7" hidden="1">#REF!</definedName>
    <definedName name="_xlcn.LinkedTable_Table8" hidden="1">#REF!</definedName>
    <definedName name="_xlcn.LinkedTable_Table9" hidden="1">#REF!</definedName>
    <definedName name="_xlcn.LinkedTable_UniqueClaimID_List" hidden="1">#REF!</definedName>
    <definedName name="_xx10" localSheetId="10" hidden="1">{#N/A,"PURCHM",FALSE,"Business Analysis";#N/A,"SPADD",FALSE,"Business Analysis"}</definedName>
    <definedName name="_xx10" hidden="1">{#N/A,"PURCHM",FALSE,"Business Analysis";#N/A,"SPADD",FALSE,"Business Analysis"}</definedName>
    <definedName name="_xx2" localSheetId="10" hidden="1">#REF!</definedName>
    <definedName name="_xx2" localSheetId="9" hidden="1">#REF!</definedName>
    <definedName name="_xx2" localSheetId="8" hidden="1">#REF!</definedName>
    <definedName name="_xx2" localSheetId="16" hidden="1">#REF!</definedName>
    <definedName name="_xx2" hidden="1">#REF!</definedName>
    <definedName name="_xx3" localSheetId="10" hidden="1">{"detail",#N/A,FALSE,"mfg";"summary",#N/A,FALSE,"mfg"}</definedName>
    <definedName name="_xx3" hidden="1">{"detail",#N/A,FALSE,"mfg";"summary",#N/A,FALSE,"mfg"}</definedName>
    <definedName name="_xx4"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10" hidden="1">{"oct_res_comm",#N/A,FALSE,"VarToBud"}</definedName>
    <definedName name="_xx7" hidden="1">{"oct_res_comm",#N/A,FALSE,"VarToBud"}</definedName>
    <definedName name="_xx8" localSheetId="10"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10" hidden="1">{"AS REP",#N/A,FALSE,"EEFSNAP2";"PROP",#N/A,FALSE,"EEFSNAP2";"RISKS",#N/A,FALSE,"EEFSNAP2";"VIEW ALL",#N/A,FALSE,"EEFSNAP2"}</definedName>
    <definedName name="_xx9" hidden="1">{"AS REP",#N/A,FALSE,"EEFSNAP2";"PROP",#N/A,FALSE,"EEFSNAP2";"RISKS",#N/A,FALSE,"EEFSNAP2";"VIEW ALL",#N/A,FALSE,"EEFSNAP2"}</definedName>
    <definedName name="_y2" localSheetId="10" hidden="1">{"PVGraph2",#N/A,FALSE,"PV Data"}</definedName>
    <definedName name="_y2" hidden="1">{"PVGraph2",#N/A,FALSE,"PV Data"}</definedName>
    <definedName name="_z12" localSheetId="10" hidden="1">{"pro_view",#N/A,FALSE,"EEFSNAP2";"rep_view",#N/A,FALSE,"EEFSNAP2"}</definedName>
    <definedName name="_z12" hidden="1">{"pro_view",#N/A,FALSE,"EEFSNAP2";"rep_view",#N/A,FALSE,"EEFSNAP2"}</definedName>
    <definedName name="_z22" localSheetId="10"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10" hidden="1">{"detail",#N/A,FALSE,"mfg";"summary",#N/A,FALSE,"mfg"}</definedName>
    <definedName name="_z25" hidden="1">{"detail",#N/A,FALSE,"mfg";"summary",#N/A,FALSE,"mfg"}</definedName>
    <definedName name="_Z5.5_Discounted_Cash_Flow_2" localSheetId="10">{0;0;0;0;1;#N/A;0;0;0.3;0.3;2;FALSE;FALSE;FALSE;FALSE;FALSE;#N/A;1;#N/A;1;1;"";""}</definedName>
    <definedName name="_Z5.5_Discounted_Cash_Flow_2">{0;0;0;0;1;#N/A;0;0;0.3;0.3;2;FALSE;FALSE;FALSE;FALSE;FALSE;#N/A;1;#N/A;1;1;"";""}</definedName>
    <definedName name="_Zanalys" localSheetId="10">{0;0;0;0;1;1;0.65;0.65;0.75;0.75;2;FALSE;FALSE;FALSE;FALSE;FALSE;#N/A;1;#N/A;1;1;"";""}</definedName>
    <definedName name="_Zanalys">{0;0;0;0;1;1;0.65;0.65;0.75;0.75;2;FALSE;FALSE;FALSE;FALSE;FALSE;#N/A;1;#N/A;1;1;"";""}</definedName>
    <definedName name="_Zbaladj" localSheetId="10">{0;0;0;0;1;1;0;0;0;0;2;FALSE;FALSE;FALSE;FALSE;FALSE;#N/A;1;#N/A;1;1;"";""}</definedName>
    <definedName name="_Zbaladj">{0;0;0;0;1;1;0;0;0;0;2;FALSE;FALSE;FALSE;FALSE;FALSE;#N/A;1;#N/A;1;1;"";""}</definedName>
    <definedName name="_Zbalancesheet" localSheetId="10">{0;0;0;0;1;1;0.25;0.25;0.25;0.25;2;TRUE;FALSE;FALSE;FALSE;FALSE;#N/A;1;#N/A;1;1;"";""}</definedName>
    <definedName name="_Zbalancesheet">{0;0;0;0;1;1;0.25;0.25;0.25;0.25;2;TRUE;FALSE;FALSE;FALSE;FALSE;#N/A;1;#N/A;1;1;"";""}</definedName>
    <definedName name="_ZBreak_Even_Earnings" localSheetId="10">{0;0;0;0;5;1;0.5;0.5;1;0.5;2;TRUE;FALSE;FALSE;FALSE;FALSE;#N/A;1;#N/A;1;1;"&amp;L&amp;7 16B\PS3:GROUPS\PUB_UTIL\ALLEN\FPL\&amp;F -- &amp;D, &amp;T -- Page &amp;P of &amp;N
&amp;R&amp;8&amp;BLEHMAN BROTHERS";""}</definedName>
    <definedName name="_ZBreak_Even_Earnings">{0;0;0;0;5;1;0.5;0.5;1;0.5;2;TRUE;FALSE;FALSE;FALSE;FALSE;#N/A;1;#N/A;1;1;"&amp;L&amp;7 16B\PS3:GROUPS\PUB_UTIL\ALLEN\FPL\&amp;F -- &amp;D, &amp;T -- Page &amp;P of &amp;N
&amp;R&amp;8&amp;BLEHMAN BROTHERS";""}</definedName>
    <definedName name="_Zbs_model" localSheetId="10">{0;0;0;0;1;#N/A;0.5;0.5;0.5;0.5;2;FALSE;FALSE;FALSE;FALSE;FALSE;#N/A;1;#N/A;1;1;"";""}</definedName>
    <definedName name="_Zbs_model">{0;0;0;0;1;#N/A;0.5;0.5;0.5;0.5;2;FALSE;FALSE;FALSE;FALSE;FALSE;#N/A;1;#N/A;1;1;"";""}</definedName>
    <definedName name="_Zcomp" localSheetId="10">{0;0;0;0;1;#N/A;0.31;0.52;0.44;0.17;2;FALSE;FALSE;FALSE;FALSE;TRUE;#N/A;1;80;#N/A;#N/A;"";""}</definedName>
    <definedName name="_Zcomp">{0;0;0;0;1;#N/A;0.31;0.52;0.44;0.17;2;FALSE;FALSE;FALSE;FALSE;TRUE;#N/A;1;80;#N/A;#N/A;"";""}</definedName>
    <definedName name="_Zcomp1" localSheetId="10">{0;0;0;0;1;#N/A;0.31;0.16;0.74;0.2;2;FALSE;FALSE;FALSE;FALSE;TRUE;#N/A;1;61;#N/A;#N/A;"";""}</definedName>
    <definedName name="_Zcomp1">{0;0;0;0;1;#N/A;0.31;0.16;0.74;0.2;2;FALSE;FALSE;FALSE;FALSE;TRUE;#N/A;1;61;#N/A;#N/A;"";""}</definedName>
    <definedName name="_Zcomps" localSheetId="10">{0;0;0;0;1;#N/A;0.5;0.25;0.75;0.5;2;FALSE;FALSE;FALSE;FALSE;FALSE;#N/A;1;#N/A;1;1;"";"&amp;L&amp;""Arial,Italic""&amp;8&amp;F Page &amp;P of &amp;N &amp;D &amp;T "}</definedName>
    <definedName name="_Zcomps">{0;0;0;0;1;#N/A;0.5;0.25;0.75;0.5;2;FALSE;FALSE;FALSE;FALSE;FALSE;#N/A;1;#N/A;1;1;"";"&amp;L&amp;""Arial,Italic""&amp;8&amp;F Page &amp;P of &amp;N &amp;D &amp;T "}</definedName>
    <definedName name="_Zcomps1" localSheetId="10">{0;0;0;0;5;#N/A;0.31;0.16;0.74;0.2;2;FALSE;FALSE;FALSE;FALSE;TRUE;#N/A;1;#N/A;1;1;"";""}</definedName>
    <definedName name="_Zcomps1">{0;0;0;0;5;#N/A;0.31;0.16;0.74;0.2;2;FALSE;FALSE;FALSE;FALSE;TRUE;#N/A;1;#N/A;1;1;"";""}</definedName>
    <definedName name="_Zcomps2" localSheetId="10"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covrge" localSheetId="10">{0;0;0;0;1;1;0.9;0.9;1;1;2;FALSE;FALSE;FALSE;FALSE;FALSE;#N/A;1;#N/A;1;1;"";""}</definedName>
    <definedName name="_Zcovrge">{0;0;0;0;1;1;0.9;0.9;1;1;2;FALSE;FALSE;FALSE;FALSE;FALSE;#N/A;1;#N/A;1;1;"";""}</definedName>
    <definedName name="_Zdealcomp" localSheetId="10">{0;0;0;0;1;#N/A;0.5;0.25;0.75;0.5;2;FALSE;FALSE;FALSE;FALSE;FALSE;#N/A;1;#N/A;1;1;"";"&amp;L&amp;""Arial,Italic""&amp;8&amp;F Page &amp;P of &amp;N &amp;D &amp;T "}</definedName>
    <definedName name="_Zdealcomp">{0;0;0;0;1;#N/A;0.5;0.25;0.75;0.5;2;FALSE;FALSE;FALSE;FALSE;FALSE;#N/A;1;#N/A;1;1;"";"&amp;L&amp;""Arial,Italic""&amp;8&amp;F Page &amp;P of &amp;N &amp;D &amp;T "}</definedName>
    <definedName name="_Zdeals" localSheetId="10">{0;0;0;0;1;#N/A;0.5;0.25;0.75;0.5;2;FALSE;FALSE;FALSE;FALSE;FALSE;#N/A;1;#N/A;1;1;"";"&amp;L&amp;""Arial,Italic""&amp;8&amp;F Page &amp;P of &amp;N &amp;D &amp;T "}</definedName>
    <definedName name="_Zdeals">{0;0;0;0;1;#N/A;0.5;0.25;0.75;0.5;2;FALSE;FALSE;FALSE;FALSE;FALSE;#N/A;1;#N/A;1;1;"";"&amp;L&amp;""Arial,Italic""&amp;8&amp;F Page &amp;P of &amp;N &amp;D &amp;T "}</definedName>
    <definedName name="_ZDilution" localSheetId="10">{0;0;0;0;5;1;0.5;0.5;1;0.5;2;TRUE;FALSE;FALSE;FALSE;FALSE;#N/A;1;#N/A;1;1;"&amp;L&amp;7 16B\PS3:GROUPS\PUB_UTIL\ALLEN\FPL\&amp;F -- &amp;D, &amp;T -- Page &amp;P of &amp;N
&amp;R&amp;8&amp;BLEHMAN BROTHERS";""}</definedName>
    <definedName name="_ZDilution">{0;0;0;0;5;1;0.5;0.5;1;0.5;2;TRUE;FALSE;FALSE;FALSE;FALSE;#N/A;1;#N/A;1;1;"&amp;L&amp;7 16B\PS3:GROUPS\PUB_UTIL\ALLEN\FPL\&amp;F -- &amp;D, &amp;T -- Page &amp;P of &amp;N
&amp;R&amp;8&amp;BLEHMAN BROTHERS";""}</definedName>
    <definedName name="_ZEITF" localSheetId="10">{0;0;0;0;1;#N/A;0.75;0.5;0.75;0.75;1;FALSE;FALSE;FALSE;FALSE;FALSE;#N/A;1;#N/A;1;1;"";""}</definedName>
    <definedName name="_ZEITF">{0;0;0;0;1;#N/A;0.75;0.5;0.75;0.75;1;FALSE;FALSE;FALSE;FALSE;FALSE;#N/A;1;#N/A;1;1;"";""}</definedName>
    <definedName name="_ZEITF_bs" localSheetId="10">{0;0;0;0;1;#N/A;0.5;0.5;0.5;0.5;2;FALSE;FALSE;FALSE;FALSE;FALSE;#N/A;1;#N/A;1;1;"";""}</definedName>
    <definedName name="_ZEITF_bs">{0;0;0;0;1;#N/A;0.5;0.5;0.5;0.5;2;FALSE;FALSE;FALSE;FALSE;FALSE;#N/A;1;#N/A;1;1;"";""}</definedName>
    <definedName name="_ZEITF_det" localSheetId="10">{0;0;0;0;1;#N/A;0.75;0.5;0.75;0.75;1;FALSE;FALSE;FALSE;FALSE;FALSE;#N/A;1;#N/A;1;1;"";""}</definedName>
    <definedName name="_ZEITF_det">{0;0;0;0;1;#N/A;0.75;0.5;0.75;0.75;1;FALSE;FALSE;FALSE;FALSE;FALSE;#N/A;1;#N/A;1;1;"";""}</definedName>
    <definedName name="_Zfirst" localSheetId="10">{0;0;0;0;1;#N/A;0.5;0.5;0.25;0.25;2;FALSE;FALSE;FALSE;FALSE;FALSE;#N/A;1;#N/A;2;2;"";""}</definedName>
    <definedName name="_Zfirst">{0;0;0;0;1;#N/A;0.5;0.5;0.25;0.25;2;FALSE;FALSE;FALSE;FALSE;FALSE;#N/A;1;#N/A;2;2;"";""}</definedName>
    <definedName name="_ZFood" localSheetId="10">{0;0;0;0;1;1;0.21;0.21;0.37;0.2;2;FALSE;FALSE;FALSE;FALSE;FALSE;#N/A;2;#N/A;1;1;"&amp;L&amp;12LEHMAN BROTHERS
&amp;10&amp;D
p. &amp;P";""}</definedName>
    <definedName name="_ZFood">{0;0;0;0;1;1;0.21;0.21;0.37;0.2;2;FALSE;FALSE;FALSE;FALSE;FALSE;#N/A;2;#N/A;1;1;"&amp;L&amp;12LEHMAN BROTHERS
&amp;10&amp;D
p. &amp;P";""}</definedName>
    <definedName name="_ZFootnotes" localSheetId="10">{0;0;0;0;1;1;0.25;0.5;1;1;2;FALSE;FALSE;FALSE;FALSE;FALSE;#N/A;2;#N/A;1;1;"";""}</definedName>
    <definedName name="_ZFootnotes">{0;0;0;0;1;1;0.25;0.5;1;1;2;FALSE;FALSE;FALSE;FALSE;FALSE;#N/A;2;#N/A;1;1;"";""}</definedName>
    <definedName name="_ZHowmet_LTM" localSheetId="10">{0;0;0;0;5;#N/A;0.39;0.4;0.44;0.17;2;FALSE;FALSE;FALSE;FALSE;TRUE;#N/A;1;#N/A;1;1;"";""}</definedName>
    <definedName name="_ZHowmet_LTM">{0;0;0;0;5;#N/A;0.39;0.4;0.44;0.17;2;FALSE;FALSE;FALSE;FALSE;TRUE;#N/A;1;#N/A;1;1;"";""}</definedName>
    <definedName name="_ZHowmet_LTM2" localSheetId="10">{0;0;0;0;1;#N/A;0.39;0.4;0.44;0.17;1;FALSE;FALSE;FALSE;FALSE;TRUE;#N/A;1;100;#N/A;#N/A;"";""}</definedName>
    <definedName name="_ZHowmet_LTM2">{0;0;0;0;1;#N/A;0.39;0.4;0.44;0.17;1;FALSE;FALSE;FALSE;FALSE;TRUE;#N/A;1;100;#N/A;#N/A;"";""}</definedName>
    <definedName name="_Zincome" localSheetId="10">{0;0;0;0;1;1;0.25;0.25;0.25;0.25;2;TRUE;FALSE;FALSE;FALSE;FALSE;#N/A;1;#N/A;1;1;"";""}</definedName>
    <definedName name="_Zincome">{0;0;0;0;1;1;0.25;0.25;0.25;0.25;2;TRUE;FALSE;FALSE;FALSE;FALSE;#N/A;1;#N/A;1;1;"";""}</definedName>
    <definedName name="_ZIPOmodel" localSheetId="10">{0;0;0;0;1;#N/A;0.35;0;0.5;0;2;FALSE;FALSE;FALSE;FALSE;FALSE;#N/A;1;95;#N/A;#N/A;"";""}</definedName>
    <definedName name="_ZIPOmodel">{0;0;0;0;1;#N/A;0.35;0;0.5;0;2;FALSE;FALSE;FALSE;FALSE;FALSE;#N/A;1;95;#N/A;#N/A;"";""}</definedName>
    <definedName name="_Zismodel" localSheetId="10">{0;0;0;0;1;#N/A;0.5;0.5;0.5;0.5;1;FALSE;FALSE;FALSE;FALSE;FALSE;#N/A;1;75;#N/A;#N/A;"";""}</definedName>
    <definedName name="_Zismodel">{0;0;0;0;1;#N/A;0.5;0.5;0.5;0.5;1;FALSE;FALSE;FALSE;FALSE;FALSE;#N/A;1;75;#N/A;#N/A;"";""}</definedName>
    <definedName name="_ZISsumm" localSheetId="10">{0;0;0;0;1;#N/A;0.5;0.5;0.5;0.5;2;FALSE;FALSE;FALSE;FALSE;FALSE;#N/A;1;#N/A;1;1;"";""}</definedName>
    <definedName name="_ZISsumm">{0;0;0;0;1;#N/A;0.5;0.5;0.5;0.5;2;FALSE;FALSE;FALSE;FALSE;FALSE;#N/A;1;#N/A;1;1;"";""}</definedName>
    <definedName name="_ZLatest_BS" localSheetId="10">{0;0;0;0;1;1;0.75;0.21;0.37;0.2;2;FALSE;FALSE;FALSE;FALSE;FALSE;#N/A;2;#N/A;1;1;"";""}</definedName>
    <definedName name="_ZLatest_BS">{0;0;0;0;1;1;0.75;0.21;0.37;0.2;2;FALSE;FALSE;FALSE;FALSE;FALSE;#N/A;2;#N/A;1;1;"";""}</definedName>
    <definedName name="_ZLatest_Fiscal_Year" localSheetId="10">{0;0;0;0;1;1;0;0;1;0;2;TRUE;FALSE;FALSE;FALSE;FALSE;#N/A;1;#N/A;1;1;"&amp;L 16B\PS3:GROUPS\PUB_UTIL\ALLEN\FPL\&amp;F -- &amp;D, &amp;T -- Page &amp;P of &amp;N
&amp;R&amp;8&amp;BLEHMAN BROTHERS";""}</definedName>
    <definedName name="_ZLatest_Fiscal_Year">{0;0;0;0;1;1;0;0;1;0;2;TRUE;FALSE;FALSE;FALSE;FALSE;#N/A;1;#N/A;1;1;"&amp;L 16B\PS3:GROUPS\PUB_UTIL\ALLEN\FPL\&amp;F -- &amp;D, &amp;T -- Page &amp;P of &amp;N
&amp;R&amp;8&amp;BLEHMAN BROTHERS";""}</definedName>
    <definedName name="_ZLatest_FY_IS" localSheetId="10">{0;0;0;0;1;1;0.75;0.21;0.37;0.2;2;FALSE;FALSE;FALSE;FALSE;FALSE;#N/A;2;#N/A;1;1;"";""}</definedName>
    <definedName name="_ZLatest_FY_IS">{0;0;0;0;1;1;0.75;0.21;0.37;0.2;2;FALSE;FALSE;FALSE;FALSE;FALSE;#N/A;2;#N/A;1;1;"";""}</definedName>
    <definedName name="_ZLatest_Qtr_IS" localSheetId="10">{0;0;0;0;1;1;0.75;0.21;0.37;0.2;2;FALSE;FALSE;FALSE;FALSE;FALSE;#N/A;2;#N/A;1;1;"";""}</definedName>
    <definedName name="_ZLatest_Qtr_IS">{0;0;0;0;1;1;0.75;0.21;0.37;0.2;2;FALSE;FALSE;FALSE;FALSE;FALSE;#N/A;2;#N/A;1;1;"";""}</definedName>
    <definedName name="_ZMerger_Analysis_Page_1" localSheetId="10">{0;0;0;0;5;1;0.5;0.5;1;0.5;2;TRUE;FALSE;FALSE;FALSE;FALSE;#N/A;1;#N/A;1;1;"&amp;L&amp;7 16B\PS3:GROUPS\PUB_UTIL\ALLEN\FPL\&amp;F -- &amp;D, &amp;T -- Page &amp;P of &amp;N
&amp;R&amp;8&amp;BLEHMAN BROTHERS";""}</definedName>
    <definedName name="_ZMerger_Analysis_Page_1">{0;0;0;0;5;1;0.5;0.5;1;0.5;2;TRUE;FALSE;FALSE;FALSE;FALSE;#N/A;1;#N/A;1;1;"&amp;L&amp;7 16B\PS3:GROUPS\PUB_UTIL\ALLEN\FPL\&amp;F -- &amp;D, &amp;T -- Page &amp;P of &amp;N
&amp;R&amp;8&amp;BLEHMAN BROTHERS";""}</definedName>
    <definedName name="_ZMerger_Analysis_Page_2" localSheetId="10">{0;0;0;0;5;1;0.5;0.5;1;0.5;2;TRUE;FALSE;FALSE;FALSE;FALSE;#N/A;1;#N/A;1;1;"&amp;L&amp;7 16B\PS3:GROUPS\PUB_UTIL\ALLEN\FPL\&amp;F -- &amp;D, &amp;T -- Page &amp;P of &amp;N
&amp;R&amp;8&amp;BLEHMAN BROTHERS";""}</definedName>
    <definedName name="_ZMerger_Analysis_Page_2">{0;0;0;0;5;1;0.5;0.5;1;0.5;2;TRUE;FALSE;FALSE;FALSE;FALSE;#N/A;1;#N/A;1;1;"&amp;L&amp;7 16B\PS3:GROUPS\PUB_UTIL\ALLEN\FPL\&amp;F -- &amp;D, &amp;T -- Page &amp;P of &amp;N
&amp;R&amp;8&amp;BLEHMAN BROTHERS";""}</definedName>
    <definedName name="_Zmodel" localSheetId="10">{0;0;0;0;1;1;0.25;0.25;0.75;0.25;2;FALSE;FALSE;FALSE;FALSE;FALSE;#N/A;1;75;#N/A;#N/A;"";""}</definedName>
    <definedName name="_Zmodel">{0;0;0;0;1;1;0.25;0.25;0.75;0.25;2;FALSE;FALSE;FALSE;FALSE;FALSE;#N/A;1;75;#N/A;#N/A;"";""}</definedName>
    <definedName name="_ZMost_Recent_10Q" localSheetId="10">{0;0;0;0;1;1;0;0;1;0;2;TRUE;FALSE;FALSE;FALSE;FALSE;#N/A;1;#N/A;1;1;"&amp;L 16B\PS3:GROUPS\PUB_UTIL\ALLEN\FPL\&amp;F -- &amp;D, &amp;T -- Page &amp;P of &amp;N
&amp;R&amp;8&amp;BLEHMAN BROTHERS";""}</definedName>
    <definedName name="_ZMost_Recent_10Q">{0;0;0;0;1;1;0;0;1;0;2;TRUE;FALSE;FALSE;FALSE;FALSE;#N/A;1;#N/A;1;1;"&amp;L 16B\PS3:GROUPS\PUB_UTIL\ALLEN\FPL\&amp;F -- &amp;D, &amp;T -- Page &amp;P of &amp;N
&amp;R&amp;8&amp;BLEHMAN BROTHERS";""}</definedName>
    <definedName name="_ZMultiples_and_LTM_Figures" localSheetId="10">{0;0;0;0;5;1;0.21;0.21;0.37;0.49;2;FALSE;FALSE;FALSE;FALSE;FALSE;#N/A;2;70;#N/A;#N/A;"&amp;L&amp;12LEHMAN BROTHERS
&amp;10&amp;D
p. &amp;P";""}</definedName>
    <definedName name="_ZMultiples_and_LTM_Figures">{0;0;0;0;5;1;0.21;0.21;0.37;0.49;2;FALSE;FALSE;FALSE;FALSE;FALSE;#N/A;2;70;#N/A;#N/A;"&amp;L&amp;12LEHMAN BROTHERS
&amp;10&amp;D
p. &amp;P";""}</definedName>
    <definedName name="_ZMultiples_LTM_figures" localSheetId="10">{0;0;0;0;5;1;0.53;0.2;0.28;0.17;2;FALSE;FALSE;FALSE;FALSE;FALSE;#N/A;1;64;#N/A;#N/A;"&amp;L&amp;""Kennerly""&amp;10LEHMAN BROTHERS";""}</definedName>
    <definedName name="_ZMultiples_LTM_figures">{0;0;0;0;5;1;0.53;0.2;0.28;0.17;2;FALSE;FALSE;FALSE;FALSE;FALSE;#N/A;1;64;#N/A;#N/A;"&amp;L&amp;""Kennerly""&amp;10LEHMAN BROTHERS";""}</definedName>
    <definedName name="_Znotes" localSheetId="10">{0;0;0;0;1;1;0.9;0.9;1;1;2;FALSE;FALSE;FALSE;FALSE;FALSE;#N/A;1;#N/A;1;1;"";""}</definedName>
    <definedName name="_Znotes">{0;0;0;0;1;1;0.9;0.9;1;1;2;FALSE;FALSE;FALSE;FALSE;FALSE;#N/A;1;#N/A;1;1;"";""}</definedName>
    <definedName name="_ZOverview_Bottom" localSheetId="10">{0;0;0;0;5;1;0.2;0.2;0.35;0.35;2;TRUE;TRUE;FALSE;FALSE;FALSE;#N/A;1;#N/A;1;1;"&amp;L&amp;11LEHMAN BROTHERS";""}</definedName>
    <definedName name="_ZOverview_Bottom">{0;0;0;0;5;1;0.2;0.2;0.35;0.35;2;TRUE;TRUE;FALSE;FALSE;FALSE;#N/A;1;#N/A;1;1;"&amp;L&amp;11LEHMAN BROTHERS";""}</definedName>
    <definedName name="_ZOverview_Top" localSheetId="10">{0;0;0;0;5;1;0.2;0.2;0.35;0.35;2;TRUE;TRUE;FALSE;FALSE;FALSE;#N/A;1;#N/A;1;1;"&amp;L&amp;11LEHMAN BROTHERS";""}</definedName>
    <definedName name="_ZOverview_Top">{0;0;0;0;5;1;0.2;0.2;0.35;0.35;2;TRUE;TRUE;FALSE;FALSE;FALSE;#N/A;1;#N/A;1;1;"&amp;L&amp;11LEHMAN BROTHERS";""}</definedName>
    <definedName name="_Zp1" localSheetId="10">{0;0;0;0;1;1;0.25;0.25;0.25;0.25;2;TRUE;FALSE;FALSE;FALSE;FALSE;#N/A;1;#N/A;1;1;"";""}</definedName>
    <definedName name="_Zp1">{0;0;0;0;1;1;0.25;0.25;0.25;0.25;2;TRUE;FALSE;FALSE;FALSE;FALSE;#N/A;1;#N/A;1;1;"";""}</definedName>
    <definedName name="_Zp2" localSheetId="10">{0;0;0;0;1;1;0.25;0.25;0.25;0.25;2;TRUE;FALSE;FALSE;FALSE;FALSE;#N/A;1;#N/A;1;1;"";""}</definedName>
    <definedName name="_Zp2">{0;0;0;0;1;1;0.25;0.25;0.25;0.25;2;TRUE;FALSE;FALSE;FALSE;FALSE;#N/A;1;#N/A;1;1;"";""}</definedName>
    <definedName name="_Zp3" localSheetId="10">{0;0;0;0;1;1;0.25;0.25;0.25;0.25;2;TRUE;FALSE;FALSE;FALSE;FALSE;#N/A;1;#N/A;1;1;"";""}</definedName>
    <definedName name="_Zp3">{0;0;0;0;1;1;0.25;0.25;0.25;0.25;2;TRUE;FALSE;FALSE;FALSE;FALSE;#N/A;1;#N/A;1;1;"";""}</definedName>
    <definedName name="_ZPage_1" localSheetId="10">{0;0;0;0;5;1;0.21;0.21;0.37;0.2;2;FALSE;FALSE;FALSE;FALSE;FALSE;#N/A;2;#N/A;1;1;"&amp;L&amp;12LEHMAN BROTHERS
&amp;10&amp;D
p. &amp;P";""}</definedName>
    <definedName name="_ZPage_1">{0;0;0;0;5;1;0.21;0.21;0.37;0.2;2;FALSE;FALSE;FALSE;FALSE;FALSE;#N/A;2;#N/A;1;1;"&amp;L&amp;12LEHMAN BROTHERS
&amp;10&amp;D
p. &amp;P";""}</definedName>
    <definedName name="_ZPage_1_Bottom" localSheetId="10">{0;0;0;0;5;1;0.2;0.2;0.35;0.35;2;TRUE;TRUE;FALSE;FALSE;FALSE;#N/A;1;#N/A;1;1;"&amp;L&amp;""Kennerly""&amp;10LEHMAN BROTHERS";""}</definedName>
    <definedName name="_ZPage_1_Bottom">{0;0;0;0;5;1;0.2;0.2;0.35;0.35;2;TRUE;TRUE;FALSE;FALSE;FALSE;#N/A;1;#N/A;1;1;"&amp;L&amp;""Kennerly""&amp;10LEHMAN BROTHERS";""}</definedName>
    <definedName name="_Zpage_1_Top" localSheetId="10">{0;0;0;0;5;1;0.35;0.35;0.35;0.35;2;FALSE;TRUE;FALSE;FALSE;FALSE;#N/A;1;61;#N/A;#N/A;"&amp;LLEHMAN BROTHERS";""}</definedName>
    <definedName name="_Zpage_1_Top">{0;0;0;0;5;1;0.35;0.35;0.35;0.35;2;FALSE;TRUE;FALSE;FALSE;FALSE;#N/A;1;61;#N/A;#N/A;"&amp;LLEHMAN BROTHERS";""}</definedName>
    <definedName name="_ZPage_12" localSheetId="10">{0;0;0;0;5;1;0.21;0.21;0.37;0.2;2;FALSE;FALSE;FALSE;FALSE;FALSE;#N/A;2;#N/A;1;1;"&amp;L&amp;12LEHMAN BROTHERS
&amp;10&amp;D
p. &amp;P";""}</definedName>
    <definedName name="_ZPage_12">{0;0;0;0;5;1;0.21;0.21;0.37;0.2;2;FALSE;FALSE;FALSE;FALSE;FALSE;#N/A;2;#N/A;1;1;"&amp;L&amp;12LEHMAN BROTHERS
&amp;10&amp;D
p. &amp;P";""}</definedName>
    <definedName name="_ZPage_1Top" localSheetId="10">{0;0;0;0;5;1;0.2;0.2;0.35;0.35;2;TRUE;TRUE;FALSE;FALSE;FALSE;#N/A;1;#N/A;1;1;"&amp;L&amp;""Kennerly""&amp;10LEHMAN BROTHERS";""}</definedName>
    <definedName name="_ZPage_1Top">{0;0;0;0;5;1;0.2;0.2;0.35;0.35;2;TRUE;TRUE;FALSE;FALSE;FALSE;#N/A;1;#N/A;1;1;"&amp;L&amp;""Kennerly""&amp;10LEHMAN BROTHERS";""}</definedName>
    <definedName name="_ZPage_2" localSheetId="10">{0;0;0;0;5;1;0.21;0.21;0.37;0.2;2;FALSE;FALSE;FALSE;FALSE;FALSE;#N/A;2;#N/A;1;1;"&amp;L&amp;12LEHMAN BROTHERS
&amp;10&amp;D
p. &amp;P";""}</definedName>
    <definedName name="_ZPage_2">{0;0;0;0;5;1;0.21;0.21;0.37;0.2;2;FALSE;FALSE;FALSE;FALSE;FALSE;#N/A;2;#N/A;1;1;"&amp;L&amp;12LEHMAN BROTHERS
&amp;10&amp;D
p. &amp;P";""}</definedName>
    <definedName name="_ZPage_2_Botom" localSheetId="10">{0;0;0;0;5;1;0.2;0.2;0.35;0.35;2;TRUE;TRUE;FALSE;FALSE;FALSE;#N/A;1;#N/A;1;1;"&amp;L&amp;""Kennerly""&amp;10LEHMAN BROTHERS";""}</definedName>
    <definedName name="_ZPage_2_Botom">{0;0;0;0;5;1;0.2;0.2;0.35;0.35;2;TRUE;TRUE;FALSE;FALSE;FALSE;#N/A;1;#N/A;1;1;"&amp;L&amp;""Kennerly""&amp;10LEHMAN BROTHERS";""}</definedName>
    <definedName name="_Zpage_2_bottom" localSheetId="10">{0;0;0;0;5;1;0.35;0.35;0.35;0.35;2;TRUE;TRUE;FALSE;FALSE;FALSE;#N/A;1;68;#N/A;#N/A;"&amp;LLEHMAN BROTHERS";""}</definedName>
    <definedName name="_Zpage_2_bottom">{0;0;0;0;5;1;0.35;0.35;0.35;0.35;2;TRUE;TRUE;FALSE;FALSE;FALSE;#N/A;1;68;#N/A;#N/A;"&amp;LLEHMAN BROTHERS";""}</definedName>
    <definedName name="_ZPage_2_Top" localSheetId="10">{0;0;0;0;5;1;0.2;0.2;0.35;0.35;2;TRUE;TRUE;FALSE;FALSE;FALSE;#N/A;1;#N/A;1;1;"&amp;L&amp;""Kennerly""&amp;10LEHMAN BROTHERS";""}</definedName>
    <definedName name="_ZPage_2_Top">{0;0;0;0;5;1;0.2;0.2;0.35;0.35;2;TRUE;TRUE;FALSE;FALSE;FALSE;#N/A;1;#N/A;1;1;"&amp;L&amp;""Kennerly""&amp;10LEHMAN BROTHERS";""}</definedName>
    <definedName name="_ZPage_3" localSheetId="10">{0;0;0;0;5;1;0.21;0.21;0.37;0.2;2;FALSE;FALSE;FALSE;FALSE;FALSE;#N/A;2;#N/A;1;1;"&amp;L&amp;12LEHMAN BROTHERS
&amp;10&amp;D
p. &amp;P";""}</definedName>
    <definedName name="_ZPage_3">{0;0;0;0;5;1;0.21;0.21;0.37;0.2;2;FALSE;FALSE;FALSE;FALSE;FALSE;#N/A;2;#N/A;1;1;"&amp;L&amp;12LEHMAN BROTHERS
&amp;10&amp;D
p. &amp;P";""}</definedName>
    <definedName name="_ZPage_4" localSheetId="10">{0;0;0;0;5;1;0.21;0.21;0.37;0.2;2;FALSE;FALSE;FALSE;FALSE;FALSE;#N/A;2;#N/A;1;1;"&amp;L&amp;12LEHMAN BROTHERS
&amp;10&amp;D
p. &amp;P";""}</definedName>
    <definedName name="_ZPage_4">{0;0;0;0;5;1;0.21;0.21;0.37;0.2;2;FALSE;FALSE;FALSE;FALSE;FALSE;#N/A;2;#N/A;1;1;"&amp;L&amp;12LEHMAN BROTHERS
&amp;10&amp;D
p. &amp;P";""}</definedName>
    <definedName name="_ZPage_5" localSheetId="10">{0;0;0;0;5;1;0.21;0.21;0.37;0.2;2;FALSE;FALSE;FALSE;FALSE;FALSE;#N/A;2;#N/A;1;1;"&amp;L&amp;12LEHMAN BROTHERS
&amp;10&amp;D
p. &amp;P";""}</definedName>
    <definedName name="_ZPage_5">{0;0;0;0;5;1;0.21;0.21;0.37;0.2;2;FALSE;FALSE;FALSE;FALSE;FALSE;#N/A;2;#N/A;1;1;"&amp;L&amp;12LEHMAN BROTHERS
&amp;10&amp;D
p. &amp;P";""}</definedName>
    <definedName name="_ZPage_6" localSheetId="10">{0;0;0;0;5;1;0.21;0.21;0.37;0.2;2;FALSE;FALSE;FALSE;FALSE;FALSE;#N/A;2;#N/A;1;1;"&amp;L&amp;12LEHMAN BROTHERS
&amp;10&amp;D
p. &amp;P";""}</definedName>
    <definedName name="_ZPage_6">{0;0;0;0;5;1;0.21;0.21;0.37;0.2;2;FALSE;FALSE;FALSE;FALSE;FALSE;#N/A;2;#N/A;1;1;"&amp;L&amp;12LEHMAN BROTHERS
&amp;10&amp;D
p. &amp;P";""}</definedName>
    <definedName name="_ZPAGE_7" localSheetId="10">{0;0;0;0;1;1;0.75;0.67;1;1;2;FALSE;FALSE;FALSE;FALSE;FALSE;#N/A;1;#N/A;1;1;"";""}</definedName>
    <definedName name="_ZPAGE_7">{0;0;0;0;1;1;0.75;0.67;1;1;2;FALSE;FALSE;FALSE;FALSE;FALSE;#N/A;1;#N/A;1;1;"";""}</definedName>
    <definedName name="_ZPAGE_8" localSheetId="10">{0;0;0;0;1;1;0.75;0.67;1;1;2;FALSE;FALSE;FALSE;FALSE;FALSE;#N/A;1;#N/A;1;1;"";""}</definedName>
    <definedName name="_ZPAGE_8">{0;0;0;0;1;1;0.75;0.67;1;1;2;FALSE;FALSE;FALSE;FALSE;FALSE;#N/A;1;#N/A;1;1;"";""}</definedName>
    <definedName name="_Zpage1" localSheetId="10">{0;0;0;0;1;#N/A;0.1;0.1;0.5;0.5;2;TRUE;FALSE;FALSE;FALSE;FALSE;#N/A;1;#N/A;1;1;"";""}</definedName>
    <definedName name="_Zpage1">{0;0;0;0;1;#N/A;0.1;0.1;0.5;0.5;2;TRUE;FALSE;FALSE;FALSE;FALSE;#N/A;1;#N/A;1;1;"";""}</definedName>
    <definedName name="_ZPage10" localSheetId="10">{0;0;0;0;1;#N/A;0.25;0.25;0.5;0.5;2;TRUE;FALSE;FALSE;FALSE;FALSE;#N/A;1;87;#N/A;#N/A;"";"LBO_MGMT.xls"}</definedName>
    <definedName name="_ZPage10">{0;0;0;0;1;#N/A;0.25;0.25;0.5;0.5;2;TRUE;FALSE;FALSE;FALSE;FALSE;#N/A;1;87;#N/A;#N/A;"";"LBO_MGMT.xls"}</definedName>
    <definedName name="_ZPage11" localSheetId="10">{0;0;0;0;1;#N/A;0.25;0.25;0.5;0.5;2;TRUE;FALSE;FALSE;FALSE;FALSE;#N/A;1;87;#N/A;#N/A;"";"LBO_MGMT.xls"}</definedName>
    <definedName name="_ZPage11">{0;0;0;0;1;#N/A;0.25;0.25;0.5;0.5;2;TRUE;FALSE;FALSE;FALSE;FALSE;#N/A;1;87;#N/A;#N/A;"";"LBO_MGMT.xls"}</definedName>
    <definedName name="_ZPage12" localSheetId="10">{0;0;0;0;1;#N/A;0.25;0.25;0.5;0.5;2;TRUE;FALSE;FALSE;FALSE;FALSE;#N/A;1;87;#N/A;#N/A;"";"LBO_MGMT.xls"}</definedName>
    <definedName name="_ZPage12">{0;0;0;0;1;#N/A;0.25;0.25;0.5;0.5;2;TRUE;FALSE;FALSE;FALSE;FALSE;#N/A;1;87;#N/A;#N/A;"";"LBO_MGMT.xls"}</definedName>
    <definedName name="_ZPage13" localSheetId="10">{0;0;0;0;1;#N/A;0.25;0.25;0.5;0.5;2;TRUE;FALSE;FALSE;FALSE;FALSE;#N/A;1;87;#N/A;#N/A;"";"LBO_MGMT.xls"}</definedName>
    <definedName name="_ZPage13">{0;0;0;0;1;#N/A;0.25;0.25;0.5;0.5;2;TRUE;FALSE;FALSE;FALSE;FALSE;#N/A;1;87;#N/A;#N/A;"";"LBO_MGMT.xls"}</definedName>
    <definedName name="_ZPage14" localSheetId="10">{0;0;0;0;1;#N/A;0.25;0.25;0.5;0.5;2;TRUE;FALSE;FALSE;FALSE;FALSE;#N/A;1;87;#N/A;#N/A;"";"LBO_MGMT.xls"}</definedName>
    <definedName name="_ZPage14">{0;0;0;0;1;#N/A;0.25;0.25;0.5;0.5;2;TRUE;FALSE;FALSE;FALSE;FALSE;#N/A;1;87;#N/A;#N/A;"";"LBO_MGMT.xls"}</definedName>
    <definedName name="_ZPage15" localSheetId="10">{0;0;0;0;1;#N/A;0.25;0.25;0.5;0.5;2;TRUE;FALSE;FALSE;FALSE;FALSE;#N/A;1;87;#N/A;#N/A;"";"LBO_MGMT.xls"}</definedName>
    <definedName name="_ZPage15">{0;0;0;0;1;#N/A;0.25;0.25;0.5;0.5;2;TRUE;FALSE;FALSE;FALSE;FALSE;#N/A;1;87;#N/A;#N/A;"";"LBO_MGMT.xls"}</definedName>
    <definedName name="_ZPage16" localSheetId="10">{0;0;0;0;1;#N/A;0.25;0.25;0.5;0.5;2;TRUE;FALSE;FALSE;FALSE;FALSE;#N/A;1;87;#N/A;#N/A;"";"LBO_MGMT.xls"}</definedName>
    <definedName name="_ZPage16">{0;0;0;0;1;#N/A;0.25;0.25;0.5;0.5;2;TRUE;FALSE;FALSE;FALSE;FALSE;#N/A;1;87;#N/A;#N/A;"";"LBO_MGMT.xls"}</definedName>
    <definedName name="_ZPage17" localSheetId="10">{0;0;0;0;1;#N/A;0.25;0.25;0.5;0.5;2;TRUE;FALSE;FALSE;FALSE;FALSE;#N/A;1;87;#N/A;#N/A;"";"LBO_MGMT.xls"}</definedName>
    <definedName name="_ZPage17">{0;0;0;0;1;#N/A;0.25;0.25;0.5;0.5;2;TRUE;FALSE;FALSE;FALSE;FALSE;#N/A;1;87;#N/A;#N/A;"";"LBO_MGMT.xls"}</definedName>
    <definedName name="_Zpage2" localSheetId="10">{0;0;0;0;1;#N/A;0.1;0.1;0.5;0.5;2;TRUE;FALSE;FALSE;FALSE;FALSE;#N/A;1;#N/A;1;1;"";""}</definedName>
    <definedName name="_Zpage2">{0;0;0;0;1;#N/A;0.1;0.1;0.5;0.5;2;TRUE;FALSE;FALSE;FALSE;FALSE;#N/A;1;#N/A;1;1;"";""}</definedName>
    <definedName name="_ZPage3" localSheetId="10">{0;0;0;0;1;#N/A;0.25;0.25;0.5;0.5;2;TRUE;FALSE;FALSE;FALSE;FALSE;#N/A;1;87;#N/A;#N/A;"";"LBO_MGMT.xls"}</definedName>
    <definedName name="_ZPage3">{0;0;0;0;1;#N/A;0.25;0.25;0.5;0.5;2;TRUE;FALSE;FALSE;FALSE;FALSE;#N/A;1;87;#N/A;#N/A;"";"LBO_MGMT.xls"}</definedName>
    <definedName name="_ZPage4" localSheetId="10">{0;0;0;0;1;#N/A;0.25;0.25;0.5;0.5;2;TRUE;FALSE;FALSE;FALSE;FALSE;#N/A;1;87;#N/A;#N/A;"";"LBO_MGMT.xls"}</definedName>
    <definedName name="_ZPage4">{0;0;0;0;1;#N/A;0.25;0.25;0.5;0.5;2;TRUE;FALSE;FALSE;FALSE;FALSE;#N/A;1;87;#N/A;#N/A;"";"LBO_MGMT.xls"}</definedName>
    <definedName name="_ZPage5" localSheetId="10">{0;0;0;0;1;#N/A;0.25;0.25;0.5;0.5;2;TRUE;FALSE;FALSE;FALSE;FALSE;#N/A;1;87;#N/A;#N/A;"";"LBO_MGMT.xls"}</definedName>
    <definedName name="_ZPage5">{0;0;0;0;1;#N/A;0.25;0.25;0.5;0.5;2;TRUE;FALSE;FALSE;FALSE;FALSE;#N/A;1;87;#N/A;#N/A;"";"LBO_MGMT.xls"}</definedName>
    <definedName name="_ZPage6" localSheetId="10">{0;0;0;0;1;#N/A;0.25;0.25;0.5;0.5;2;TRUE;FALSE;FALSE;FALSE;FALSE;#N/A;1;87;#N/A;#N/A;"";"LBO_MGMT.xls"}</definedName>
    <definedName name="_ZPage6">{0;0;0;0;1;#N/A;0.25;0.25;0.5;0.5;2;TRUE;FALSE;FALSE;FALSE;FALSE;#N/A;1;87;#N/A;#N/A;"";"LBO_MGMT.xls"}</definedName>
    <definedName name="_ZPage7" localSheetId="10">{0;0;0;0;1;#N/A;0.25;0.25;0.5;0.5;2;TRUE;FALSE;FALSE;FALSE;FALSE;#N/A;1;87;#N/A;#N/A;"";"LBO_MGMT.xls"}</definedName>
    <definedName name="_ZPage7">{0;0;0;0;1;#N/A;0.25;0.25;0.5;0.5;2;TRUE;FALSE;FALSE;FALSE;FALSE;#N/A;1;87;#N/A;#N/A;"";"LBO_MGMT.xls"}</definedName>
    <definedName name="_ZPage8" localSheetId="10">{0;0;0;0;1;#N/A;0.25;0.25;0.5;0.5;2;TRUE;FALSE;FALSE;FALSE;FALSE;#N/A;1;87;#N/A;#N/A;"";"LBO_MGMT.xls"}</definedName>
    <definedName name="_ZPage8">{0;0;0;0;1;#N/A;0.25;0.25;0.5;0.5;2;TRUE;FALSE;FALSE;FALSE;FALSE;#N/A;1;87;#N/A;#N/A;"";"LBO_MGMT.xls"}</definedName>
    <definedName name="_ZPage9" localSheetId="10">{0;0;0;0;1;#N/A;0.25;0.25;0.5;0.5;2;TRUE;FALSE;FALSE;FALSE;FALSE;#N/A;1;87;#N/A;#N/A;"";"LBO_MGMT.xls"}</definedName>
    <definedName name="_ZPage9">{0;0;0;0;1;#N/A;0.25;0.25;0.5;0.5;2;TRUE;FALSE;FALSE;FALSE;FALSE;#N/A;1;87;#N/A;#N/A;"";"LBO_MGMT.xls"}</definedName>
    <definedName name="_ZPrev_Qtr_IS" localSheetId="10">{0;0;0;0;1;1;0.75;0.21;0.37;0.2;2;FALSE;FALSE;FALSE;FALSE;FALSE;#N/A;2;#N/A;1;1;"";""}</definedName>
    <definedName name="_ZPrev_Qtr_IS">{0;0;0;0;1;1;0.75;0.21;0.37;0.2;2;FALSE;FALSE;FALSE;FALSE;FALSE;#N/A;2;#N/A;1;1;"";""}</definedName>
    <definedName name="_ZPrevious_Year_10Q" localSheetId="10">{0;0;0;0;1;1;0;0;1;0;2;TRUE;FALSE;FALSE;FALSE;FALSE;#N/A;1;#N/A;1;1;"&amp;L 16B\PS3:GROUPS\PUB_UTIL\ALLEN\FPL\&amp;F -- &amp;D, &amp;T -- Page &amp;P of &amp;N
&amp;R&amp;8&amp;BLEHMAN BROTHERS";""}</definedName>
    <definedName name="_ZPrevious_Year_10Q">{0;0;0;0;1;1;0;0;1;0;2;TRUE;FALSE;FALSE;FALSE;FALSE;#N/A;1;#N/A;1;1;"&amp;L 16B\PS3:GROUPS\PUB_UTIL\ALLEN\FPL\&amp;F -- &amp;D, &amp;T -- Page &amp;P of &amp;N
&amp;R&amp;8&amp;BLEHMAN BROTHERS";""}</definedName>
    <definedName name="_Zprint_all" localSheetId="10">{0;0;0;0;1;#N/A;0;0;0.3;0.3;2;FALSE;FALSE;FALSE;FALSE;FALSE;#N/A;1;96;#N/A;#N/A;"";""}</definedName>
    <definedName name="_Zprint_all">{0;0;0;0;1;#N/A;0;0;0.3;0.3;2;FALSE;FALSE;FALSE;FALSE;FALSE;#N/A;1;96;#N/A;#N/A;"";""}</definedName>
    <definedName name="_Zprint_area" localSheetId="10">{0;0;0;0;1;#N/A;0;0;0.3;0.3;2;FALSE;FALSE;FALSE;FALSE;FALSE;#N/A;1;100;#N/A;#N/A;"";""}</definedName>
    <definedName name="_Zprint_area">{0;0;0;0;1;#N/A;0;0;0.3;0.3;2;FALSE;FALSE;FALSE;FALSE;FALSE;#N/A;1;100;#N/A;#N/A;"";""}</definedName>
    <definedName name="_Zprint1" localSheetId="10">{0;0;0;0;1;#N/A;0;0;0;0;2;TRUE;TRUE;FALSE;FALSE;FALSE;#N/A;1;66;#N/A;#N/A;"";""}</definedName>
    <definedName name="_Zprint1">{0;0;0;0;1;#N/A;0;0;0;0;2;TRUE;TRUE;FALSE;FALSE;FALSE;#N/A;1;66;#N/A;#N/A;"";""}</definedName>
    <definedName name="_Zprint2" localSheetId="10">{0;0;0;0;1;#N/A;0;0;0;0;2;TRUE;TRUE;FALSE;FALSE;FALSE;#N/A;1;66;#N/A;#N/A;"";""}</definedName>
    <definedName name="_Zprint2">{0;0;0;0;1;#N/A;0;0;0;0;2;TRUE;TRUE;FALSE;FALSE;FALSE;#N/A;1;66;#N/A;#N/A;"";""}</definedName>
    <definedName name="_Zprint3" localSheetId="10">{0;0;0;0;1;#N/A;0;0;0;0;2;TRUE;TRUE;FALSE;FALSE;FALSE;#N/A;1;66;#N/A;#N/A;"";""}</definedName>
    <definedName name="_Zprint3">{0;0;0;0;1;#N/A;0;0;0;0;2;TRUE;TRUE;FALSE;FALSE;FALSE;#N/A;1;66;#N/A;#N/A;"";""}</definedName>
    <definedName name="_ZPro_Forma_Break_Even" localSheetId="10">{0;0;0;0;1;1;0.5;0.5;1;0.5;2;TRUE;FALSE;FALSE;FALSE;FALSE;#N/A;1;#N/A;1;1;"&amp;L&amp;7 16B\PS3:GROUPS\PUB_UTIL\ALLEN\FPL\&amp;F -- &amp;D, &amp;T -- Page &amp;P of &amp;N
&amp;R&amp;8&amp;BLEHMAN BROTHERS";""}</definedName>
    <definedName name="_ZPro_Forma_Break_Even">{0;0;0;0;1;1;0.5;0.5;1;0.5;2;TRUE;FALSE;FALSE;FALSE;FALSE;#N/A;1;#N/A;1;1;"&amp;L&amp;7 16B\PS3:GROUPS\PUB_UTIL\ALLEN\FPL\&amp;F -- &amp;D, &amp;T -- Page &amp;P of &amp;N
&amp;R&amp;8&amp;BLEHMAN BROTHERS";""}</definedName>
    <definedName name="_ZPro_Forma_Effects" localSheetId="10">{0;0;0;0;1;1;0.5;0.5;1;0.5;2;TRUE;FALSE;FALSE;FALSE;FALSE;#N/A;1;#N/A;1;1;"&amp;L&amp;7 16B\PS3:GROUPS\PUB_UTIL\ALLEN\FPL\&amp;F -- &amp;D, &amp;T -- Page &amp;P of &amp;N
&amp;R&amp;8&amp;BLEHMAN BROTHERS";""}</definedName>
    <definedName name="_ZPro_Forma_Effects">{0;0;0;0;1;1;0.5;0.5;1;0.5;2;TRUE;FALSE;FALSE;FALSE;FALSE;#N/A;1;#N/A;1;1;"&amp;L&amp;7 16B\PS3:GROUPS\PUB_UTIL\ALLEN\FPL\&amp;F -- &amp;D, &amp;T -- Page &amp;P of &amp;N
&amp;R&amp;8&amp;BLEHMAN BROTHERS";""}</definedName>
    <definedName name="_ZRestaurants" localSheetId="10">{0;0;0;0;5;#N/A;0.21;0.21;0.37;0.2;2;TRUE;FALSE;FALSE;FALSE;FALSE;#N/A;2;65;#N/A;#N/A;"&amp;L&amp;12LEHMAN BROTHERS
&amp;10&amp;D
p. &amp;P";""}</definedName>
    <definedName name="_ZRestaurants">{0;0;0;0;5;#N/A;0.21;0.21;0.37;0.2;2;TRUE;FALSE;FALSE;FALSE;FALSE;#N/A;2;65;#N/A;#N/A;"&amp;L&amp;12LEHMAN BROTHERS
&amp;10&amp;D
p. &amp;P";""}</definedName>
    <definedName name="_Zroea" localSheetId="10">{0;0;0;0;1;1;0.9;0.9;1;1;2;FALSE;FALSE;FALSE;FALSE;FALSE;#N/A;1;#N/A;1;1;"";""}</definedName>
    <definedName name="_Zroea">{0;0;0;0;1;1;0.9;0.9;1;1;2;FALSE;FALSE;FALSE;FALSE;FALSE;#N/A;1;#N/A;1;1;"";""}</definedName>
    <definedName name="_Zsecond" localSheetId="10">{0;0;0;0;1;#N/A;0.5;0.5;0.25;0.25;2;FALSE;FALSE;FALSE;FALSE;FALSE;#N/A;1;#N/A;2;2;"";""}</definedName>
    <definedName name="_Zsecond">{0;0;0;0;1;#N/A;0.5;0.5;0.25;0.25;2;FALSE;FALSE;FALSE;FALSE;FALSE;#N/A;1;#N/A;2;2;"";""}</definedName>
    <definedName name="_Zseg" localSheetId="10">{0;0;0;0;1;#N/A;0.5;0.5;0.6;0.3;2;FALSE;FALSE;FALSE;FALSE;FALSE;#N/A;1;90;#N/A;#N/A;"&amp;L&amp;7 RAMIBD04\GROUPS\M&amp;A\PAHWA\ATC\VALUATION\ATC_REV.XLS -- &amp;D, &amp;T -- Page &amp;P of &amp;N
&amp;7";"&amp;C&amp;9Page &amp;P"}</definedName>
    <definedName name="_Zseg">{0;0;0;0;1;#N/A;0.5;0.5;0.6;0.3;2;FALSE;FALSE;FALSE;FALSE;FALSE;#N/A;1;90;#N/A;#N/A;"&amp;L&amp;7 RAMIBD04\GROUPS\M&amp;A\PAHWA\ATC\VALUATION\ATC_REV.XLS -- &amp;D, &amp;T -- Page &amp;P of &amp;N
&amp;7";"&amp;C&amp;9Page &amp;P"}</definedName>
    <definedName name="_ZShare_Price" localSheetId="10">{0;0;0;0;1;1;0.75;0.21;0.37;0.2;2;FALSE;FALSE;FALSE;FALSE;FALSE;#N/A;2;#N/A;1;1;"";""}</definedName>
    <definedName name="_ZShare_Price">{0;0;0;0;1;1;0.75;0.21;0.37;0.2;2;FALSE;FALSE;FALSE;FALSE;FALSE;#N/A;2;#N/A;1;1;"";""}</definedName>
    <definedName name="_Zsource" localSheetId="10">{0;0;0;0;5;1;0.4;0.4;0.75;0.75;2;FALSE;FALSE;FALSE;FALSE;FALSE;#N/A;1;#N/A;1;1;"";""}</definedName>
    <definedName name="_Zsource">{0;0;0;0;5;1;0.4;0.4;0.75;0.75;2;FALSE;FALSE;FALSE;FALSE;FALSE;#N/A;1;#N/A;1;1;"";""}</definedName>
    <definedName name="_Zsource2" localSheetId="10">{0;0;0;0;1;1;0.9;0.9;1;1;2;FALSE;FALSE;FALSE;FALSE;FALSE;#N/A;1;#N/A;1;1;"";""}</definedName>
    <definedName name="_Zsource2">{0;0;0;0;1;1;0.9;0.9;1;1;2;FALSE;FALSE;FALSE;FALSE;FALSE;#N/A;1;#N/A;1;1;"";""}</definedName>
    <definedName name="_Zsummary" localSheetId="10">{0;0;0;0;1;1;0.85;0.87;0.5;0.5;1;FALSE;FALSE;FALSE;FALSE;FALSE;#N/A;1;100;#N/A;#N/A;"";""}</definedName>
    <definedName name="_Zsummary">{0;0;0;0;1;1;0.85;0.87;0.5;0.5;1;FALSE;FALSE;FALSE;FALSE;FALSE;#N/A;1;100;#N/A;#N/A;"";""}</definedName>
    <definedName name="_ZSummary_Page" localSheetId="10">{0;0;0;0;5;1;0;0;0.5;0;2;TRUE;FALSE;FALSE;FALSE;FALSE;#N/A;1;#N/A;1;1;"&amp;L 16B\PS3:GROUPS\PUB_UTIL\ALLEN\FPL\&amp;F -- &amp;D, &amp;T -- Page &amp;P of &amp;N
&amp;R&amp;8&amp;BLEHMAN BROTHERS";""}</definedName>
    <definedName name="_ZSummary_Page">{0;0;0;0;5;1;0;0;0.5;0;2;TRUE;FALSE;FALSE;FALSE;FALSE;#N/A;1;#N/A;1;1;"&amp;L 16B\PS3:GROUPS\PUB_UTIL\ALLEN\FPL\&amp;F -- &amp;D, &amp;T -- Page &amp;P of &amp;N
&amp;R&amp;8&amp;BLEHMAN BROTHERS";""}</definedName>
    <definedName name="_Zsynergy" localSheetId="10">{0;0;0;0;1;#N/A;0.5;0.5;0.5;0.5;2;FALSE;FALSE;FALSE;FALSE;FALSE;#N/A;1;#N/A;1;1;"";""}</definedName>
    <definedName name="_Zsynergy">{0;0;0;0;1;#N/A;0.5;0.5;0.5;0.5;2;FALSE;FALSE;FALSE;FALSE;FALSE;#N/A;1;#N/A;1;1;"";""}</definedName>
    <definedName name="_ZTexas_DCF" localSheetId="10">{0;0;0;0;1;#N/A;0.2;0.2;0.5;0.5;2;FALSE;FALSE;FALSE;FALSE;FALSE;#N/A;1;77;#N/A;#N/A;"";""}</definedName>
    <definedName name="_ZTexas_DCF">{0;0;0;0;1;#N/A;0.2;0.2;0.5;0.5;2;FALSE;FALSE;FALSE;FALSE;FALSE;#N/A;1;77;#N/A;#N/A;"";""}</definedName>
    <definedName name="_ZTexas_IS" localSheetId="10">{0;0;0;0;1;#N/A;0.75;0.75;0.75;0.75;2;FALSE;FALSE;FALSE;FALSE;FALSE;#N/A;1;#N/A;1;1;"";""}</definedName>
    <definedName name="_ZTexas_IS">{0;0;0;0;1;#N/A;0.75;0.75;0.75;0.75;2;FALSE;FALSE;FALSE;FALSE;FALSE;#N/A;1;#N/A;1;1;"";""}</definedName>
    <definedName name="_Zthird" localSheetId="10">{0;0;0;0;1;#N/A;0.5;0.5;0.25;0.25;2;FALSE;FALSE;FALSE;FALSE;FALSE;#N/A;1;#N/A;2;2;"";""}</definedName>
    <definedName name="_Zthird">{0;0;0;0;1;#N/A;0.5;0.5;0.25;0.25;2;FALSE;FALSE;FALSE;FALSE;FALSE;#N/A;1;#N/A;2;2;"";""}</definedName>
    <definedName name="_Zwhole_model" localSheetId="10">{0;0;0;0;1;1;0.25;0;0.75;0.5;2;FALSE;FALSE;FALSE;FALSE;FALSE;#N/A;1;77;#N/A;#N/A;"";""}</definedName>
    <definedName name="_Zwhole_model">{0;0;0;0;1;1;0.25;0;0.75;0.5;2;FALSE;FALSE;FALSE;FALSE;FALSE;#N/A;1;77;#N/A;#N/A;"";""}</definedName>
    <definedName name="_Zwholemodel" localSheetId="10">{0;0;0;0;1;1;0.25;0;0.75;0.5;2;FALSE;FALSE;FALSE;FALSE;FALSE;#N/A;1;77;#N/A;#N/A;"";""}</definedName>
    <definedName name="_Zwholemodel">{0;0;0;0;1;1;0.25;0;0.75;0.5;2;FALSE;FALSE;FALSE;FALSE;FALSE;#N/A;1;77;#N/A;#N/A;"";""}</definedName>
    <definedName name="_zz1" localSheetId="10" hidden="1">{"pro_view",#N/A,FALSE,"EEFSNAP2";"rep_view",#N/A,FALSE,"EEFSNAP2"}</definedName>
    <definedName name="_zz1" hidden="1">{"pro_view",#N/A,FALSE,"EEFSNAP2";"rep_view",#N/A,FALSE,"EEFSNAP2"}</definedName>
    <definedName name="_zz2" localSheetId="10"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a" localSheetId="10" hidden="1">#REF!</definedName>
    <definedName name="a" localSheetId="9" hidden="1">#REF!</definedName>
    <definedName name="a" localSheetId="8" hidden="1">#REF!</definedName>
    <definedName name="a" localSheetId="16" hidden="1">#REF!</definedName>
    <definedName name="a" hidden="1">#REF!</definedName>
    <definedName name="A\" localSheetId="10" hidden="1">#REF!</definedName>
    <definedName name="A\" localSheetId="9" hidden="1">#REF!</definedName>
    <definedName name="A\" localSheetId="8" hidden="1">#REF!</definedName>
    <definedName name="A\" localSheetId="16" hidden="1">#REF!</definedName>
    <definedName name="A\" hidden="1">#REF!</definedName>
    <definedName name="a___0">#REF!</definedName>
    <definedName name="a___0___0">#REF!</definedName>
    <definedName name="a_1" localSheetId="10" hidden="1">{#N/A,#N/A,FALSE,"Projections";#N/A,#N/A,FALSE,"Multiples Valuation";#N/A,#N/A,FALSE,"LBO";#N/A,#N/A,FALSE,"Multiples_Sensitivity";#N/A,#N/A,FALSE,"Summary"}</definedName>
    <definedName name="a_1" hidden="1">{#N/A,#N/A,FALSE,"Projections";#N/A,#N/A,FALSE,"Multiples Valuation";#N/A,#N/A,FALSE,"LBO";#N/A,#N/A,FALSE,"Multiples_Sensitivity";#N/A,#N/A,FALSE,"Summary"}</definedName>
    <definedName name="A_D_PPE" localSheetId="10">#REF!</definedName>
    <definedName name="A_D_PPE">#REF!</definedName>
    <definedName name="a1a" localSheetId="10" hidden="1">{#N/A,"PURCHM",FALSE,"Business Analysis";#N/A,"SPADD",FALSE,"Business Analysis"}</definedName>
    <definedName name="a1a" hidden="1">{#N/A,"PURCHM",FALSE,"Business Analysis";#N/A,"SPADD",FALSE,"Business Analysis"}</definedName>
    <definedName name="a1b" localSheetId="10"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localSheetId="10" hidden="1">{"detail",#N/A,FALSE,"mfg";"summary",#N/A,FALSE,"mfg"}</definedName>
    <definedName name="a2a" hidden="1">{"detail",#N/A,FALSE,"mfg";"summary",#N/A,FALSE,"mfg"}</definedName>
    <definedName name="a654645454545">#REF!</definedName>
    <definedName name="aa" localSheetId="10" hidden="1">{#N/A,#N/A,FALSE,"Projections";#N/A,#N/A,FALSE,"Multiples Valuation";#N/A,#N/A,FALSE,"LBO";#N/A,#N/A,FALSE,"Multiples_Sensitivity";#N/A,#N/A,FALSE,"Summary"}</definedName>
    <definedName name="aa" hidden="1">{#N/A,#N/A,FALSE,"Projections";#N/A,#N/A,FALSE,"Multiples Valuation";#N/A,#N/A,FALSE,"LBO";#N/A,#N/A,FALSE,"Multiples_Sensitivity";#N/A,#N/A,FALSE,"Summary"}</definedName>
    <definedName name="AA.Report.Files" hidden="1">#REF!</definedName>
    <definedName name="AA.Reports.Available" hidden="1">#REF!</definedName>
    <definedName name="aa_1" localSheetId="10" hidden="1">{"Combined Ratios",#N/A,FALSE,"Financials"}</definedName>
    <definedName name="aa_1" localSheetId="15" hidden="1">{"Combined Ratios",#N/A,FALSE,"Financials"}</definedName>
    <definedName name="aa_1" hidden="1">{"Combined Ratios",#N/A,FALSE,"Financials"}</definedName>
    <definedName name="aa_1_1" localSheetId="10" hidden="1">{"Material",#N/A,TRUE,"Summary";"Mfg",#N/A,TRUE,"Summary";"mfgbymo",#N/A,TRUE,"By Month";"Mtlbymo",#N/A,TRUE,"By Month"}</definedName>
    <definedName name="aa_1_1" hidden="1">{"Material",#N/A,TRUE,"Summary";"Mfg",#N/A,TRUE,"Summary";"mfgbymo",#N/A,TRUE,"By Month";"Mtlbymo",#N/A,TRUE,"By Month"}</definedName>
    <definedName name="aa_2" localSheetId="10" hidden="1">{"Material",#N/A,TRUE,"Summary";"Mfg",#N/A,TRUE,"Summary";"mfgbymo",#N/A,TRUE,"By Month";"Mtlbymo",#N/A,TRUE,"By Month"}</definedName>
    <definedName name="aa_2" hidden="1">{"Material",#N/A,TRUE,"Summary";"Mfg",#N/A,TRUE,"Summary";"mfgbymo",#N/A,TRUE,"By Month";"Mtlbymo",#N/A,TRUE,"By Month"}</definedName>
    <definedName name="aaa" localSheetId="10" hidden="1">{"BS",#N/A,FALSE,"USA"}</definedName>
    <definedName name="aaa" localSheetId="15" hidden="1">{"BS",#N/A,FALSE,"USA"}</definedName>
    <definedName name="aaa" hidden="1">{"BS",#N/A,FALSE,"USA"}</definedName>
    <definedName name="äää" localSheetId="10" hidden="1">{#N/A,#N/A,FALSE,"Umsatz 99";#N/A,#N/A,FALSE,"ER 99 "}</definedName>
    <definedName name="äää" hidden="1">{#N/A,#N/A,FALSE,"Umsatz 99";#N/A,#N/A,FALSE,"ER 99 "}</definedName>
    <definedName name="AAA_DOCTOPS" hidden="1">"AAA_SET"</definedName>
    <definedName name="AAA_duser" hidden="1">"OFF"</definedName>
    <definedName name="aaaa" localSheetId="3" hidden="1">{#N/A,#N/A,FALSE,"Model";#N/A,#N/A,FALSE,"Division"}</definedName>
    <definedName name="aaaa" localSheetId="11" hidden="1">{#N/A,#N/A,FALSE,"Model";#N/A,#N/A,FALSE,"Division"}</definedName>
    <definedName name="AAAA" hidden="1">0</definedName>
    <definedName name="aaaa_1" localSheetId="10" hidden="1">{#N/A,#N/A,FALSE,"TS";#N/A,#N/A,FALSE,"Combo";#N/A,#N/A,FALSE,"FAIR";#N/A,#N/A,FALSE,"RBC";#N/A,#N/A,FALSE,"xxxx";#N/A,#N/A,FALSE,"A_D";#N/A,#N/A,FALSE,"WACC";#N/A,#N/A,FALSE,"DCF";#N/A,#N/A,FALSE,"LBO";#N/A,#N/A,FALSE,"AcqMults";#N/A,#N/A,FALSE,"CompMults"}</definedName>
    <definedName name="aaaa_1" hidden="1">{#N/A,#N/A,FALSE,"TS";#N/A,#N/A,FALSE,"Combo";#N/A,#N/A,FALSE,"FAIR";#N/A,#N/A,FALSE,"RBC";#N/A,#N/A,FALSE,"xxxx";#N/A,#N/A,FALSE,"A_D";#N/A,#N/A,FALSE,"WACC";#N/A,#N/A,FALSE,"DCF";#N/A,#N/A,FALSE,"LBO";#N/A,#N/A,FALSE,"AcqMults";#N/A,#N/A,FALSE,"CompMults"}</definedName>
    <definedName name="aaaaa"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aaaaa"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aaaaa" hidden="1">{TRUE,TRUE,-1.25,-15.5,456.75,279.75,FALSE,FALSE,TRUE,TRUE,0,1,21,1,127,6,3,4,TRUE,TRUE,3,TRUE,1,TRUE,100,"Swvu.profits.","ACwvu.profits.",1,FALSE,FALSE,0.511811023622047,0.511811023622047,0.511811023622047,0.511811023622047,1,"","",FALSE,FALSE,FALSE,FALSE,1,#N/A,1,1,#DIV/0!,FALSE,"Rwvu.profits.",#N/A,FALSE,FALSE}</definedName>
    <definedName name="aaaaaa" localSheetId="10" hidden="1">{#N/A,#N/A,FALSE,"REPORT"}</definedName>
    <definedName name="aaaaaa" hidden="1">{#N/A,#N/A,FALSE,"REPORT"}</definedName>
    <definedName name="aaaaaaa" localSheetId="10"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aaaaaaa" hidden="1">#REF!</definedName>
    <definedName name="AAAAAAAAAAA"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aaaa" localSheetId="10" hidden="1">{"Page1",#N/A,FALSE,"CompCo";"Page2",#N/A,FALSE,"CompCo"}</definedName>
    <definedName name="aaaaaaaaaaaa" hidden="1">{"Page1",#N/A,FALSE,"CompCo";"Page2",#N/A,FALSE,"CompCo"}</definedName>
    <definedName name="aaaaaaaaaaaaa" localSheetId="10" hidden="1">{"Page1",#N/A,FALSE,"CompCo";"Page2",#N/A,FALSE,"CompCo"}</definedName>
    <definedName name="aaaaaaaaaaaaa" hidden="1">{"Page1",#N/A,FALSE,"CompCo";"Page2",#N/A,FALSE,"CompCo"}</definedName>
    <definedName name="aaaaaaaaaaaaaaa" localSheetId="10" hidden="1">{#N/A,#N/A,FALSE,"Pharm";#N/A,#N/A,FALSE,"WWCM"}</definedName>
    <definedName name="aaaaaaaaaaaaaaa" hidden="1">{#N/A,#N/A,FALSE,"Pharm";#N/A,#N/A,FALSE,"WWCM"}</definedName>
    <definedName name="aaaaaaaaaaaaaaaaa" localSheetId="10" hidden="1">{#N/A,"PURCHM",FALSE,"Business Analysis";#N/A,"SPADD",FALSE,"Business Analysis"}</definedName>
    <definedName name="aaaaaaaaaaaaaaaaa" hidden="1">{#N/A,"PURCHM",FALSE,"Business Analysis";#N/A,"SPADD",FALSE,"Business Analysis"}</definedName>
    <definedName name="aaaaaaaaaaaaaaaaaaaaaaaaaa" localSheetId="10" hidden="1">{"detail",#N/A,FALSE,"mfg";"summary",#N/A,FALSE,"mfg"}</definedName>
    <definedName name="aaaaaaaaaaaaaaaaaaaaaaaaaa" hidden="1">{"detail",#N/A,FALSE,"mfg";"summary",#N/A,FALSE,"mfg"}</definedName>
    <definedName name="aaaaaaaaaq" hidden="1">#REF!</definedName>
    <definedName name="aaaaab" localSheetId="10" hidden="1">{#N/A,#N/A,FALSE,"Model";#N/A,#N/A,FALSE,"Division"}</definedName>
    <definedName name="aaaaab" localSheetId="15" hidden="1">{#N/A,#N/A,FALSE,"Model";#N/A,#N/A,FALSE,"Division"}</definedName>
    <definedName name="aaaaab" hidden="1">{#N/A,#N/A,FALSE,"Model";#N/A,#N/A,FALSE,"Division"}</definedName>
    <definedName name="aaad" localSheetId="10" hidden="1">{"'Actual'!$A$1:$F$25"}</definedName>
    <definedName name="aaad" hidden="1">{"'Actual'!$A$1:$F$25"}</definedName>
    <definedName name="äääööö" localSheetId="10"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Q1" localSheetId="10" hidden="1">{"F3 detail",#N/A,FALSE,"F1";"F3 Presentation",#N/A,FALSE,"F3 "}</definedName>
    <definedName name="AAAQ1" hidden="1">{"F3 detail",#N/A,FALSE,"F1";"F3 Presentation",#N/A,FALSE,"F3 "}</definedName>
    <definedName name="AAAQ2" localSheetId="10" hidden="1">{"F3 Presentation",#N/A,FALSE,"F3 ";"F3 detail",#N/A,FALSE,"F3 "}</definedName>
    <definedName name="AAAQ2" hidden="1">{"F3 Presentation",#N/A,FALSE,"F3 ";"F3 detail",#N/A,FALSE,"F3 "}</definedName>
    <definedName name="AAAQ3" localSheetId="10" hidden="1">{"F3 detail",#N/A,FALSE,"F3 ";"F3 Presentation",#N/A,FALSE,"F3 "}</definedName>
    <definedName name="AAAQ3" hidden="1">{"F3 detail",#N/A,FALSE,"F3 ";"F3 Presentation",#N/A,FALSE,"F3 "}</definedName>
    <definedName name="AAAQ4" localSheetId="10" hidden="1">{"F3 detail",#N/A,FALSE,"F1";"F3 Presentation",#N/A,FALSE,"F3 "}</definedName>
    <definedName name="AAAQ4" hidden="1">{"F3 detail",#N/A,FALSE,"F1";"F3 Presentation",#N/A,FALSE,"F3 "}</definedName>
    <definedName name="aaasb" localSheetId="10" hidden="1">{#N/A,#N/A,FALSE,"Pharm";#N/A,#N/A,FALSE,"WWCM"}</definedName>
    <definedName name="aaasb" hidden="1">{#N/A,#N/A,FALSE,"Pharm";#N/A,#N/A,FALSE,"WWCM"}</definedName>
    <definedName name="aab" localSheetId="10"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localSheetId="10" hidden="1">{#N/A,#N/A,FALSE,"Projections";#N/A,#N/A,FALSE,"Multiples Valuation";#N/A,#N/A,FALSE,"LBO";#N/A,#N/A,FALSE,"Multiples_Sensitivity";#N/A,#N/A,FALSE,"Summary"}</definedName>
    <definedName name="aabb" hidden="1">{#N/A,#N/A,FALSE,"Projections";#N/A,#N/A,FALSE,"Multiples Valuation";#N/A,#N/A,FALSE,"LBO";#N/A,#N/A,FALSE,"Multiples_Sensitivity";#N/A,#N/A,FALSE,"Summary"}</definedName>
    <definedName name="aabb_1" localSheetId="10" hidden="1">{#N/A,#N/A,FALSE,"Projections";#N/A,#N/A,FALSE,"Multiples Valuation";#N/A,#N/A,FALSE,"LBO";#N/A,#N/A,FALSE,"Multiples_Sensitivity";#N/A,#N/A,FALSE,"Summary"}</definedName>
    <definedName name="aabb_1" hidden="1">{#N/A,#N/A,FALSE,"Projections";#N/A,#N/A,FALSE,"Multiples Valuation";#N/A,#N/A,FALSE,"LBO";#N/A,#N/A,FALSE,"Multiples_Sensitivity";#N/A,#N/A,FALSE,"Summary"}</definedName>
    <definedName name="aabvabf" hidden="1">#REF!</definedName>
    <definedName name="aaddd" localSheetId="10" hidden="1">{#N/A,#N/A,FALSE,"REPORT"}</definedName>
    <definedName name="aaddd" hidden="1">{#N/A,#N/A,FALSE,"REPORT"}</definedName>
    <definedName name="AAGG" localSheetId="10" hidden="1">{#N/A,"1",FALSE,"FORM";#N/A,"2",FALSE,"FORM";#N/A,"3",FALSE,"FORM"}</definedName>
    <definedName name="AAGG" hidden="1">{#N/A,"1",FALSE,"FORM";#N/A,"2",FALSE,"FORM";#N/A,"3",FALSE,"FORM"}</definedName>
    <definedName name="AAGG2" localSheetId="10" hidden="1">{#N/A,"1",FALSE,"FORM";#N/A,"2",FALSE,"FORM";#N/A,"3",FALSE,"FORM"}</definedName>
    <definedName name="AAGG2" hidden="1">{#N/A,"1",FALSE,"FORM";#N/A,"2",FALSE,"FORM";#N/A,"3",FALSE,"FORM"}</definedName>
    <definedName name="aas" localSheetId="10" hidden="1">{#N/A,#N/A,FALSE,"1";#N/A,#N/A,FALSE,"2";#N/A,#N/A,FALSE,"16 - 17";#N/A,#N/A,FALSE,"18 - 19";#N/A,#N/A,FALSE,"26";#N/A,#N/A,FALSE,"27";#N/A,#N/A,FALSE,"28"}</definedName>
    <definedName name="aas" hidden="1">{#N/A,#N/A,FALSE,"1";#N/A,#N/A,FALSE,"2";#N/A,#N/A,FALSE,"16 - 17";#N/A,#N/A,FALSE,"18 - 19";#N/A,#N/A,FALSE,"26";#N/A,#N/A,FALSE,"27";#N/A,#N/A,FALSE,"28"}</definedName>
    <definedName name="aasd"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 localSheetId="10" hidden="1">{"rtn",#N/A,FALSE,"RTN";"tables",#N/A,FALSE,"RTN";"cf",#N/A,FALSE,"CF";"stats",#N/A,FALSE,"Stats";"prop",#N/A,FALSE,"Prop"}</definedName>
    <definedName name="aasdfa" hidden="1">{"rtn",#N/A,FALSE,"RTN";"tables",#N/A,FALSE,"RTN";"cf",#N/A,FALSE,"CF";"stats",#N/A,FALSE,"Stats";"prop",#N/A,FALSE,"Prop"}</definedName>
    <definedName name="aasdfdf" localSheetId="10" hidden="1">{#N/A,#N/A,FALSE,"COP CONS SK";#N/A,#N/A,FALSE,"COP CONS RG";#N/A,#N/A,FALSE,"COP CONS SK BC";#N/A,#N/A,FALSE,"COP CONS RG BC";#N/A,#N/A,FALSE,"ALLIANCE SK";#N/A,#N/A,FALSE,"ALLIANCE RG";#N/A,#N/A,FALSE,"CPC SK";#N/A,#N/A,FALSE,"CPC RG"}</definedName>
    <definedName name="aasdfdf" hidden="1">{#N/A,#N/A,FALSE,"COP CONS SK";#N/A,#N/A,FALSE,"COP CONS RG";#N/A,#N/A,FALSE,"COP CONS SK BC";#N/A,#N/A,FALSE,"COP CONS RG BC";#N/A,#N/A,FALSE,"ALLIANCE SK";#N/A,#N/A,FALSE,"ALLIANCE RG";#N/A,#N/A,FALSE,"CPC SK";#N/A,#N/A,FALSE,"CPC RG"}</definedName>
    <definedName name="aass" localSheetId="10" hidden="1">{"detail",#N/A,FALSE,"mfg";"summary",#N/A,FALSE,"mfg"}</definedName>
    <definedName name="aass" hidden="1">{"detail",#N/A,FALSE,"mfg";"summary",#N/A,FALSE,"mfg"}</definedName>
    <definedName name="aaww" localSheetId="10" hidden="1">{"Polymers Details",#N/A,FALSE,"Current Yr";"Polymer Details",#N/A,FALSE,"Budget";"Polymer Details",#N/A,FALSE,"Prior Year"}</definedName>
    <definedName name="aaww" hidden="1">{"Polymers Details",#N/A,FALSE,"Current Yr";"Polymer Details",#N/A,FALSE,"Budget";"Polymer Details",#N/A,FALSE,"Prior Year"}</definedName>
    <definedName name="aax" localSheetId="10" hidden="1">{"detail",#N/A,FALSE,"mfg";"summary",#N/A,FALSE,"mfg"}</definedName>
    <definedName name="aax" hidden="1">{"detail",#N/A,FALSE,"mfg";"summary",#N/A,FALSE,"mfg"}</definedName>
    <definedName name="ab" localSheetId="10">#REF!</definedName>
    <definedName name="ab">#REF!</definedName>
    <definedName name="abacate" localSheetId="10" hidden="1">{"works expense",#N/A,FALSE,"WORKS EXPENSE"}</definedName>
    <definedName name="abacate" hidden="1">{"works expense",#N/A,FALSE,"WORKS EXPENSE"}</definedName>
    <definedName name="abacate2" localSheetId="10" hidden="1">{"works expense",#N/A,FALSE,"WORKS EXPENSE"}</definedName>
    <definedName name="abacate2" hidden="1">{"works expense",#N/A,FALSE,"WORKS EXPENSE"}</definedName>
    <definedName name="abc" localSheetId="10" hidden="1">#REF!</definedName>
    <definedName name="abc" localSheetId="9" hidden="1">#REF!</definedName>
    <definedName name="abc" localSheetId="8" hidden="1">#REF!</definedName>
    <definedName name="abc" localSheetId="16" hidden="1">#REF!</definedName>
    <definedName name="abc" hidden="1">#REF!</definedName>
    <definedName name="abc_1" localSheetId="10" hidden="1">{#N/A,#N/A,FALSE,"Aging Summary";#N/A,#N/A,FALSE,"Ratio Analysis";#N/A,#N/A,FALSE,"Test 120 Day Accts";#N/A,#N/A,FALSE,"Tickmarks"}</definedName>
    <definedName name="abc_1" hidden="1">{#N/A,#N/A,FALSE,"Aging Summary";#N/A,#N/A,FALSE,"Ratio Analysis";#N/A,#N/A,FALSE,"Test 120 Day Accts";#N/A,#N/A,FALSE,"Tickmarks"}</definedName>
    <definedName name="abc0mq" localSheetId="10" hidden="1">{#N/A,"PURCHM",FALSE,"Business Analysis";#N/A,"SPADD",FALSE,"Business Analysis"}</definedName>
    <definedName name="abc0mq" hidden="1">{#N/A,"PURCHM",FALSE,"Business Analysis";#N/A,"SPADD",FALSE,"Business Analysis"}</definedName>
    <definedName name="abc0nks" localSheetId="10" hidden="1">{"detail",#N/A,FALSE,"mfg";"summary",#N/A,FALSE,"mfg"}</definedName>
    <definedName name="abc0nks" hidden="1">{"detail",#N/A,FALSE,"mfg";"summary",#N/A,FALSE,"mfg"}</definedName>
    <definedName name="abc101a" localSheetId="10" hidden="1">{#N/A,"PURCHM",FALSE,"Business Analysis";#N/A,"SPADD",FALSE,"Business Analysis"}</definedName>
    <definedName name="abc101a" hidden="1">{#N/A,"PURCHM",FALSE,"Business Analysis";#N/A,"SPADD",FALSE,"Business Analysis"}</definedName>
    <definedName name="abc109a" localSheetId="10" hidden="1">{"detail",#N/A,FALSE,"mfg";"summary",#N/A,FALSE,"mfg"}</definedName>
    <definedName name="abc109a" hidden="1">{"detail",#N/A,FALSE,"mfg";"summary",#N/A,FALSE,"mfg"}</definedName>
    <definedName name="abc11a" localSheetId="10" hidden="1">{"detail",#N/A,FALSE,"mfg";"summary",#N/A,FALSE,"mfg"}</definedName>
    <definedName name="abc11a" hidden="1">{"detail",#N/A,FALSE,"mfg";"summary",#N/A,FALSE,"mfg"}</definedName>
    <definedName name="abc11ab" localSheetId="10" hidden="1">{#N/A,"PURCHM",FALSE,"Business Analysis";#N/A,"SPADD",FALSE,"Business Analysis"}</definedName>
    <definedName name="abc11ab" hidden="1">{#N/A,"PURCHM",FALSE,"Business Analysis";#N/A,"SPADD",FALSE,"Business Analysis"}</definedName>
    <definedName name="abc12a" localSheetId="10" hidden="1">{"detail",#N/A,FALSE,"mfg";"summary",#N/A,FALSE,"mfg"}</definedName>
    <definedName name="abc12a" hidden="1">{"detail",#N/A,FALSE,"mfg";"summary",#N/A,FALSE,"mfg"}</definedName>
    <definedName name="abc13a" localSheetId="10" hidden="1">{"detail",#N/A,FALSE,"mfg";"summary",#N/A,FALSE,"mfg"}</definedName>
    <definedName name="abc13a" hidden="1">{"detail",#N/A,FALSE,"mfg";"summary",#N/A,FALSE,"mfg"}</definedName>
    <definedName name="abc14a" localSheetId="10" hidden="1">{"detail",#N/A,FALSE,"mfg";"summary",#N/A,FALSE,"mfg"}</definedName>
    <definedName name="abc14a" hidden="1">{"detail",#N/A,FALSE,"mfg";"summary",#N/A,FALSE,"mfg"}</definedName>
    <definedName name="abc1b" localSheetId="10" hidden="1">{#N/A,"PURCHM",FALSE,"Business Analysis";#N/A,"SPADD",FALSE,"Business Analysis"}</definedName>
    <definedName name="abc1b" hidden="1">{#N/A,"PURCHM",FALSE,"Business Analysis";#N/A,"SPADD",FALSE,"Business Analysis"}</definedName>
    <definedName name="abc200a" localSheetId="10" hidden="1">{"detail",#N/A,FALSE,"mfg";"summary",#N/A,FALSE,"mfg"}</definedName>
    <definedName name="abc200a" hidden="1">{"detail",#N/A,FALSE,"mfg";"summary",#N/A,FALSE,"mfg"}</definedName>
    <definedName name="abc202a" localSheetId="10" hidden="1">{"detail",#N/A,FALSE,"mfg";"summary",#N/A,FALSE,"mfg"}</definedName>
    <definedName name="abc202a" hidden="1">{"detail",#N/A,FALSE,"mfg";"summary",#N/A,FALSE,"mfg"}</definedName>
    <definedName name="abc202b" localSheetId="10" hidden="1">{#N/A,"PURCHM",FALSE,"Business Analysis";#N/A,"SPADD",FALSE,"Business Analysis"}</definedName>
    <definedName name="abc202b" hidden="1">{#N/A,"PURCHM",FALSE,"Business Analysis";#N/A,"SPADD",FALSE,"Business Analysis"}</definedName>
    <definedName name="abc213a" localSheetId="10" hidden="1">{"detail",#N/A,FALSE,"mfg";"summary",#N/A,FALSE,"mfg"}</definedName>
    <definedName name="abc213a" hidden="1">{"detail",#N/A,FALSE,"mfg";"summary",#N/A,FALSE,"mfg"}</definedName>
    <definedName name="abc2a" localSheetId="10" hidden="1">{"detail",#N/A,FALSE,"mfg";"summary",#N/A,FALSE,"mfg"}</definedName>
    <definedName name="abc2a" hidden="1">{"detail",#N/A,FALSE,"mfg";"summary",#N/A,FALSE,"mfg"}</definedName>
    <definedName name="abc312b" localSheetId="10" hidden="1">{"detail",#N/A,FALSE,"mfg";"summary",#N/A,FALSE,"mfg"}</definedName>
    <definedName name="abc312b" hidden="1">{"detail",#N/A,FALSE,"mfg";"summary",#N/A,FALSE,"mfg"}</definedName>
    <definedName name="abc31a" localSheetId="10" hidden="1">{"detail",#N/A,FALSE,"mfg";"summary",#N/A,FALSE,"mfg"}</definedName>
    <definedName name="abc31a" hidden="1">{"detail",#N/A,FALSE,"mfg";"summary",#N/A,FALSE,"mfg"}</definedName>
    <definedName name="abc32b" localSheetId="10" hidden="1">{"detail",#N/A,FALSE,"mfg";"summary",#N/A,FALSE,"mfg"}</definedName>
    <definedName name="abc32b" hidden="1">{"detail",#N/A,FALSE,"mfg";"summary",#N/A,FALSE,"mfg"}</definedName>
    <definedName name="abc35b" localSheetId="10" hidden="1">{"detail",#N/A,FALSE,"mfg";"summary",#N/A,FALSE,"mfg"}</definedName>
    <definedName name="abc35b" hidden="1">{"detail",#N/A,FALSE,"mfg";"summary",#N/A,FALSE,"mfg"}</definedName>
    <definedName name="abc36b" localSheetId="10" hidden="1">{"detail",#N/A,FALSE,"mfg";"summary",#N/A,FALSE,"mfg"}</definedName>
    <definedName name="abc36b" hidden="1">{"detail",#N/A,FALSE,"mfg";"summary",#N/A,FALSE,"mfg"}</definedName>
    <definedName name="abc37b" localSheetId="10" hidden="1">{"detail",#N/A,FALSE,"mfg";"summary",#N/A,FALSE,"mfg"}</definedName>
    <definedName name="abc37b" hidden="1">{"detail",#N/A,FALSE,"mfg";"summary",#N/A,FALSE,"mfg"}</definedName>
    <definedName name="abc38b" localSheetId="10" hidden="1">{"detail",#N/A,FALSE,"mfg";"summary",#N/A,FALSE,"mfg"}</definedName>
    <definedName name="abc38b" hidden="1">{"detail",#N/A,FALSE,"mfg";"summary",#N/A,FALSE,"mfg"}</definedName>
    <definedName name="abc41b" localSheetId="10" hidden="1">{"detail",#N/A,FALSE,"mfg";"summary",#N/A,FALSE,"mfg"}</definedName>
    <definedName name="abc41b" hidden="1">{"detail",#N/A,FALSE,"mfg";"summary",#N/A,FALSE,"mfg"}</definedName>
    <definedName name="abc42b" localSheetId="10" hidden="1">{"detail",#N/A,FALSE,"mfg";"summary",#N/A,FALSE,"mfg"}</definedName>
    <definedName name="abc42b" hidden="1">{"detail",#N/A,FALSE,"mfg";"summary",#N/A,FALSE,"mfg"}</definedName>
    <definedName name="abc51b" localSheetId="10" hidden="1">{"detail",#N/A,FALSE,"mfg";"summary",#N/A,FALSE,"mfg"}</definedName>
    <definedName name="abc51b" hidden="1">{"detail",#N/A,FALSE,"mfg";"summary",#N/A,FALSE,"mfg"}</definedName>
    <definedName name="abc61b" localSheetId="10" hidden="1">{"detail",#N/A,FALSE,"mfg";"summary",#N/A,FALSE,"mfg"}</definedName>
    <definedName name="abc61b" hidden="1">{"detail",#N/A,FALSE,"mfg";"summary",#N/A,FALSE,"mfg"}</definedName>
    <definedName name="abc67v" localSheetId="10" hidden="1">{#N/A,"PURCHM",FALSE,"Business Analysis";#N/A,"SPADD",FALSE,"Business Analysis"}</definedName>
    <definedName name="abc67v" hidden="1">{#N/A,"PURCHM",FALSE,"Business Analysis";#N/A,"SPADD",FALSE,"Business Analysis"}</definedName>
    <definedName name="abc71b" localSheetId="10" hidden="1">{"detail",#N/A,FALSE,"mfg";"summary",#N/A,FALSE,"mfg"}</definedName>
    <definedName name="abc71b" hidden="1">{"detail",#N/A,FALSE,"mfg";"summary",#N/A,FALSE,"mfg"}</definedName>
    <definedName name="abc9bn" localSheetId="10" hidden="1">{"detail",#N/A,FALSE,"mfg";"summary",#N/A,FALSE,"mfg"}</definedName>
    <definedName name="abc9bn" hidden="1">{"detail",#N/A,FALSE,"mfg";"summary",#N/A,FALSE,"mfg"}</definedName>
    <definedName name="abc9er" localSheetId="10" hidden="1">{"detail",#N/A,FALSE,"mfg";"summary",#N/A,FALSE,"mfg"}</definedName>
    <definedName name="abc9er" hidden="1">{"detail",#N/A,FALSE,"mfg";"summary",#N/A,FALSE,"mfg"}</definedName>
    <definedName name="abc9kn" localSheetId="10" hidden="1">{"detail",#N/A,FALSE,"mfg";"summary",#N/A,FALSE,"mfg"}</definedName>
    <definedName name="abc9kn" hidden="1">{"detail",#N/A,FALSE,"mfg";"summary",#N/A,FALSE,"mfg"}</definedName>
    <definedName name="abca312" localSheetId="10" hidden="1">{"detail",#N/A,FALSE,"mfg";"summary",#N/A,FALSE,"mfg"}</definedName>
    <definedName name="abca312" hidden="1">{"detail",#N/A,FALSE,"mfg";"summary",#N/A,FALSE,"mfg"}</definedName>
    <definedName name="abca312b" localSheetId="10" hidden="1">{"detail",#N/A,FALSE,"mfg";"summary",#N/A,FALSE,"mfg"}</definedName>
    <definedName name="abca312b" hidden="1">{"detail",#N/A,FALSE,"mfg";"summary",#N/A,FALSE,"mfg"}</definedName>
    <definedName name="abcd" localSheetId="10">#REF!</definedName>
    <definedName name="abcd">#REF!</definedName>
    <definedName name="abcd_1" localSheetId="10" hidden="1">{#N/A,#N/A,FALSE,"Aging Summary";#N/A,#N/A,FALSE,"Ratio Analysis";#N/A,#N/A,FALSE,"Test 120 Day Accts";#N/A,#N/A,FALSE,"Tickmarks"}</definedName>
    <definedName name="abcd_1" hidden="1">{#N/A,#N/A,FALSE,"Aging Summary";#N/A,#N/A,FALSE,"Ratio Analysis";#N/A,#N/A,FALSE,"Test 120 Day Accts";#N/A,#N/A,FALSE,"Tickmarks"}</definedName>
    <definedName name="abcd1" localSheetId="10" hidden="1">{#N/A,"PURCHM",FALSE,"Business Analysis";#N/A,"SPADD",FALSE,"Business Analysis"}</definedName>
    <definedName name="abcd1" hidden="1">{#N/A,"PURCHM",FALSE,"Business Analysis";#N/A,"SPADD",FALSE,"Business Analysis"}</definedName>
    <definedName name="abcd10" localSheetId="10" hidden="1">{#N/A,"PURCHM",FALSE,"Business Analysis";#N/A,"SPADD",FALSE,"Business Analysis"}</definedName>
    <definedName name="abcd10" hidden="1">{#N/A,"PURCHM",FALSE,"Business Analysis";#N/A,"SPADD",FALSE,"Business Analysis"}</definedName>
    <definedName name="abcd101" localSheetId="10" hidden="1">{#N/A,"PURCHM",FALSE,"Business Analysis";#N/A,"SPADD",FALSE,"Business Analysis"}</definedName>
    <definedName name="abcd101" hidden="1">{#N/A,"PURCHM",FALSE,"Business Analysis";#N/A,"SPADD",FALSE,"Business Analysis"}</definedName>
    <definedName name="abcd10a" localSheetId="10" hidden="1">{#N/A,"PURCHM",FALSE,"Business Analysis";#N/A,"SPADD",FALSE,"Business Analysis"}</definedName>
    <definedName name="abcd10a" hidden="1">{#N/A,"PURCHM",FALSE,"Business Analysis";#N/A,"SPADD",FALSE,"Business Analysis"}</definedName>
    <definedName name="abcd11" localSheetId="10" hidden="1">{#N/A,"PURCHM",FALSE,"Business Analysis";#N/A,"SPADD",FALSE,"Business Analysis"}</definedName>
    <definedName name="abcd11" hidden="1">{#N/A,"PURCHM",FALSE,"Business Analysis";#N/A,"SPADD",FALSE,"Business Analysis"}</definedName>
    <definedName name="abcd12" localSheetId="10" hidden="1">{#N/A,"PURCHM",FALSE,"Business Analysis";#N/A,"SPADD",FALSE,"Business Analysis"}</definedName>
    <definedName name="abcd12" hidden="1">{#N/A,"PURCHM",FALSE,"Business Analysis";#N/A,"SPADD",FALSE,"Business Analysis"}</definedName>
    <definedName name="abcd12b" localSheetId="10" hidden="1">{#N/A,"PURCHM",FALSE,"Business Analysis";#N/A,"SPADD",FALSE,"Business Analysis"}</definedName>
    <definedName name="abcd12b" hidden="1">{#N/A,"PURCHM",FALSE,"Business Analysis";#N/A,"SPADD",FALSE,"Business Analysis"}</definedName>
    <definedName name="abcd2" localSheetId="10" hidden="1">{#N/A,"PURCHM",FALSE,"Business Analysis";#N/A,"SPADD",FALSE,"Business Analysis"}</definedName>
    <definedName name="abcd2" hidden="1">{#N/A,"PURCHM",FALSE,"Business Analysis";#N/A,"SPADD",FALSE,"Business Analysis"}</definedName>
    <definedName name="abcd200" localSheetId="10" hidden="1">{#N/A,"PURCHM",FALSE,"Business Analysis";#N/A,"SPADD",FALSE,"Business Analysis"}</definedName>
    <definedName name="abcd200" hidden="1">{#N/A,"PURCHM",FALSE,"Business Analysis";#N/A,"SPADD",FALSE,"Business Analysis"}</definedName>
    <definedName name="abcd200b" localSheetId="10" hidden="1">{#N/A,"PURCHM",FALSE,"Business Analysis";#N/A,"SPADD",FALSE,"Business Analysis"}</definedName>
    <definedName name="abcd200b" hidden="1">{#N/A,"PURCHM",FALSE,"Business Analysis";#N/A,"SPADD",FALSE,"Business Analysis"}</definedName>
    <definedName name="abcd202" localSheetId="10" hidden="1">{#N/A,"PURCHM",FALSE,"Business Analysis";#N/A,"SPADD",FALSE,"Business Analysis"}</definedName>
    <definedName name="abcd202" hidden="1">{#N/A,"PURCHM",FALSE,"Business Analysis";#N/A,"SPADD",FALSE,"Business Analysis"}</definedName>
    <definedName name="abcd21" localSheetId="10" hidden="1">{#N/A,"PURCHM",FALSE,"Business Analysis";#N/A,"SPADD",FALSE,"Business Analysis"}</definedName>
    <definedName name="abcd21" hidden="1">{#N/A,"PURCHM",FALSE,"Business Analysis";#N/A,"SPADD",FALSE,"Business Analysis"}</definedName>
    <definedName name="abcd212" localSheetId="10" hidden="1">{#N/A,"PURCHM",FALSE,"Business Analysis";#N/A,"SPADD",FALSE,"Business Analysis"}</definedName>
    <definedName name="abcd212" hidden="1">{#N/A,"PURCHM",FALSE,"Business Analysis";#N/A,"SPADD",FALSE,"Business Analysis"}</definedName>
    <definedName name="abcd21225b" localSheetId="10" hidden="1">{#N/A,"PURCHM",FALSE,"Business Analysis";#N/A,"SPADD",FALSE,"Business Analysis"}</definedName>
    <definedName name="abcd21225b" hidden="1">{#N/A,"PURCHM",FALSE,"Business Analysis";#N/A,"SPADD",FALSE,"Business Analysis"}</definedName>
    <definedName name="abcd212b" localSheetId="10" hidden="1">{#N/A,"PURCHM",FALSE,"Business Analysis";#N/A,"SPADD",FALSE,"Business Analysis"}</definedName>
    <definedName name="abcd212b" hidden="1">{#N/A,"PURCHM",FALSE,"Business Analysis";#N/A,"SPADD",FALSE,"Business Analysis"}</definedName>
    <definedName name="abcd213" localSheetId="10" hidden="1">{#N/A,"PURCHM",FALSE,"Business Analysis";#N/A,"SPADD",FALSE,"Business Analysis"}</definedName>
    <definedName name="abcd213" hidden="1">{#N/A,"PURCHM",FALSE,"Business Analysis";#N/A,"SPADD",FALSE,"Business Analysis"}</definedName>
    <definedName name="abcd213b" localSheetId="10" hidden="1">{#N/A,"PURCHM",FALSE,"Business Analysis";#N/A,"SPADD",FALSE,"Business Analysis"}</definedName>
    <definedName name="abcd213b" hidden="1">{#N/A,"PURCHM",FALSE,"Business Analysis";#N/A,"SPADD",FALSE,"Business Analysis"}</definedName>
    <definedName name="abcd21kb" localSheetId="10" hidden="1">{#N/A,"PURCHM",FALSE,"Business Analysis";#N/A,"SPADD",FALSE,"Business Analysis"}</definedName>
    <definedName name="abcd21kb" hidden="1">{#N/A,"PURCHM",FALSE,"Business Analysis";#N/A,"SPADD",FALSE,"Business Analysis"}</definedName>
    <definedName name="abcd254" localSheetId="10" hidden="1">{#N/A,"PURCHM",FALSE,"Business Analysis";#N/A,"SPADD",FALSE,"Business Analysis"}</definedName>
    <definedName name="abcd254" hidden="1">{#N/A,"PURCHM",FALSE,"Business Analysis";#N/A,"SPADD",FALSE,"Business Analysis"}</definedName>
    <definedName name="abcd2ab" localSheetId="10" hidden="1">{#N/A,"PURCHM",FALSE,"Business Analysis";#N/A,"SPADD",FALSE,"Business Analysis"}</definedName>
    <definedName name="abcd2ab" hidden="1">{#N/A,"PURCHM",FALSE,"Business Analysis";#N/A,"SPADD",FALSE,"Business Analysis"}</definedName>
    <definedName name="abcd312" localSheetId="10" hidden="1">{#N/A,"PURCHM",FALSE,"Business Analysis";#N/A,"SPADD",FALSE,"Business Analysis"}</definedName>
    <definedName name="abcd312" hidden="1">{#N/A,"PURCHM",FALSE,"Business Analysis";#N/A,"SPADD",FALSE,"Business Analysis"}</definedName>
    <definedName name="abcd312bd" localSheetId="10" hidden="1">{#N/A,"PURCHM",FALSE,"Business Analysis";#N/A,"SPADD",FALSE,"Business Analysis"}</definedName>
    <definedName name="abcd312bd" hidden="1">{#N/A,"PURCHM",FALSE,"Business Analysis";#N/A,"SPADD",FALSE,"Business Analysis"}</definedName>
    <definedName name="abcd32" localSheetId="10" hidden="1">{#N/A,"PURCHM",FALSE,"Business Analysis";#N/A,"SPADD",FALSE,"Business Analysis"}</definedName>
    <definedName name="abcd32" hidden="1">{#N/A,"PURCHM",FALSE,"Business Analysis";#N/A,"SPADD",FALSE,"Business Analysis"}</definedName>
    <definedName name="abcd32b" localSheetId="10" hidden="1">{#N/A,"PURCHM",FALSE,"Business Analysis";#N/A,"SPADD",FALSE,"Business Analysis"}</definedName>
    <definedName name="abcd32b" hidden="1">{#N/A,"PURCHM",FALSE,"Business Analysis";#N/A,"SPADD",FALSE,"Business Analysis"}</definedName>
    <definedName name="abcd33" localSheetId="10" hidden="1">{"detail",#N/A,FALSE,"mfg";"summary",#N/A,FALSE,"mfg"}</definedName>
    <definedName name="abcd33" hidden="1">{"detail",#N/A,FALSE,"mfg";"summary",#N/A,FALSE,"mfg"}</definedName>
    <definedName name="abcd33b" localSheetId="10" hidden="1">{"detail",#N/A,FALSE,"mfg";"summary",#N/A,FALSE,"mfg"}</definedName>
    <definedName name="abcd33b" hidden="1">{"detail",#N/A,FALSE,"mfg";"summary",#N/A,FALSE,"mfg"}</definedName>
    <definedName name="abcd34" localSheetId="10" hidden="1">{#N/A,"PURCHM",FALSE,"Business Analysis";#N/A,"SPADD",FALSE,"Business Analysis"}</definedName>
    <definedName name="abcd34" hidden="1">{#N/A,"PURCHM",FALSE,"Business Analysis";#N/A,"SPADD",FALSE,"Business Analysis"}</definedName>
    <definedName name="abcd34b" localSheetId="10" hidden="1">{#N/A,"PURCHM",FALSE,"Business Analysis";#N/A,"SPADD",FALSE,"Business Analysis"}</definedName>
    <definedName name="abcd34b" hidden="1">{#N/A,"PURCHM",FALSE,"Business Analysis";#N/A,"SPADD",FALSE,"Business Analysis"}</definedName>
    <definedName name="abcd35" localSheetId="10" hidden="1">{#N/A,"PURCHM",FALSE,"Business Analysis";#N/A,"SPADD",FALSE,"Business Analysis"}</definedName>
    <definedName name="abcd35" hidden="1">{#N/A,"PURCHM",FALSE,"Business Analysis";#N/A,"SPADD",FALSE,"Business Analysis"}</definedName>
    <definedName name="abcd35b" localSheetId="10" hidden="1">{#N/A,"PURCHM",FALSE,"Business Analysis";#N/A,"SPADD",FALSE,"Business Analysis"}</definedName>
    <definedName name="abcd35b" hidden="1">{#N/A,"PURCHM",FALSE,"Business Analysis";#N/A,"SPADD",FALSE,"Business Analysis"}</definedName>
    <definedName name="abcd36" localSheetId="10" hidden="1">{"detail",#N/A,FALSE,"mfg";"summary",#N/A,FALSE,"mfg"}</definedName>
    <definedName name="abcd36" hidden="1">{"detail",#N/A,FALSE,"mfg";"summary",#N/A,FALSE,"mfg"}</definedName>
    <definedName name="abcd36b" localSheetId="10" hidden="1">{"detail",#N/A,FALSE,"mfg";"summary",#N/A,FALSE,"mfg"}</definedName>
    <definedName name="abcd36b" hidden="1">{"detail",#N/A,FALSE,"mfg";"summary",#N/A,FALSE,"mfg"}</definedName>
    <definedName name="abcd39" localSheetId="10" hidden="1">{#N/A,"PURCHM",FALSE,"Business Analysis";#N/A,"SPADD",FALSE,"Business Analysis"}</definedName>
    <definedName name="abcd39" hidden="1">{#N/A,"PURCHM",FALSE,"Business Analysis";#N/A,"SPADD",FALSE,"Business Analysis"}</definedName>
    <definedName name="abcd39bd" localSheetId="10" hidden="1">{#N/A,"PURCHM",FALSE,"Business Analysis";#N/A,"SPADD",FALSE,"Business Analysis"}</definedName>
    <definedName name="abcd39bd" hidden="1">{#N/A,"PURCHM",FALSE,"Business Analysis";#N/A,"SPADD",FALSE,"Business Analysis"}</definedName>
    <definedName name="ABCD41" localSheetId="10" hidden="1">{#N/A,"PURCHM",FALSE,"Business Analysis";#N/A,"SPADD",FALSE,"Business Analysis"}</definedName>
    <definedName name="ABCD41" hidden="1">{#N/A,"PURCHM",FALSE,"Business Analysis";#N/A,"SPADD",FALSE,"Business Analysis"}</definedName>
    <definedName name="abcd412" localSheetId="10" hidden="1">{#N/A,"PURCHM",FALSE,"Business Analysis";#N/A,"SPADD",FALSE,"Business Analysis"}</definedName>
    <definedName name="abcd412" hidden="1">{#N/A,"PURCHM",FALSE,"Business Analysis";#N/A,"SPADD",FALSE,"Business Analysis"}</definedName>
    <definedName name="abcd412bd" localSheetId="10" hidden="1">{#N/A,"PURCHM",FALSE,"Business Analysis";#N/A,"SPADD",FALSE,"Business Analysis"}</definedName>
    <definedName name="abcd412bd" hidden="1">{#N/A,"PURCHM",FALSE,"Business Analysis";#N/A,"SPADD",FALSE,"Business Analysis"}</definedName>
    <definedName name="abcd41bd" localSheetId="10" hidden="1">{#N/A,"PURCHM",FALSE,"Business Analysis";#N/A,"SPADD",FALSE,"Business Analysis"}</definedName>
    <definedName name="abcd41bd" hidden="1">{#N/A,"PURCHM",FALSE,"Business Analysis";#N/A,"SPADD",FALSE,"Business Analysis"}</definedName>
    <definedName name="abcd42" localSheetId="10" hidden="1">{#N/A,"PURCHM",FALSE,"Business Analysis";#N/A,"SPADD",FALSE,"Business Analysis"}</definedName>
    <definedName name="abcd42" hidden="1">{#N/A,"PURCHM",FALSE,"Business Analysis";#N/A,"SPADD",FALSE,"Business Analysis"}</definedName>
    <definedName name="abcd42bd" localSheetId="10" hidden="1">{#N/A,"PURCHM",FALSE,"Business Analysis";#N/A,"SPADD",FALSE,"Business Analysis"}</definedName>
    <definedName name="abcd42bd" hidden="1">{#N/A,"PURCHM",FALSE,"Business Analysis";#N/A,"SPADD",FALSE,"Business Analysis"}</definedName>
    <definedName name="abcd45" localSheetId="10" hidden="1">{#N/A,"PURCHM",FALSE,"Business Analysis";#N/A,"SPADD",FALSE,"Business Analysis"}</definedName>
    <definedName name="abcd45" hidden="1">{#N/A,"PURCHM",FALSE,"Business Analysis";#N/A,"SPADD",FALSE,"Business Analysis"}</definedName>
    <definedName name="abcd45bd" localSheetId="10" hidden="1">{#N/A,"PURCHM",FALSE,"Business Analysis";#N/A,"SPADD",FALSE,"Business Analysis"}</definedName>
    <definedName name="abcd45bd" hidden="1">{#N/A,"PURCHM",FALSE,"Business Analysis";#N/A,"SPADD",FALSE,"Business Analysis"}</definedName>
    <definedName name="abcd50" localSheetId="10" hidden="1">{#N/A,"PURCHM",FALSE,"Business Analysis";#N/A,"SPADD",FALSE,"Business Analysis"}</definedName>
    <definedName name="abcd50" hidden="1">{#N/A,"PURCHM",FALSE,"Business Analysis";#N/A,"SPADD",FALSE,"Business Analysis"}</definedName>
    <definedName name="abcd51" localSheetId="10" hidden="1">{#N/A,"PURCHM",FALSE,"Business Analysis";#N/A,"SPADD",FALSE,"Business Analysis"}</definedName>
    <definedName name="abcd51" hidden="1">{#N/A,"PURCHM",FALSE,"Business Analysis";#N/A,"SPADD",FALSE,"Business Analysis"}</definedName>
    <definedName name="abcd51bd" localSheetId="10" hidden="1">{#N/A,"PURCHM",FALSE,"Business Analysis";#N/A,"SPADD",FALSE,"Business Analysis"}</definedName>
    <definedName name="abcd51bd" hidden="1">{#N/A,"PURCHM",FALSE,"Business Analysis";#N/A,"SPADD",FALSE,"Business Analysis"}</definedName>
    <definedName name="abcd61" localSheetId="10" hidden="1">{#N/A,"PURCHM",FALSE,"Business Analysis";#N/A,"SPADD",FALSE,"Business Analysis"}</definedName>
    <definedName name="abcd61" hidden="1">{#N/A,"PURCHM",FALSE,"Business Analysis";#N/A,"SPADD",FALSE,"Business Analysis"}</definedName>
    <definedName name="abcd61bd" localSheetId="10" hidden="1">{#N/A,"PURCHM",FALSE,"Business Analysis";#N/A,"SPADD",FALSE,"Business Analysis"}</definedName>
    <definedName name="abcd61bd" hidden="1">{#N/A,"PURCHM",FALSE,"Business Analysis";#N/A,"SPADD",FALSE,"Business Analysis"}</definedName>
    <definedName name="abcd71" localSheetId="10" hidden="1">{#N/A,"PURCHM",FALSE,"Business Analysis";#N/A,"SPADD",FALSE,"Business Analysis"}</definedName>
    <definedName name="abcd71" hidden="1">{#N/A,"PURCHM",FALSE,"Business Analysis";#N/A,"SPADD",FALSE,"Business Analysis"}</definedName>
    <definedName name="abcd71bd" localSheetId="10" hidden="1">{#N/A,"PURCHM",FALSE,"Business Analysis";#N/A,"SPADD",FALSE,"Business Analysis"}</definedName>
    <definedName name="abcd71bd" hidden="1">{#N/A,"PURCHM",FALSE,"Business Analysis";#N/A,"SPADD",FALSE,"Business Analysis"}</definedName>
    <definedName name="abcd90" localSheetId="10" hidden="1">{#N/A,"PURCHM",FALSE,"Business Analysis";#N/A,"SPADD",FALSE,"Business Analysis"}</definedName>
    <definedName name="abcd90" hidden="1">{#N/A,"PURCHM",FALSE,"Business Analysis";#N/A,"SPADD",FALSE,"Business Analysis"}</definedName>
    <definedName name="abcd98b" localSheetId="10" hidden="1">{#N/A,"PURCHM",FALSE,"Business Analysis";#N/A,"SPADD",FALSE,"Business Analysis"}</definedName>
    <definedName name="abcd98b" hidden="1">{#N/A,"PURCHM",FALSE,"Business Analysis";#N/A,"SPADD",FALSE,"Business Analysis"}</definedName>
    <definedName name="abcda" localSheetId="10" hidden="1">{#N/A,"PURCHM",FALSE,"Business Analysis";#N/A,"SPADD",FALSE,"Business Analysis"}</definedName>
    <definedName name="abcda" hidden="1">{#N/A,"PURCHM",FALSE,"Business Analysis";#N/A,"SPADD",FALSE,"Business Analysis"}</definedName>
    <definedName name="abcda101" localSheetId="10" hidden="1">{#N/A,"PURCHM",FALSE,"Business Analysis";#N/A,"SPADD",FALSE,"Business Analysis"}</definedName>
    <definedName name="abcda101" hidden="1">{#N/A,"PURCHM",FALSE,"Business Analysis";#N/A,"SPADD",FALSE,"Business Analysis"}</definedName>
    <definedName name="ABCDE" localSheetId="10" hidden="1">{#N/A,#N/A,FALSE,"Projections";#N/A,#N/A,FALSE,"Multiples Valuation";#N/A,#N/A,FALSE,"LBO";#N/A,#N/A,FALSE,"Multiples_Sensitivity";#N/A,#N/A,FALSE,"Summary"}</definedName>
    <definedName name="ABCDE" hidden="1">{#N/A,#N/A,FALSE,"Projections";#N/A,#N/A,FALSE,"Multiples Valuation";#N/A,#N/A,FALSE,"LBO";#N/A,#N/A,FALSE,"Multiples_Sensitivity";#N/A,#N/A,FALSE,"Summary"}</definedName>
    <definedName name="abcdef">#REF!</definedName>
    <definedName name="abcdefg">#REF!</definedName>
    <definedName name="abcdefgh">#REF!</definedName>
    <definedName name="abcdmibh" localSheetId="10" hidden="1">{#N/A,"PURCHM",FALSE,"Business Analysis";#N/A,"SPADD",FALSE,"Business Analysis"}</definedName>
    <definedName name="abcdmibh" hidden="1">{#N/A,"PURCHM",FALSE,"Business Analysis";#N/A,"SPADD",FALSE,"Business Analysis"}</definedName>
    <definedName name="abcdv102" localSheetId="10" hidden="1">{#N/A,"PURCHM",FALSE,"Business Analysis";#N/A,"SPADD",FALSE,"Business Analysis"}</definedName>
    <definedName name="abcdv102" hidden="1">{#N/A,"PURCHM",FALSE,"Business Analysis";#N/A,"SPADD",FALSE,"Business Analysis"}</definedName>
    <definedName name="abcdv102d" localSheetId="10" hidden="1">{#N/A,"PURCHM",FALSE,"Business Analysis";#N/A,"SPADD",FALSE,"Business Analysis"}</definedName>
    <definedName name="abcdv102d" hidden="1">{#N/A,"PURCHM",FALSE,"Business Analysis";#N/A,"SPADD",FALSE,"Business Analysis"}</definedName>
    <definedName name="abci9" localSheetId="10" hidden="1">{#N/A,"PURCHM",FALSE,"Business Analysis";#N/A,"SPADD",FALSE,"Business Analysis"}</definedName>
    <definedName name="abci9" hidden="1">{#N/A,"PURCHM",FALSE,"Business Analysis";#N/A,"SPADD",FALSE,"Business Analysis"}</definedName>
    <definedName name="abci92" localSheetId="10" hidden="1">{#N/A,"PURCHM",FALSE,"Business Analysis";#N/A,"SPADD",FALSE,"Business Analysis"}</definedName>
    <definedName name="abci92" hidden="1">{#N/A,"PURCHM",FALSE,"Business Analysis";#N/A,"SPADD",FALSE,"Business Analysis"}</definedName>
    <definedName name="abcj9i" localSheetId="10" hidden="1">{"detail",#N/A,FALSE,"mfg";"summary",#N/A,FALSE,"mfg"}</definedName>
    <definedName name="abcj9i" hidden="1">{"detail",#N/A,FALSE,"mfg";"summary",#N/A,FALSE,"mfg"}</definedName>
    <definedName name="abckg" localSheetId="10" hidden="1">{#N/A,"PURCHM",FALSE,"Business Analysis";#N/A,"SPADD",FALSE,"Business Analysis"}</definedName>
    <definedName name="abckg" hidden="1">{#N/A,"PURCHM",FALSE,"Business Analysis";#N/A,"SPADD",FALSE,"Business Analysis"}</definedName>
    <definedName name="abcklg" localSheetId="10" hidden="1">{"detail",#N/A,FALSE,"mfg";"summary",#N/A,FALSE,"mfg"}</definedName>
    <definedName name="abcklg" hidden="1">{"detail",#N/A,FALSE,"mfg";"summary",#N/A,FALSE,"mfg"}</definedName>
    <definedName name="abcl96\" localSheetId="10" hidden="1">{#N/A,"PURCHM",FALSE,"Business Analysis";#N/A,"SPADD",FALSE,"Business Analysis"}</definedName>
    <definedName name="abcl96\" hidden="1">{#N/A,"PURCHM",FALSE,"Business Analysis";#N/A,"SPADD",FALSE,"Business Analysis"}</definedName>
    <definedName name="abclkj" localSheetId="10" hidden="1">{"detail",#N/A,FALSE,"mfg";"summary",#N/A,FALSE,"mfg"}</definedName>
    <definedName name="abclkj" hidden="1">{"detail",#N/A,FALSE,"mfg";"summary",#N/A,FALSE,"mfg"}</definedName>
    <definedName name="abclxs" localSheetId="10" hidden="1">{"detail",#N/A,FALSE,"mfg";"summary",#N/A,FALSE,"mfg"}</definedName>
    <definedName name="abclxs" hidden="1">{"detail",#N/A,FALSE,"mfg";"summary",#N/A,FALSE,"mfg"}</definedName>
    <definedName name="abcoi" localSheetId="10" hidden="1">{"detail",#N/A,FALSE,"mfg";"summary",#N/A,FALSE,"mfg"}</definedName>
    <definedName name="abcoi" hidden="1">{"detail",#N/A,FALSE,"mfg";"summary",#N/A,FALSE,"mfg"}</definedName>
    <definedName name="abcois" localSheetId="10" hidden="1">{"detail",#N/A,FALSE,"mfg";"summary",#N/A,FALSE,"mfg"}</definedName>
    <definedName name="abcois" hidden="1">{"detail",#N/A,FALSE,"mfg";"summary",#N/A,FALSE,"mfg"}</definedName>
    <definedName name="abji" localSheetId="10" hidden="1">{#N/A,"PURCHM",FALSE,"Business Analysis";#N/A,"SPADD",FALSE,"Business Analysis"}</definedName>
    <definedName name="abji" hidden="1">{#N/A,"PURCHM",FALSE,"Business Analysis";#N/A,"SPADD",FALSE,"Business Analysis"}</definedName>
    <definedName name="abki9" localSheetId="10" hidden="1">{#N/A,"PURCHM",FALSE,"Business Analysis";#N/A,"SPADD",FALSE,"Business Analysis"}</definedName>
    <definedName name="abki9" hidden="1">{#N/A,"PURCHM",FALSE,"Business Analysis";#N/A,"SPADD",FALSE,"Business Analysis"}</definedName>
    <definedName name="ABLE" localSheetId="10">#REF!</definedName>
    <definedName name="ABLE">#REF!</definedName>
    <definedName name="ablo5" localSheetId="10" hidden="1">{#N/A,"PURCHM",FALSE,"Business Analysis";#N/A,"SPADD",FALSE,"Business Analysis"}</definedName>
    <definedName name="ablo5" hidden="1">{#N/A,"PURCHM",FALSE,"Business Analysis";#N/A,"SPADD",FALSE,"Business Analysis"}</definedName>
    <definedName name="ABN" localSheetId="10" hidden="1">{"'PXR_6500'!$A$1:$I$124"}</definedName>
    <definedName name="ABN" hidden="1">{"'PXR_6500'!$A$1:$I$124"}</definedName>
    <definedName name="Abrisa" localSheetId="10" hidden="1">{"FY04_Assets",#N/A,FALSE,"Fin Stmt Budget";"FY04_Liabilities",#N/A,FALSE,"Fin Stmt Budget";"FY04_Inc_Stmt",#N/A,FALSE,"Fin Stmt Budget";"FY04_SOCF",#N/A,FALSE,"Fin Stmt Budget"}</definedName>
    <definedName name="Abrisa" localSheetId="15" hidden="1">{"FY04_Assets",#N/A,FALSE,"Fin Stmt Budget";"FY04_Liabilities",#N/A,FALSE,"Fin Stmt Budget";"FY04_Inc_Stmt",#N/A,FALSE,"Fin Stmt Budget";"FY04_SOCF",#N/A,FALSE,"Fin Stmt Budget"}</definedName>
    <definedName name="Abrisa" hidden="1">{"FY04_Assets",#N/A,FALSE,"Fin Stmt Budget";"FY04_Liabilities",#N/A,FALSE,"Fin Stmt Budget";"FY04_Inc_Stmt",#N/A,FALSE,"Fin Stmt Budget";"FY04_SOCF",#N/A,FALSE,"Fin Stmt Budget"}</definedName>
    <definedName name="ABS"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ABS">REPT(LOCAL_YEAR_FORMAT,4)&amp;LOCAL_DATE_SEPARATOR&amp;REPT(LOCAL_MONTH_FORMAT,2)&amp;LOCAL_DATE_SEPARATOR&amp;REPT(LOCAL_DAY_FORMAT,2)&amp;" "&amp;REPT(LOCAL_HOUR_FORMAT,2)&amp;LOCAL_TIME_SEPARATOR&amp;REPT(LOCAL_MINUTE_FORMAT,2)&amp;LOCAL_TIME_SEPARATOR&amp;REPT(LOCAL_SECOND_FORMAT,2)</definedName>
    <definedName name="abv" localSheetId="10"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c" localSheetId="10">#REF!</definedName>
    <definedName name="ac">#REF!</definedName>
    <definedName name="Acadia" localSheetId="10" hidden="1">{"calspreads",#N/A,FALSE,"Sheet1";"curves",#N/A,FALSE,"Sheet1";"libor",#N/A,FALSE,"Sheet1"}</definedName>
    <definedName name="Acadia" localSheetId="15" hidden="1">{"calspreads",#N/A,FALSE,"Sheet1";"curves",#N/A,FALSE,"Sheet1";"libor",#N/A,FALSE,"Sheet1"}</definedName>
    <definedName name="Acadia" hidden="1">{"calspreads",#N/A,FALSE,"Sheet1";"curves",#N/A,FALSE,"Sheet1";"libor",#N/A,FALSE,"Sheet1"}</definedName>
    <definedName name="acc" localSheetId="10" hidden="1">{"Accretion",#N/A,FALSE,"Assum"}</definedName>
    <definedName name="acc" localSheetId="15" hidden="1">{"Accretion",#N/A,FALSE,"Assum"}</definedName>
    <definedName name="acc" hidden="1">{"Accretion",#N/A,FALSE,"Assum"}</definedName>
    <definedName name="accc" localSheetId="10"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ess_Button" hidden="1">"FIGBUS_FIGBUS_List"</definedName>
    <definedName name="AccessDatabase" hidden="1">"C:\DATA\Kevin\Kevin's Model.mdb"</definedName>
    <definedName name="ACCGRPLUP">#REF!</definedName>
    <definedName name="Accnt_AccntNumber">#REF!</definedName>
    <definedName name="Account_Balance">#REF!</definedName>
    <definedName name="AccountGroupCode">#REF!</definedName>
    <definedName name="Accounts">#REF!</definedName>
    <definedName name="accred">#REF!</definedName>
    <definedName name="ACCRUEDLIAB">#REF!</definedName>
    <definedName name="accs" localSheetId="10" hidden="1">{"detail",#N/A,FALSE,"mfg";"summary",#N/A,FALSE,"mfg"}</definedName>
    <definedName name="accs" hidden="1">{"detail",#N/A,FALSE,"mfg";"summary",#N/A,FALSE,"mfg"}</definedName>
    <definedName name="ACCTGRPCOD" localSheetId="10">#REF!</definedName>
    <definedName name="ACCTGRPCOD">#REF!</definedName>
    <definedName name="ACCTGRPDES" localSheetId="10">#REF!</definedName>
    <definedName name="ACCTGRPDES">#REF!</definedName>
    <definedName name="acob" localSheetId="10" hidden="1">{"'Form'!$A$2:$J$81"}</definedName>
    <definedName name="acob" localSheetId="15" hidden="1">{"'Form'!$A$2:$J$81"}</definedName>
    <definedName name="acob" hidden="1">{"'Form'!$A$2:$J$81"}</definedName>
    <definedName name="act" localSheetId="10" hidden="1">{#N/A,#N/A,FALSE,"Hoja10";#N/A,#N/A,FALSE,"Hoja9";#N/A,#N/A,FALSE,"Hoja8";#N/A,#N/A,FALSE,"Hoja7";#N/A,#N/A,FALSE,"Hoja6";#N/A,#N/A,FALSE,"Hoja5";#N/A,#N/A,FALSE,"Hoja4";#N/A,#N/A,FALSE,"Hoja2";#N/A,#N/A,FALSE,"Hoja3";#N/A,#N/A,FALSE,"HOJA1";#N/A,#N/A,FALSE,"CashFlow";#N/A,#N/A,FALSE,"FinStmts"}</definedName>
    <definedName name="act" localSheetId="15" hidden="1">{#N/A,#N/A,FALSE,"Hoja10";#N/A,#N/A,FALSE,"Hoja9";#N/A,#N/A,FALSE,"Hoja8";#N/A,#N/A,FALSE,"Hoja7";#N/A,#N/A,FALSE,"Hoja6";#N/A,#N/A,FALSE,"Hoja5";#N/A,#N/A,FALSE,"Hoja4";#N/A,#N/A,FALSE,"Hoja2";#N/A,#N/A,FALSE,"Hoja3";#N/A,#N/A,FALSE,"HOJA1";#N/A,#N/A,FALSE,"CashFlow";#N/A,#N/A,FALSE,"FinStmts"}</definedName>
    <definedName name="act" hidden="1">{#N/A,#N/A,FALSE,"Hoja10";#N/A,#N/A,FALSE,"Hoja9";#N/A,#N/A,FALSE,"Hoja8";#N/A,#N/A,FALSE,"Hoja7";#N/A,#N/A,FALSE,"Hoja6";#N/A,#N/A,FALSE,"Hoja5";#N/A,#N/A,FALSE,"Hoja4";#N/A,#N/A,FALSE,"Hoja2";#N/A,#N/A,FALSE,"Hoja3";#N/A,#N/A,FALSE,"HOJA1";#N/A,#N/A,FALSE,"CashFlow";#N/A,#N/A,FALSE,"FinStmts"}</definedName>
    <definedName name="actionplan" localSheetId="10"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EmployeeDepartment" hidden="1">#REF!</definedName>
    <definedName name="ActiveEmployees" hidden="1">#REF!</definedName>
    <definedName name="Actual" localSheetId="10">#REF!</definedName>
    <definedName name="Actual">#REF!</definedName>
    <definedName name="Actual2005Adjusted" localSheetId="10" hidden="1">{"'Graphs'!$H$5"}</definedName>
    <definedName name="Actual2005Adjusted">{"'Graphs'!$H$5"}</definedName>
    <definedName name="ActualMarginYOY" localSheetId="10" hidden="1">{#N/A,#N/A,FALSE,"Hoja10";#N/A,#N/A,FALSE,"Hoja9";#N/A,#N/A,FALSE,"Hoja8";#N/A,#N/A,FALSE,"Hoja7";#N/A,#N/A,FALSE,"Hoja6";#N/A,#N/A,FALSE,"Hoja5";#N/A,#N/A,FALSE,"Hoja4";#N/A,#N/A,FALSE,"Hoja2";#N/A,#N/A,FALSE,"Hoja3";#N/A,#N/A,FALSE,"HOJA1";#N/A,#N/A,FALSE,"CashFlow";#N/A,#N/A,FALSE,"FinStmts"}</definedName>
    <definedName name="ActualMarginYOY" localSheetId="15"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ualNumberOfPayments" localSheetId="10">#REF!</definedName>
    <definedName name="ActualNumberOfPayments">#REF!</definedName>
    <definedName name="ActualNums" localSheetId="10">#REF!</definedName>
    <definedName name="ActualNums">#REF!</definedName>
    <definedName name="ACwvu.CapersView." localSheetId="10" hidden="1">#REF!</definedName>
    <definedName name="ACwvu.CapersView." localSheetId="9" hidden="1">#REF!</definedName>
    <definedName name="ACwvu.CapersView." localSheetId="8" hidden="1">#REF!</definedName>
    <definedName name="ACwvu.CapersView." localSheetId="16" hidden="1">#REF!</definedName>
    <definedName name="ACwvu.CapersView." hidden="1">#REF!</definedName>
    <definedName name="ACwvu.Japan_Capers_Ed_Pub." hidden="1">#REF!</definedName>
    <definedName name="ACwvu.KJP_CC." hidden="1">#REF!</definedName>
    <definedName name="ACwvu.Summary." hidden="1">#REF!</definedName>
    <definedName name="ACwvu.summary1." hidden="1">#REF!</definedName>
    <definedName name="ACwvu.summary2." hidden="1">#REF!</definedName>
    <definedName name="ACwvu.summary3." hidden="1">#REF!</definedName>
    <definedName name="AD" localSheetId="10" hidden="1">{#N/A,#N/A,FALSE,"Aging Summary";#N/A,#N/A,FALSE,"Ratio Analysis";#N/A,#N/A,FALSE,"Test 120 Day Accts";#N/A,#N/A,FALSE,"Tickmarks"}</definedName>
    <definedName name="AD" localSheetId="15" hidden="1">{#N/A,#N/A,FALSE,"Aging Summary";#N/A,#N/A,FALSE,"Ratio Analysis";#N/A,#N/A,FALSE,"Test 120 Day Accts";#N/A,#N/A,FALSE,"Tickmarks"}</definedName>
    <definedName name="AD" hidden="1">{#N/A,#N/A,FALSE,"Aging Summary";#N/A,#N/A,FALSE,"Ratio Analysis";#N/A,#N/A,FALSE,"Test 120 Day Accts";#N/A,#N/A,FALSE,"Tickmarks"}</definedName>
    <definedName name="adaada" hidden="1">#REF!</definedName>
    <definedName name="adadas" localSheetId="10" hidden="1">{"COMBINED",#N/A,FALSE,"BALANCE SHEET";"KRONE",#N/A,FALSE,"BALANCE SHEET";"PENNTECH",#N/A,FALSE,"BALANCE SHEET";"INTERSYSTEMS",#N/A,FALSE,"BALANCE SHEET";"COMBINED",#N/A,FALSE,"USCASH";"KRONE",#N/A,FALSE,"USCASH";"PENNTECH",#N/A,FALSE,"USCASH";"INTERSYSTEMS",#N/A,FALSE,"USCASH"}</definedName>
    <definedName name="adadas" hidden="1">{"COMBINED",#N/A,FALSE,"BALANCE SHEET";"KRONE",#N/A,FALSE,"BALANCE SHEET";"PENNTECH",#N/A,FALSE,"BALANCE SHEET";"INTERSYSTEMS",#N/A,FALSE,"BALANCE SHEET";"COMBINED",#N/A,FALSE,"USCASH";"KRONE",#N/A,FALSE,"USCASH";"PENNTECH",#N/A,FALSE,"USCASH";"INTERSYSTEMS",#N/A,FALSE,"USCASH"}</definedName>
    <definedName name="adafdsfads" localSheetId="10" hidden="1">{"Commish",#N/A,FALSE,"LAWTC"}</definedName>
    <definedName name="adafdsfads" hidden="1">{"Commish",#N/A,FALSE,"LAWTC"}</definedName>
    <definedName name="adam" localSheetId="10" hidden="1">{#N/A,#N/A,FALSE,"TS";#N/A,#N/A,FALSE,"Combo";#N/A,#N/A,FALSE,"FAIR";#N/A,#N/A,FALSE,"RBC";#N/A,#N/A,FALSE,"xxxx";#N/A,#N/A,FALSE,"A_D";#N/A,#N/A,FALSE,"WACC";#N/A,#N/A,FALSE,"DCF";#N/A,#N/A,FALSE,"LBO";#N/A,#N/A,FALSE,"AcqMults";#N/A,#N/A,FALSE,"CompMults"}</definedName>
    <definedName name="adam" hidden="1">{#N/A,#N/A,FALSE,"TS";#N/A,#N/A,FALSE,"Combo";#N/A,#N/A,FALSE,"FAIR";#N/A,#N/A,FALSE,"RBC";#N/A,#N/A,FALSE,"xxxx";#N/A,#N/A,FALSE,"A_D";#N/A,#N/A,FALSE,"WACC";#N/A,#N/A,FALSE,"DCF";#N/A,#N/A,FALSE,"LBO";#N/A,#N/A,FALSE,"AcqMults";#N/A,#N/A,FALSE,"CompMults"}</definedName>
    <definedName name="adas" hidden="1">#REF!</definedName>
    <definedName name="adasd" localSheetId="10" hidden="1">{#N/A,#N/A,FALSE,"KA CH  (2)"}</definedName>
    <definedName name="adasd" hidden="1">{#N/A,#N/A,FALSE,"KA CH  (2)"}</definedName>
    <definedName name="adc" localSheetId="10" hidden="1">{#N/A,"PURCHM",FALSE,"Business Analysis";#N/A,"SPADD",FALSE,"Business Analysis"}</definedName>
    <definedName name="adc" hidden="1">{#N/A,"PURCHM",FALSE,"Business Analysis";#N/A,"SPADD",FALSE,"Business Analysis"}</definedName>
    <definedName name="add" localSheetId="10" hidden="1">{#N/A,#N/A,FALSE,"Combined LongSheet"}</definedName>
    <definedName name="add" hidden="1">{#N/A,#N/A,FALSE,"Combined LongSheet"}</definedName>
    <definedName name="AdditionalParameters" localSheetId="10">#REF!</definedName>
    <definedName name="AdditionalParameters">#REF!</definedName>
    <definedName name="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_Activity_By_Tier_Range" hidden="1">#REF!</definedName>
    <definedName name="ADF_Activity_Detail_Range" hidden="1">#REF!</definedName>
    <definedName name="ADF_Fund_Report_Range" hidden="1">#REF!</definedName>
    <definedName name="adfad" localSheetId="10" hidden="1">#REF!</definedName>
    <definedName name="adfad" localSheetId="9" hidden="1">#REF!</definedName>
    <definedName name="adfad" localSheetId="8" hidden="1">#REF!</definedName>
    <definedName name="adfad" localSheetId="16" hidden="1">#REF!</definedName>
    <definedName name="adfad" hidden="1">#REF!</definedName>
    <definedName name="adfadf" localSheetId="10" hidden="1">{"'Sheet1'!$A$1:$J$121"}</definedName>
    <definedName name="adfadf" hidden="1">{"'Sheet1'!$A$1:$J$121"}</definedName>
    <definedName name="adfadf_1" localSheetId="10" hidden="1">{"'Sheet1'!$A$1:$J$121"}</definedName>
    <definedName name="adfadf_1" hidden="1">{"'Sheet1'!$A$1:$J$121"}</definedName>
    <definedName name="adfadf_2" localSheetId="10" hidden="1">{"'Sheet1'!$A$1:$J$121"}</definedName>
    <definedName name="adfadf_2" hidden="1">{"'Sheet1'!$A$1:$J$121"}</definedName>
    <definedName name="adfadf_3" localSheetId="10" hidden="1">{"'Sheet1'!$A$1:$J$121"}</definedName>
    <definedName name="adfadf_3" hidden="1">{"'Sheet1'!$A$1:$J$121"}</definedName>
    <definedName name="adfadf_4" localSheetId="10" hidden="1">{"'Sheet1'!$A$1:$J$121"}</definedName>
    <definedName name="adfadf_4" hidden="1">{"'Sheet1'!$A$1:$J$121"}</definedName>
    <definedName name="adfadf_5" localSheetId="10" hidden="1">{"'Sheet1'!$A$1:$J$121"}</definedName>
    <definedName name="adfadf_5" hidden="1">{"'Sheet1'!$A$1:$J$121"}</definedName>
    <definedName name="adfadfasfd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fasdfasdf" localSheetId="10" hidden="1">{"page 1",#N/A,FALSE,"A";"page 2",#N/A,FALSE,"A";"page 3",#N/A,FALSE,"A";"page 4",#N/A,FALSE,"A";"page 5",#N/A,FALSE,"A";"page 6",#N/A,FALSE,"A";"page 7",#N/A,FALSE,"A";"page 8",#N/A,FALSE,"A";"page 9",#N/A,FALSE,"A";"page 10",#N/A,FALSE,"A";"page 11",#N/A,FALSE,"A";"page 12",#N/A,FALSE,"A";"page 13",#N/A,FALSE,"A";"page 14",#N/A,FALSE,"A"}</definedName>
    <definedName name="adfadsfasdfasdf" localSheetId="15" hidden="1">{"page 1",#N/A,FALSE,"A";"page 2",#N/A,FALSE,"A";"page 3",#N/A,FALSE,"A";"page 4",#N/A,FALSE,"A";"page 5",#N/A,FALSE,"A";"page 6",#N/A,FALSE,"A";"page 7",#N/A,FALSE,"A";"page 8",#N/A,FALSE,"A";"page 9",#N/A,FALSE,"A";"page 10",#N/A,FALSE,"A";"page 11",#N/A,FALSE,"A";"page 12",#N/A,FALSE,"A";"page 13",#N/A,FALSE,"A";"page 14",#N/A,FALSE,"A"}</definedName>
    <definedName name="adfadsfasdfasdf" hidden="1">{"page 1",#N/A,FALSE,"A";"page 2",#N/A,FALSE,"A";"page 3",#N/A,FALSE,"A";"page 4",#N/A,FALSE,"A";"page 5",#N/A,FALSE,"A";"page 6",#N/A,FALSE,"A";"page 7",#N/A,FALSE,"A";"page 8",#N/A,FALSE,"A";"page 9",#N/A,FALSE,"A";"page 10",#N/A,FALSE,"A";"page 11",#N/A,FALSE,"A";"page 12",#N/A,FALSE,"A";"page 13",#N/A,FALSE,"A";"page 14",#N/A,FALSE,"A"}</definedName>
    <definedName name="adfasavasc" hidden="1">#REF!</definedName>
    <definedName name="adfasdf" localSheetId="10" hidden="1">{"GO",#N/A,FALSE,"GO";"HM",#N/A,FALSE,"HM";"KR",#N/A,FALSE,"KR";"LO",#N/A,FALSE,"LO";"OT",#N/A,FALSE,"OT";"TR",#N/A,FALSE,"TR"}</definedName>
    <definedName name="adfasdf" hidden="1">{"GO",#N/A,FALSE,"GO";"HM",#N/A,FALSE,"HM";"KR",#N/A,FALSE,"KR";"LO",#N/A,FALSE,"LO";"OT",#N/A,FALSE,"OT";"TR",#N/A,FALSE,"TR"}</definedName>
    <definedName name="adfasfadfda"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localSheetId="10" hidden="1">{"COM",#N/A,FALSE,"800 10th"}</definedName>
    <definedName name="adfd" hidden="1">{"COM",#N/A,FALSE,"800 10th"}</definedName>
    <definedName name="adfdsf" localSheetId="10" hidden="1">{"profit statement",#N/A,FALSE,"P&amp;L STATEMENT"}</definedName>
    <definedName name="adfdsf" hidden="1">{"profit statement",#N/A,FALSE,"P&amp;L STATEMENT"}</definedName>
    <definedName name="adfeewwewwwww"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localSheetId="1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gasdysty" localSheetId="10" hidden="1">{#N/A,#N/A,FALSE,"REPORT"}</definedName>
    <definedName name="adfgasdysty" hidden="1">{#N/A,#N/A,FALSE,"REPORT"}</definedName>
    <definedName name="adfj" localSheetId="10" hidden="1">{"bs",#N/A,FALSE,"SCF"}</definedName>
    <definedName name="adfj" hidden="1">{"bs",#N/A,FALSE,"SCF"}</definedName>
    <definedName name="adfsfadfasf" localSheetId="10" hidden="1">{"Outflow 1",#N/A,FALSE,"Outflows-Inflows";"Outflow 2",#N/A,FALSE,"Outflows-Inflows";"Inflow 1",#N/A,FALSE,"Outflows-Inflows";"Inflow 2",#N/A,FALSE,"Outflows-Inflows"}</definedName>
    <definedName name="adfsfadfasf" hidden="1">{"Outflow 1",#N/A,FALSE,"Outflows-Inflows";"Outflow 2",#N/A,FALSE,"Outflows-Inflows";"Inflow 1",#N/A,FALSE,"Outflows-Inflows";"Inflow 2",#N/A,FALSE,"Outflows-Inflows"}</definedName>
    <definedName name="adfsfjfjky" localSheetId="10" hidden="1">{#N/A,#N/A,FALSE,"REPORT"}</definedName>
    <definedName name="adfsfjfjky" hidden="1">{#N/A,#N/A,FALSE,"REPORT"}</definedName>
    <definedName name="adgf" localSheetId="10" hidden="1">{"YTDONLY",#N/A,FALSE,"09-SUM  ";"REGULAR1",#N/A,FALSE,"09-SUM  "}</defi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efinedName>
    <definedName name="AdjType">#REF!</definedName>
    <definedName name="adlkfjla" localSheetId="10" hidden="1">{"TRSONLY",#N/A,FALSE,"08-SUM ";"MISCUNITS",#N/A,FALSE,"08-SUM "}</definedName>
    <definedName name="adlkfjla" hidden="1">{"TRSONLY",#N/A,FALSE,"08-SUM ";"MISCUNITS",#N/A,FALSE,"08-SUM "}</definedName>
    <definedName name="Admits" localSheetId="10">#REF!</definedName>
    <definedName name="Admits">#REF!</definedName>
    <definedName name="ads" localSheetId="10" hidden="1">{"FCB_ALL",#N/A,FALSE,"FCB"}</definedName>
    <definedName name="ads" localSheetId="15" hidden="1">{"FCB_ALL",#N/A,FALSE,"FCB"}</definedName>
    <definedName name="ads" hidden="1">{"FCB_ALL",#N/A,FALSE,"FCB"}</definedName>
    <definedName name="adsa" localSheetId="10" hidden="1">{"'Actual'!$A$1:$F$25"}</definedName>
    <definedName name="adsa" hidden="1">{"'Actual'!$A$1:$F$25"}</definedName>
    <definedName name="ADSA1" localSheetId="10" hidden="1">{"'Actual'!$A$1:$F$25"}</definedName>
    <definedName name="ADSA1" hidden="1">{"'Actual'!$A$1:$F$25"}</definedName>
    <definedName name="adsew" localSheetId="10" hidden="1">{"FCB_ALL",#N/A,FALSE,"FCB"}</definedName>
    <definedName name="adsew" localSheetId="15" hidden="1">{"FCB_ALL",#N/A,FALSE,"FCB"}</definedName>
    <definedName name="adsew" hidden="1">{"FCB_ALL",#N/A,FALSE,"FCB"}</definedName>
    <definedName name="adsf" localSheetId="10" hidden="1">{"bs",#N/A,FALSE,"SCF"}</definedName>
    <definedName name="adsf" hidden="1">{"bs",#N/A,FALSE,"SCF"}</definedName>
    <definedName name="adsfad" localSheetId="10" hidden="1">{#N/A,#N/A,TRUE,"Notes";#N/A,#N/A,TRUE,"Cap Struct";#N/A,#N/A,TRUE,"OBS";#N/A,#N/A,TRUE,"bal Sheet";#N/A,#N/A,TRUE,"Inc stmt";#N/A,#N/A,TRUE,"csh flw";#N/A,#N/A,TRUE,"debt";#N/A,#N/A,TRUE,"detail 96,97";#N/A,#N/A,TRUE,"Covenants"}</definedName>
    <definedName name="adsfad" hidden="1">{#N/A,#N/A,TRUE,"Notes";#N/A,#N/A,TRUE,"Cap Struct";#N/A,#N/A,TRUE,"OBS";#N/A,#N/A,TRUE,"bal Sheet";#N/A,#N/A,TRUE,"Inc stmt";#N/A,#N/A,TRUE,"csh flw";#N/A,#N/A,TRUE,"debt";#N/A,#N/A,TRUE,"detail 96,97";#N/A,#N/A,TRUE,"Covenants"}</definedName>
    <definedName name="adsfaw" localSheetId="10" hidden="1">{"FCB_ALL",#N/A,FALSE,"FCB";"GREY_ALL",#N/A,FALSE,"GREY"}</definedName>
    <definedName name="adsfaw" localSheetId="15" hidden="1">{"FCB_ALL",#N/A,FALSE,"FCB";"GREY_ALL",#N/A,FALSE,"GREY"}</definedName>
    <definedName name="adsfaw" hidden="1">{"FCB_ALL",#N/A,FALSE,"FCB";"GREY_ALL",#N/A,FALSE,"GREY"}</definedName>
    <definedName name="adsfca" localSheetId="10" hidden="1">{"FCB_ALL",#N/A,FALSE,"FCB";"GREY_ALL",#N/A,FALSE,"GREY"}</definedName>
    <definedName name="adsfca" localSheetId="15" hidden="1">{"FCB_ALL",#N/A,FALSE,"FCB";"GREY_ALL",#N/A,FALSE,"GREY"}</definedName>
    <definedName name="adsfca" hidden="1">{"FCB_ALL",#N/A,FALSE,"FCB";"GREY_ALL",#N/A,FALSE,"GREY"}</definedName>
    <definedName name="adsfdsf" localSheetId="10" hidden="1">{"fis.dbo.r1_datasum"}</definedName>
    <definedName name="adsfdsf" hidden="1">{"fis.dbo.r1_datasum"}</definedName>
    <definedName name="adsfeklj" localSheetId="10" hidden="1">{"FCB_ALL",#N/A,FALSE,"FCB"}</definedName>
    <definedName name="adsfeklj" localSheetId="15" hidden="1">{"FCB_ALL",#N/A,FALSE,"FCB"}</definedName>
    <definedName name="adsfeklj" hidden="1">{"FCB_ALL",#N/A,FALSE,"FCB"}</definedName>
    <definedName name="adsfg" localSheetId="10" hidden="1">{"client cfbs",#N/A,FALSE,"Client"}</definedName>
    <definedName name="adsfg" localSheetId="15" hidden="1">{"client cfbs",#N/A,FALSE,"Client"}</definedName>
    <definedName name="adsfg" hidden="1">{"client cfbs",#N/A,FALSE,"Client"}</definedName>
    <definedName name="adsfgds" localSheetId="10"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fh" localSheetId="10" hidden="1">{"client cfbs",#N/A,FALSE,"Client"}</definedName>
    <definedName name="adsfh" localSheetId="15" hidden="1">{"client cfbs",#N/A,FALSE,"Client"}</definedName>
    <definedName name="adsfh" hidden="1">{"client cfbs",#N/A,FALSE,"Client"}</definedName>
    <definedName name="adsfkl" localSheetId="10" hidden="1">{"FCB_ALL",#N/A,FALSE,"FCB";"GREY_ALL",#N/A,FALSE,"GREY"}</definedName>
    <definedName name="adsfkl" localSheetId="15" hidden="1">{"FCB_ALL",#N/A,FALSE,"FCB";"GREY_ALL",#N/A,FALSE,"GREY"}</definedName>
    <definedName name="adsfkl" hidden="1">{"FCB_ALL",#N/A,FALSE,"FCB";"GREY_ALL",#N/A,FALSE,"GREY"}</definedName>
    <definedName name="adsfsa" localSheetId="10" hidden="1">{#N/A,#N/A,FALSE,"CDC";#N/A,#N/A,FALSE,"SYSTEMDEV";#N/A,#N/A,FALSE,"PRINT CHG";#N/A,#N/A,FALSE,"PRINT INV";#N/A,#N/A,FALSE,"EU ADMN";#N/A,#N/A,FALSE,"ADALLOC";#N/A,#N/A,FALSE,"SURPLUS"}</definedName>
    <definedName name="adsfsa" hidden="1">{#N/A,#N/A,FALSE,"CDC";#N/A,#N/A,FALSE,"SYSTEMDEV";#N/A,#N/A,FALSE,"PRINT CHG";#N/A,#N/A,FALSE,"PRINT INV";#N/A,#N/A,FALSE,"EU ADMN";#N/A,#N/A,FALSE,"ADALLOC";#N/A,#N/A,FALSE,"SURPLUS"}</definedName>
    <definedName name="adsga" localSheetId="10" hidden="1">{"FCB_ALL",#N/A,FALSE,"FCB"}</definedName>
    <definedName name="adsga" localSheetId="15" hidden="1">{"FCB_ALL",#N/A,FALSE,"FCB"}</definedName>
    <definedName name="adsga" hidden="1">{"FCB_ALL",#N/A,FALSE,"FCB"}</definedName>
    <definedName name="adsgawe" localSheetId="10" hidden="1">{"FCB_ALL",#N/A,FALSE,"FCB"}</definedName>
    <definedName name="adsgawe" localSheetId="15" hidden="1">{"FCB_ALL",#N/A,FALSE,"FCB"}</definedName>
    <definedName name="adsgawe" hidden="1">{"FCB_ALL",#N/A,FALSE,"FCB"}</definedName>
    <definedName name="adsvaacvdac" hidden="1">#REF!</definedName>
    <definedName name="adsvasvd" hidden="1">#REF!</definedName>
    <definedName name="Advertsing">#REF!</definedName>
    <definedName name="adwdlkj" localSheetId="10" hidden="1">{"FCB_ALL",#N/A,FALSE,"FCB"}</definedName>
    <definedName name="adwdlkj" localSheetId="15" hidden="1">{"FCB_ALL",#N/A,FALSE,"FCB"}</definedName>
    <definedName name="adwdlkj" hidden="1">{"FCB_ALL",#N/A,FALSE,"FCB"}</definedName>
    <definedName name="adwsfklj" localSheetId="10" hidden="1">{"bs",#N/A,FALSE,"SCF"}</definedName>
    <definedName name="adwsfklj" hidden="1">{"bs",#N/A,FALSE,"SCF"}</definedName>
    <definedName name="aefaesfeas" localSheetId="10" hidden="1">{"works expense",#N/A,FALSE,"WORKS EXPENSE"}</definedName>
    <definedName name="aefaesfeas" hidden="1">{"works expense",#N/A,FALSE,"WORKS EXPENSE"}</definedName>
    <definedName name="aertqet" localSheetId="10" hidden="1">{#N/A,#N/A,FALSE,"Adj Proj";#N/A,#N/A,FALSE,"Sheet1";#N/A,#N/A,FALSE,"LBO";#N/A,#N/A,FALSE,"LBOMER";#N/A,#N/A,FALSE,"WACC";#N/A,#N/A,FALSE,"DCF";#N/A,#N/A,FALSE,"DCFMER";#N/A,#N/A,FALSE,"Pooling";#N/A,#N/A,FALSE,"income";#N/A,#N/A,FALSE,"Offer"}</definedName>
    <definedName name="aertqet" hidden="1">{#N/A,#N/A,FALSE,"Adj Proj";#N/A,#N/A,FALSE,"Sheet1";#N/A,#N/A,FALSE,"LBO";#N/A,#N/A,FALSE,"LBOMER";#N/A,#N/A,FALSE,"WACC";#N/A,#N/A,FALSE,"DCF";#N/A,#N/A,FALSE,"DCFMER";#N/A,#N/A,FALSE,"Pooling";#N/A,#N/A,FALSE,"income";#N/A,#N/A,FALSE,"Offer"}</definedName>
    <definedName name="aertqet_1" localSheetId="10" hidden="1">{#N/A,#N/A,FALSE,"Adj Proj";#N/A,#N/A,FALSE,"Sheet1";#N/A,#N/A,FALSE,"LBO";#N/A,#N/A,FALSE,"LBOMER";#N/A,#N/A,FALSE,"WACC";#N/A,#N/A,FALSE,"DCF";#N/A,#N/A,FALSE,"DCFMER";#N/A,#N/A,FALSE,"Pooling";#N/A,#N/A,FALSE,"income";#N/A,#N/A,FALSE,"Offer"}</definedName>
    <definedName name="aertqet_1" hidden="1">{#N/A,#N/A,FALSE,"Adj Proj";#N/A,#N/A,FALSE,"Sheet1";#N/A,#N/A,FALSE,"LBO";#N/A,#N/A,FALSE,"LBOMER";#N/A,#N/A,FALSE,"WACC";#N/A,#N/A,FALSE,"DCF";#N/A,#N/A,FALSE,"DCFMER";#N/A,#N/A,FALSE,"Pooling";#N/A,#N/A,FALSE,"income";#N/A,#N/A,FALSE,"Offer"}</definedName>
    <definedName name="aew" localSheetId="10" hidden="1">{#N/A,"PURCHM",FALSE,"Business Analysis";#N/A,"SPADD",FALSE,"Business Analysis"}</definedName>
    <definedName name="aew" hidden="1">{#N/A,"PURCHM",FALSE,"Business Analysis";#N/A,"SPADD",FALSE,"Business Analysis"}</definedName>
    <definedName name="aewr" localSheetId="10" hidden="1">{"mgmt forecast",#N/A,FALSE,"Mgmt Forecast";"dcf table",#N/A,FALSE,"Mgmt Forecast";"sensitivity",#N/A,FALSE,"Mgmt Forecast";"table inputs",#N/A,FALSE,"Mgmt Forecast";"calculations",#N/A,FALSE,"Mgmt Forecast"}</definedName>
    <definedName name="aewr" hidden="1">{"mgmt forecast",#N/A,FALSE,"Mgmt Forecast";"dcf table",#N/A,FALSE,"Mgmt Forecast";"sensitivity",#N/A,FALSE,"Mgmt Forecast";"table inputs",#N/A,FALSE,"Mgmt Forecast";"calculations",#N/A,FALSE,"Mgmt Forecast"}</definedName>
    <definedName name="Aex_Amb_MDC_Range" hidden="1">#REF!</definedName>
    <definedName name="Aex_Experience_by_Tier_Range" hidden="1">#REF!</definedName>
    <definedName name="Aex_IP_MDC_Range" hidden="1">#REF!</definedName>
    <definedName name="Aex_Medical_Cost_Category_Range" hidden="1">#REF!</definedName>
    <definedName name="Aex_Professional_Experience_Range" hidden="1">#REF!</definedName>
    <definedName name="af">#REF!</definedName>
    <definedName name="afadsf" localSheetId="10" hidden="1">{"works expense",#N/A,FALSE,"WORKS EXPENSE"}</definedName>
    <definedName name="afadsf" hidden="1">{"works expense",#N/A,FALSE,"WORKS EXPENSE"}</definedName>
    <definedName name="afafads" localSheetId="10" hidden="1">{"page 1",#N/A,FALSE,"A";"page 2",#N/A,FALSE,"A";"page 3",#N/A,FALSE,"A";"page 4",#N/A,FALSE,"A";"page 5",#N/A,FALSE,"A";"page 6",#N/A,FALSE,"A";"page 7",#N/A,FALSE,"A";"page 8",#N/A,FALSE,"A";"page 9",#N/A,FALSE,"A";"page 10",#N/A,FALSE,"A";"page 11",#N/A,FALSE,"A";"page 12",#N/A,FALSE,"A";"page 13",#N/A,FALSE,"A";"page 14",#N/A,FALSE,"A"}</definedName>
    <definedName name="afafads" localSheetId="15" hidden="1">{"page 1",#N/A,FALSE,"A";"page 2",#N/A,FALSE,"A";"page 3",#N/A,FALSE,"A";"page 4",#N/A,FALSE,"A";"page 5",#N/A,FALSE,"A";"page 6",#N/A,FALSE,"A";"page 7",#N/A,FALSE,"A";"page 8",#N/A,FALSE,"A";"page 9",#N/A,FALSE,"A";"page 10",#N/A,FALSE,"A";"page 11",#N/A,FALSE,"A";"page 12",#N/A,FALSE,"A";"page 13",#N/A,FALSE,"A";"page 14",#N/A,FALSE,"A"}</definedName>
    <definedName name="afafads" hidden="1">{"page 1",#N/A,FALSE,"A";"page 2",#N/A,FALSE,"A";"page 3",#N/A,FALSE,"A";"page 4",#N/A,FALSE,"A";"page 5",#N/A,FALSE,"A";"page 6",#N/A,FALSE,"A";"page 7",#N/A,FALSE,"A";"page 8",#N/A,FALSE,"A";"page 9",#N/A,FALSE,"A";"page 10",#N/A,FALSE,"A";"page 11",#N/A,FALSE,"A";"page 12",#N/A,FALSE,"A";"page 13",#N/A,FALSE,"A";"page 14",#N/A,FALSE,"A"}</definedName>
    <definedName name="afasdf" localSheetId="10" hidden="1">{"works expense",#N/A,FALSE,"WORKS EXPENSE"}</definedName>
    <definedName name="afasdf" hidden="1">{"works expense",#N/A,FALSE,"WORKS EXPENSE"}</definedName>
    <definedName name="afc" localSheetId="10" hidden="1">{"detail",#N/A,FALSE,"mfg";"summary",#N/A,FALSE,"mfg"}</definedName>
    <definedName name="afc" hidden="1">{"detail",#N/A,FALSE,"mfg";"summary",#N/A,FALSE,"mfg"}</definedName>
    <definedName name="afd" localSheetId="10" hidden="1">{#N/A,#N/A,FALSE,"VALSUM";#N/A,#N/A,FALSE,"MKT.COMPS";#N/A,#N/A,FALSE,"ACQ.MULT.";#N/A,#N/A,FALSE,"DCF - LBO"}</definedName>
    <definedName name="afd" hidden="1">{#N/A,#N/A,FALSE,"VALSUM";#N/A,#N/A,FALSE,"MKT.COMPS";#N/A,#N/A,FALSE,"ACQ.MULT.";#N/A,#N/A,FALSE,"DCF - LBO"}</definedName>
    <definedName name="AFDADSFDAS" localSheetId="10" hidden="1">{#N/A,#N/A,FALSE,"REPORT"}</definedName>
    <definedName name="AFDADSFDAS" hidden="1">{#N/A,#N/A,FALSE,"REPORT"}</definedName>
    <definedName name="afdafds" localSheetId="10">#REF!</definedName>
    <definedName name="afdafds">#REF!</definedName>
    <definedName name="afds" localSheetId="10" hidden="1">{"YTD",#N/A,FALSE,"SUM"}</definedName>
    <definedName name="afds" hidden="1">{"YTD",#N/A,FALSE,"SUM"}</definedName>
    <definedName name="afdsafasdf" localSheetId="10" hidden="1">{"capital",#N/A,FALSE,"CAPITAL_DEP'N"}</definedName>
    <definedName name="afdsafasdf" hidden="1">{"capital",#N/A,FALSE,"CAPITAL_DEP'N"}</definedName>
    <definedName name="afdsafds">#REF!</definedName>
    <definedName name="AFG"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AFG"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afgafga" hidden="1">#REF!</definedName>
    <definedName name="afge" localSheetId="10" hidden="1">{"FCB_ALL",#N/A,FALSE,"FCB";"GREY_ALL",#N/A,FALSE,"GREY"}</definedName>
    <definedName name="afge" localSheetId="15" hidden="1">{"FCB_ALL",#N/A,FALSE,"FCB";"GREY_ALL",#N/A,FALSE,"GREY"}</definedName>
    <definedName name="afge" hidden="1">{"FCB_ALL",#N/A,FALSE,"FCB";"GREY_ALL",#N/A,FALSE,"GREY"}</definedName>
    <definedName name="afjasd" localSheetId="10" hidden="1">{"bs",#N/A,FALSE,"SCF"}</definedName>
    <definedName name="afjasd" hidden="1">{"bs",#N/A,FALSE,"SCF"}</definedName>
    <definedName name="africa" localSheetId="10" hidden="1">{#N/A,#N/A,FALSE,"CNS";#N/A,#N/A,FALSE,"Serz";#N/A,#N/A,FALSE,"Ace"}</definedName>
    <definedName name="africa" hidden="1">{#N/A,#N/A,FALSE,"CNS";#N/A,#N/A,FALSE,"Serz";#N/A,#N/A,FALSE,"Ace"}</definedName>
    <definedName name="a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ag"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afdhsdh" localSheetId="10" hidden="1">{#N/A,#N/A,FALSE,"REPORT"}</definedName>
    <definedName name="agafdhsdh" hidden="1">{#N/A,#N/A,FALSE,"REPORT"}</definedName>
    <definedName name="agafgag" hidden="1">#REF!</definedName>
    <definedName name="again" localSheetId="10" hidden="1">{"Data Worksheet",#N/A,FALSE,"CAREY97"}</definedName>
    <definedName name="again" hidden="1">{"Data Worksheet",#N/A,FALSE,"CAREY97"}</definedName>
    <definedName name="again2" localSheetId="10" hidden="1">{"Data Worksheet",#N/A,FALSE,"CAREY97"}</definedName>
    <definedName name="again2" hidden="1">{"Data Worksheet",#N/A,FALSE,"CAREY97"}</definedName>
    <definedName name="agcd22" localSheetId="10" hidden="1">{#N/A,"PURCHM",FALSE,"Business Analysis";#N/A,"SPADD",FALSE,"Business Analysis"}</definedName>
    <definedName name="agcd22" hidden="1">{#N/A,"PURCHM",FALSE,"Business Analysis";#N/A,"SPADD",FALSE,"Business Analysis"}</definedName>
    <definedName name="agcd22bd" localSheetId="10" hidden="1">{#N/A,"PURCHM",FALSE,"Business Analysis";#N/A,"SPADD",FALSE,"Business Analysis"}</definedName>
    <definedName name="agcd22bd" hidden="1">{#N/A,"PURCHM",FALSE,"Business Analysis";#N/A,"SPADD",FALSE,"Business Analysis"}</definedName>
    <definedName name="agdf" hidden="1">#REF!</definedName>
    <definedName name="ag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Date">#REF!</definedName>
    <definedName name="age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10"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fds"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agfds"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I" localSheetId="10">#REF!</definedName>
    <definedName name="AGI">#REF!</definedName>
    <definedName name="Aging_dollars" localSheetId="10">#REF!</definedName>
    <definedName name="Aging_dollars">#REF!</definedName>
    <definedName name="Aging_percent" localSheetId="10">#REF!,#REF!</definedName>
    <definedName name="Aging_percent">#REF!,#REF!</definedName>
    <definedName name="agj" hidden="1">#REF!</definedName>
    <definedName name="agne" localSheetId="10" hidden="1">{"FCB_ALL",#N/A,FALSE,"FCB";"GREY_ALL",#N/A,FALSE,"GREY"}</definedName>
    <definedName name="agne" localSheetId="15" hidden="1">{"FCB_ALL",#N/A,FALSE,"FCB";"GREY_ALL",#N/A,FALSE,"GREY"}</definedName>
    <definedName name="agne" hidden="1">{"FCB_ALL",#N/A,FALSE,"FCB";"GREY_ALL",#N/A,FALSE,"GREY"}</definedName>
    <definedName name="agng" localSheetId="10" hidden="1">{#N/A,#N/A,FALSE,"Aging Summary";#N/A,#N/A,FALSE,"Ratio Analysis";#N/A,#N/A,FALSE,"Test 120 Day Accts";#N/A,#N/A,FALSE,"Tickmarks"}</definedName>
    <definedName name="agng" hidden="1">{#N/A,#N/A,FALSE,"Aging Summary";#N/A,#N/A,FALSE,"Ratio Analysis";#N/A,#N/A,FALSE,"Test 120 Day Accts";#N/A,#N/A,FALSE,"Tickmarks"}</definedName>
    <definedName name="agng_1" localSheetId="10" hidden="1">{#N/A,#N/A,FALSE,"Aging Summary";#N/A,#N/A,FALSE,"Ratio Analysis";#N/A,#N/A,FALSE,"Test 120 Day Accts";#N/A,#N/A,FALSE,"Tickmarks"}</definedName>
    <definedName name="agng_1" hidden="1">{#N/A,#N/A,FALSE,"Aging Summary";#N/A,#N/A,FALSE,"Ratio Analysis";#N/A,#N/A,FALSE,"Test 120 Day Accts";#N/A,#N/A,FALSE,"Tickmarks"}</definedName>
    <definedName name="agsgaghgfj" localSheetId="10" hidden="1">{#N/A,#N/A,FALSE,"Pharm";#N/A,#N/A,FALSE,"WWCM"}</definedName>
    <definedName name="agsgaghgfj" hidden="1">{#N/A,#N/A,FALSE,"Pharm";#N/A,#N/A,FALSE,"WWCM"}</definedName>
    <definedName name="ah" localSheetId="10" hidden="1">{"detail",#N/A,FALSE,"mfg";"summary",#N/A,FALSE,"mfg"}</definedName>
    <definedName name="ah" hidden="1">{"detail",#N/A,FALSE,"mfg";"summary",#N/A,FALSE,"mfg"}</definedName>
    <definedName name="ahder" localSheetId="10" hidden="1">{#N/A,#N/A,FALSE,"Aging Summary";#N/A,#N/A,FALSE,"Ratio Analysis";#N/A,#N/A,FALSE,"Test 120 Day Accts";#N/A,#N/A,FALSE,"Tickmarks"}</definedName>
    <definedName name="ahder" hidden="1">{#N/A,#N/A,FALSE,"Aging Summary";#N/A,#N/A,FALSE,"Ratio Analysis";#N/A,#N/A,FALSE,"Test 120 Day Accts";#N/A,#N/A,FALSE,"Tickmarks"}</definedName>
    <definedName name="ahder_1" localSheetId="10" hidden="1">{#N/A,#N/A,FALSE,"Aging Summary";#N/A,#N/A,FALSE,"Ratio Analysis";#N/A,#N/A,FALSE,"Test 120 Day Accts";#N/A,#N/A,FALSE,"Tickmarks"}</definedName>
    <definedName name="ahder_1" hidden="1">{#N/A,#N/A,FALSE,"Aging Summary";#N/A,#N/A,FALSE,"Ratio Analysis";#N/A,#N/A,FALSE,"Test 120 Day Accts";#N/A,#N/A,FALSE,"Tickmarks"}</definedName>
    <definedName name="AHF_Activity_By_Tier_Range" hidden="1">#REF!</definedName>
    <definedName name="AHF_Activity_Detail_Range" hidden="1">#REF!</definedName>
    <definedName name="AHF_Fund_Report_Range" hidden="1">#REF!</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Key_Statistics_Range" hidden="1">#REF!</definedName>
    <definedName name="AHF_Rx_Demographics_Range" hidden="1">#REF!</definedName>
    <definedName name="AHF_Rx_Key_Statistics_Range" hidden="1">#REF!</definedName>
    <definedName name="AHFFamilyDollarsCurr" hidden="1">#REF!</definedName>
    <definedName name="ahge" localSheetId="10" hidden="1">{"FCB_ALL",#N/A,FALSE,"FCB";"GREY_ALL",#N/A,FALSE,"GREY"}</definedName>
    <definedName name="ahge" localSheetId="15" hidden="1">{"FCB_ALL",#N/A,FALSE,"FCB";"GREY_ALL",#N/A,FALSE,"GREY"}</definedName>
    <definedName name="ahge" hidden="1">{"FCB_ALL",#N/A,FALSE,"FCB";"GREY_ALL",#N/A,FALSE,"GREY"}</definedName>
    <definedName name="ahj" hidden="1">#REF!</definedName>
    <definedName name="ahrj" hidden="1">#REF!</definedName>
    <definedName name="ai" localSheetId="10">#REF!</definedName>
    <definedName name="ai">#REF!</definedName>
    <definedName name="aj" localSheetId="10" hidden="1">{"detail",#N/A,FALSE,"mfg";"summary",#N/A,FALSE,"mfg"}</definedName>
    <definedName name="aj" hidden="1">{"detail",#N/A,FALSE,"mfg";"summary",#N/A,FALSE,"mfg"}</definedName>
    <definedName name="AJHFkjDGHF" localSheetId="10" hidden="1">{"Annual_Income",#N/A,FALSE,"Report Page";"Balance_Cash_Flow",#N/A,FALSE,"Report Page";"Quarterly_Income",#N/A,FALSE,"Report Page"}</definedName>
    <definedName name="AJHFkjDGHF" localSheetId="15"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k" localSheetId="10">#REF!</definedName>
    <definedName name="ak">#REF!</definedName>
    <definedName name="akers" localSheetId="10" hidden="1">{#N/A,#N/A,FALSE,"TS";#N/A,#N/A,FALSE,"Combo";#N/A,#N/A,FALSE,"FAIR";#N/A,#N/A,FALSE,"RBC";#N/A,#N/A,FALSE,"xxxx";#N/A,#N/A,FALSE,"A_D";#N/A,#N/A,FALSE,"WACC";#N/A,#N/A,FALSE,"DCF";#N/A,#N/A,FALSE,"LBO";#N/A,#N/A,FALSE,"AcqMults";#N/A,#N/A,FALSE,"CompMults"}</definedName>
    <definedName name="akers" hidden="1">{#N/A,#N/A,FALSE,"TS";#N/A,#N/A,FALSE,"Combo";#N/A,#N/A,FALSE,"FAIR";#N/A,#N/A,FALSE,"RBC";#N/A,#N/A,FALSE,"xxxx";#N/A,#N/A,FALSE,"A_D";#N/A,#N/A,FALSE,"WACC";#N/A,#N/A,FALSE,"DCF";#N/A,#N/A,FALSE,"LBO";#N/A,#N/A,FALSE,"AcqMults";#N/A,#N/A,FALSE,"CompMults"}</definedName>
    <definedName name="akl" localSheetId="10"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f" localSheetId="10" hidden="1">{"bs",#N/A,FALSE,"SCF"}</definedName>
    <definedName name="aklsjf" hidden="1">{"bs",#N/A,FALSE,"SCF"}</definedName>
    <definedName name="al" localSheetId="10">#REF!</definedName>
    <definedName name="al">#REF!</definedName>
    <definedName name="alb" localSheetId="10" hidden="1">{#N/A,#N/A,FALSE,"Summary";#N/A,#N/A,FALSE,"Edit";#N/A,#N/A,FALSE,"MedProf";#N/A,#N/A,FALSE,"Proj Mgt";#N/A,#N/A,FALSE,"Creat Svc";#N/A,#N/A,FALSE,"Meet Svc";#N/A,#N/A,FALSE,"Non-OCC";#N/A,#N/A,FALSE,"Client Svc";#N/A,#N/A,FALSE,"Bus Dev";#N/A,#N/A,FALSE,"Indirect"}</definedName>
    <definedName name="alb" localSheetId="15"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CHEMEX_DRILL_SET">"GL_001"</definedName>
    <definedName name="alex" localSheetId="10" hidden="1">{#N/A,#N/A,FALSE,"REPORT"}</definedName>
    <definedName name="alex" hidden="1">{#N/A,#N/A,FALSE,"REPORT"}</definedName>
    <definedName name="alexan" localSheetId="10" hidden="1">{#N/A,#N/A,FALSE,"REPORT"}</definedName>
    <definedName name="alexan" hidden="1">{#N/A,#N/A,FALSE,"REPORT"}</definedName>
    <definedName name="älll" localSheetId="10"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o" localSheetId="10" hidden="1">{#N/A,#N/A,FALSE,"Week 2002";#N/A,#N/A,FALSE,"YTD 2002";#N/A,#N/A,FALSE,"Quarterly Trend(Q3)"}</definedName>
    <definedName name="allo" hidden="1">{#N/A,#N/A,FALSE,"Week 2002";#N/A,#N/A,FALSE,"YTD 2002";#N/A,#N/A,FALSE,"Quarterly Trend(Q3)"}</definedName>
    <definedName name="AllocationsRequired">#REF!</definedName>
    <definedName name="AllocList">#REF!</definedName>
    <definedName name="AllocName">#REF!</definedName>
    <definedName name="Allowance_to_Receivables">#REF!,#REF!</definedName>
    <definedName name="Allowance_to_Sales">#REF!,#REF!</definedName>
    <definedName name="AMOUNT">OFFSET(#REF!,0,0,COUNTA(#REF!),COUNTA(#REF!))</definedName>
    <definedName name="AMOUNT_3M">OFFSET(#REF!,0,0,COUNTA(#REF!),1)</definedName>
    <definedName name="Amt" localSheetId="10">#REF!</definedName>
    <definedName name="Amt">#REF!</definedName>
    <definedName name="amy" localSheetId="10" hidden="1">{#N/A,#N/A,FALSE,"AD_Purchase";#N/A,#N/A,FALSE,"Credit";#N/A,#N/A,FALSE,"PF Acquisition";#N/A,#N/A,FALSE,"PF Offering"}</definedName>
    <definedName name="amy" hidden="1">{#N/A,#N/A,FALSE,"AD_Purchase";#N/A,#N/A,FALSE,"Credit";#N/A,#N/A,FALSE,"PF Acquisition";#N/A,#N/A,FALSE,"PF Offering"}</definedName>
    <definedName name="amy.mistake" localSheetId="10" hidden="1">{#N/A,#N/A,FALSE,"AD_Purchase";#N/A,#N/A,FALSE,"Credit";#N/A,#N/A,FALSE,"PF Acquisition";#N/A,#N/A,FALSE,"PF Offering"}</definedName>
    <definedName name="amy.mistake" hidden="1">{#N/A,#N/A,FALSE,"AD_Purchase";#N/A,#N/A,FALSE,"Credit";#N/A,#N/A,FALSE,"PF Acquisition";#N/A,#N/A,FALSE,"PF Offering"}</definedName>
    <definedName name="añ" localSheetId="10"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is" localSheetId="10" hidden="1">{"Material",#N/A,TRUE,"Summary";"Mfg",#N/A,TRUE,"Summary";"mfgbymo",#N/A,TRUE,"By Month";"Mtlbymo",#N/A,TRUE,"By Month"}</definedName>
    <definedName name="analysis" hidden="1">{"Material",#N/A,TRUE,"Summary";"Mfg",#N/A,TRUE,"Summary";"mfgbymo",#N/A,TRUE,"By Month";"Mtlbymo",#N/A,TRUE,"By Month"}</definedName>
    <definedName name="analysis_1" localSheetId="10" hidden="1">{"Material",#N/A,TRUE,"Summary";"Mfg",#N/A,TRUE,"Summary";"mfgbymo",#N/A,TRUE,"By Month";"Mtlbymo",#N/A,TRUE,"By Month"}</definedName>
    <definedName name="analysis_1" hidden="1">{"Material",#N/A,TRUE,"Summary";"Mfg",#N/A,TRUE,"Summary";"mfgbymo",#N/A,TRUE,"By Month";"Mtlbymo",#N/A,TRUE,"By Month"}</definedName>
    <definedName name="analysis_1_1" localSheetId="10" hidden="1">{"Material",#N/A,TRUE,"Summary";"Mfg",#N/A,TRUE,"Summary";"mfgbymo",#N/A,TRUE,"By Month";"Mtlbymo",#N/A,TRUE,"By Month"}</definedName>
    <definedName name="analysis_1_1" hidden="1">{"Material",#N/A,TRUE,"Summary";"Mfg",#N/A,TRUE,"Summary";"mfgbymo",#N/A,TRUE,"By Month";"Mtlbymo",#N/A,TRUE,"By Month"}</definedName>
    <definedName name="analysis_2" localSheetId="10" hidden="1">{"Material",#N/A,TRUE,"Summary";"Mfg",#N/A,TRUE,"Summary";"mfgbymo",#N/A,TRUE,"By Month";"Mtlbymo",#N/A,TRUE,"By Month"}</definedName>
    <definedName name="analysis_2" hidden="1">{"Material",#N/A,TRUE,"Summary";"Mfg",#N/A,TRUE,"Summary";"mfgbymo",#N/A,TRUE,"By Month";"Mtlbymo",#N/A,TRUE,"By Month"}</definedName>
    <definedName name="ancora" localSheetId="10" hidden="1">{#N/A,#N/A,FALSE,"Week 2002";#N/A,#N/A,FALSE,"YTD 2002";#N/A,#N/A,FALSE,"Quarterly Trend(Q3)"}</definedName>
    <definedName name="ancora" hidden="1">{#N/A,#N/A,FALSE,"Week 2002";#N/A,#N/A,FALSE,"YTD 2002";#N/A,#N/A,FALSE,"Quarterly Trend(Q3)"}</definedName>
    <definedName name="Andrew___Data" localSheetId="10">#REF!</definedName>
    <definedName name="Andrew___Data">#REF!</definedName>
    <definedName name="andy" localSheetId="10" hidden="1">{#N/A,#N/A,FALSE,"REPORT"}</definedName>
    <definedName name="andy" hidden="1">{#N/A,#N/A,FALSE,"REPORT"}</definedName>
    <definedName name="Annexure_to_Schedule">#REF!</definedName>
    <definedName name="anscount" hidden="1">1</definedName>
    <definedName name="anything" localSheetId="10" hidden="1">{#N/A,#N/A,FALSE,"Output";#N/A,#N/A,FALSE,"Cover Sheet";#N/A,#N/A,FALSE,"Current Mkt. Projections"}</definedName>
    <definedName name="anything" hidden="1">{#N/A,#N/A,FALSE,"Output";#N/A,#N/A,FALSE,"Cover Sheet";#N/A,#N/A,FALSE,"Current Mkt. Projections"}</definedName>
    <definedName name="äöäö" localSheetId="10"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P" localSheetId="10" hidden="1">{#N/A,#N/A,FALSE,"ARSalesBYCust"}</definedName>
    <definedName name="AP" hidden="1">{#N/A,#N/A,FALSE,"ARSalesBYCust"}</definedName>
    <definedName name="AP_Vend">#REF!</definedName>
    <definedName name="AP_Vendor">#REF!</definedName>
    <definedName name="APandAccruals">#REF!</definedName>
    <definedName name="APN">#REF!</definedName>
    <definedName name="app">#REF!</definedName>
    <definedName name="approvla">#REF!</definedName>
    <definedName name="Apr00" localSheetId="10" hidden="1">{"Statement of Income",#N/A,TRUE,"Mar99";"Balance Sheet",#N/A,TRUE,"Mar99"}</definedName>
    <definedName name="Apr00" localSheetId="15" hidden="1">{"Statement of Income",#N/A,TRUE,"Mar99";"Balance Sheet",#N/A,TRUE,"Mar99"}</definedName>
    <definedName name="Apr00" hidden="1">{"Statement of Income",#N/A,TRUE,"Mar99";"Balance Sheet",#N/A,TRUE,"Mar99"}</definedName>
    <definedName name="Apr00TB" localSheetId="10" hidden="1">{"Statement of Income",#N/A,TRUE,"Mar99";"Balance Sheet",#N/A,TRUE,"Mar99"}</definedName>
    <definedName name="Apr00TB" localSheetId="15" hidden="1">{"Statement of Income",#N/A,TRUE,"Mar99";"Balance Sheet",#N/A,TRUE,"Mar99"}</definedName>
    <definedName name="Apr00TB" hidden="1">{"Statement of Income",#N/A,TRUE,"Mar99";"Balance Sheet",#N/A,TRUE,"Mar99"}</definedName>
    <definedName name="April">#REF!</definedName>
    <definedName name="APSUMMARY">#REF!</definedName>
    <definedName name="aq" hidden="1">#REF!</definedName>
    <definedName name="aqdwfegr" hidden="1">#REF!</definedName>
    <definedName name="aqq" localSheetId="10" hidden="1">{#N/A,#N/A,FALSE,"Week 2002";#N/A,#N/A,FALSE,"YTD 2002";#N/A,#N/A,FALSE,"Quarterly Trend(Q3)"}</definedName>
    <definedName name="aqq" hidden="1">{#N/A,#N/A,FALSE,"Week 2002";#N/A,#N/A,FALSE,"YTD 2002";#N/A,#N/A,FALSE,"Quarterly Trend(Q3)"}</definedName>
    <definedName name="aqqq" localSheetId="10" hidden="1">{"F3 Presentation",#N/A,FALSE,"F3 ";"F3 detail",#N/A,FALSE,"F3 "}</definedName>
    <definedName name="aqqq" hidden="1">{"F3 Presentation",#N/A,FALSE,"F3 ";"F3 detail",#N/A,FALSE,"F3 "}</definedName>
    <definedName name="aqqqq" localSheetId="10" hidden="1">{"F3 detail",#N/A,FALSE,"F1";"F3 Presentation",#N/A,FALSE,"F3 "}</definedName>
    <definedName name="aqqqq" hidden="1">{"F3 detail",#N/A,FALSE,"F1";"F3 Presentation",#N/A,FALSE,"F3 "}</definedName>
    <definedName name="aqqqqq" localSheetId="10" hidden="1">{"F3 Presentation",#N/A,FALSE,"F3 ";"F3 detail",#N/A,FALSE,"F3 "}</definedName>
    <definedName name="aqqqqq" hidden="1">{"F3 Presentation",#N/A,FALSE,"F3 ";"F3 detail",#N/A,FALSE,"F3 "}</definedName>
    <definedName name="aqqqqqq" localSheetId="10" hidden="1">{"F3 Presentation",#N/A,FALSE,"F3 ";"F3 detail",#N/A,FALSE,"F3 "}</definedName>
    <definedName name="aqqqqqq" hidden="1">{"F3 Presentation",#N/A,FALSE,"F3 ";"F3 detail",#N/A,FALSE,"F3 "}</definedName>
    <definedName name="aqqqqqqq" localSheetId="10" hidden="1">{"F3 detail",#N/A,FALSE,"F3 ";"F3 Presentation",#N/A,FALSE,"F3 "}</definedName>
    <definedName name="aqqqqqqq" hidden="1">{"F3 detail",#N/A,FALSE,"F3 ";"F3 Presentation",#N/A,FALSE,"F3 "}</definedName>
    <definedName name="aqqqqqqqq" localSheetId="10" hidden="1">{"F3 detail",#N/A,FALSE,"F1";"F3 Presentation",#N/A,FALSE,"F3 "}</definedName>
    <definedName name="aqqqqqqqq" hidden="1">{"F3 detail",#N/A,FALSE,"F1";"F3 Presentation",#N/A,FALSE,"F3 "}</definedName>
    <definedName name="aqw" hidden="1">#REF!</definedName>
    <definedName name="aqwertyu" hidden="1">#REF!</definedName>
    <definedName name="AR">#REF!</definedName>
    <definedName name="AR_Cust">#REF!</definedName>
    <definedName name="AR_Customer">#REF!</definedName>
    <definedName name="ARA_Threshold">#REF!</definedName>
    <definedName name="arc" localSheetId="10" hidden="1">{#N/A,#N/A,FALSE,"FRONTPG";#N/A,#N/A,FALSE,"STATUSREC";#N/A,#N/A,FALSE,"INELIG";#N/A,#N/A,FALSE,"ARACTIV";#N/A,#N/A,FALSE,"ARANAL";#N/A,#N/A,FALSE,"INVANAL";#N/A,#N/A,FALSE,"BALSHT";#N/A,#N/A,FALSE,"INCSTMT";#N/A,#N/A,FALSE,"CASHFLOW";#N/A,#N/A,FALSE,"TREND";#N/A,#N/A,FALSE,"LIAB"}</definedName>
    <definedName name="arc" hidden="1">{#N/A,#N/A,FALSE,"FRONTPG";#N/A,#N/A,FALSE,"STATUSREC";#N/A,#N/A,FALSE,"INELIG";#N/A,#N/A,FALSE,"ARACTIV";#N/A,#N/A,FALSE,"ARANAL";#N/A,#N/A,FALSE,"INVANAL";#N/A,#N/A,FALSE,"BALSHT";#N/A,#N/A,FALSE,"INCSTMT";#N/A,#N/A,FALSE,"CASHFLOW";#N/A,#N/A,FALSE,"TREND";#N/A,#N/A,FALSE,"LIAB"}</definedName>
    <definedName name="arejh" hidden="1">#REF!</definedName>
    <definedName name="argqe" localSheetId="10" hidden="1">{#N/A,#N/A,FALSE,"puboff";#N/A,#N/A,FALSE,"financials";#N/A,#N/A,FALSE,"valuation";#N/A,#N/A,FALSE,"split"}</definedName>
    <definedName name="argqe" hidden="1">{#N/A,#N/A,FALSE,"puboff";#N/A,#N/A,FALSE,"financials";#N/A,#N/A,FALSE,"valuation";#N/A,#N/A,FALSE,"split"}</definedName>
    <definedName name="argqe_1" localSheetId="10" hidden="1">{#N/A,#N/A,FALSE,"puboff";#N/A,#N/A,FALSE,"financials";#N/A,#N/A,FALSE,"valuation";#N/A,#N/A,FALSE,"split"}</definedName>
    <definedName name="argqe_1" hidden="1">{#N/A,#N/A,FALSE,"puboff";#N/A,#N/A,FALSE,"financials";#N/A,#N/A,FALSE,"valuation";#N/A,#N/A,FALSE,"split"}</definedName>
    <definedName name="arn.sale" localSheetId="10" hidden="1">{"sales",#N/A,FALSE,"Sales";"sales existing",#N/A,FALSE,"Sales";"sales rd1",#N/A,FALSE,"Sales";"sales rd2",#N/A,FALSE,"Sales"}</definedName>
    <definedName name="arn.sale" hidden="1">{"sales",#N/A,FALSE,"Sales";"sales existing",#N/A,FALSE,"Sales";"sales rd1",#N/A,FALSE,"Sales";"sales rd2",#N/A,FALSE,"Sales"}</definedName>
    <definedName name="ARP_Threshold" localSheetId="10">#REF!</definedName>
    <definedName name="ARP_Threshold">#REF!</definedName>
    <definedName name="art" localSheetId="10" hidden="1">{"COM",#N/A,FALSE,"800 10th"}</definedName>
    <definedName name="art" hidden="1">{"COM",#N/A,FALSE,"800 10th"}</definedName>
    <definedName name="A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_1" localSheetId="10" hidden="1">{"FCB_ALL",#N/A,FALSE,"FCB"}</definedName>
    <definedName name="as_1" hidden="1">{"FCB_ALL",#N/A,FALSE,"FCB"}</definedName>
    <definedName name="as_1_1" localSheetId="10" hidden="1">{"Material",#N/A,TRUE,"Summary";"Mfg",#N/A,TRUE,"Summary";"mfgbymo",#N/A,TRUE,"By Month";"Mtlbymo",#N/A,TRUE,"By Month"}</definedName>
    <definedName name="as_1_1" hidden="1">{"Material",#N/A,TRUE,"Summary";"Mfg",#N/A,TRUE,"Summary";"mfgbymo",#N/A,TRUE,"By Month";"Mtlbymo",#N/A,TRUE,"By Month"}</definedName>
    <definedName name="as_2" localSheetId="10" hidden="1">{"FCB_ALL",#N/A,FALSE,"FCB"}</definedName>
    <definedName name="as_2" hidden="1">{"FCB_ALL",#N/A,FALSE,"FCB"}</definedName>
    <definedName name="as_3" localSheetId="10" hidden="1">{"FCB_ALL",#N/A,FALSE,"FCB"}</definedName>
    <definedName name="as_3" hidden="1">{"FCB_ALL",#N/A,FALSE,"FCB"}</definedName>
    <definedName name="as_4" localSheetId="10" hidden="1">{"FCB_ALL",#N/A,FALSE,"FCB"}</definedName>
    <definedName name="as_4" hidden="1">{"FCB_ALL",#N/A,FALSE,"FCB"}</definedName>
    <definedName name="as_5" localSheetId="10" hidden="1">{"FCB_ALL",#N/A,FALSE,"FCB"}</definedName>
    <definedName name="as_5" hidden="1">{"FCB_ALL",#N/A,FALSE,"FCB"}</definedName>
    <definedName name="AS2DocOpenMode" hidden="1">"AS2DocumentEdit"</definedName>
    <definedName name="AS2DocOpenMode_1" hidden="1">"AS2DocumentEdit"</definedName>
    <definedName name="AS2HasNoAutoHeaderFooter" hidden="1">" "</definedName>
    <definedName name="AS2NamedRange" hidden="1">6</definedName>
    <definedName name="AS2NamedRange_1" hidden="1">6</definedName>
    <definedName name="AS2ReportLS" hidden="1">1</definedName>
    <definedName name="AS2StaticLS" localSheetId="10" hidden="1">#REF!</definedName>
    <definedName name="AS2StaticLS" localSheetId="9" hidden="1">#REF!</definedName>
    <definedName name="AS2StaticLS" localSheetId="8" hidden="1">#REF!</definedName>
    <definedName name="AS2StaticLS" localSheetId="16" hidden="1">#REF!</definedName>
    <definedName name="AS2StaticLS" hidden="1">#REF!</definedName>
    <definedName name="AS2SyncStepLS" hidden="1">0</definedName>
    <definedName name="AS2TickmarkLS" localSheetId="10" hidden="1">#REF!</definedName>
    <definedName name="AS2TickmarkLS" localSheetId="9" hidden="1">#REF!</definedName>
    <definedName name="AS2TickmarkLS" localSheetId="8" hidden="1">#REF!</definedName>
    <definedName name="AS2TickmarkLS" localSheetId="16" hidden="1">#REF!</definedName>
    <definedName name="AS2TickmarkLS" hidden="1">#REF!</definedName>
    <definedName name="AS2TickmarkLS1" hidden="1">#REF!</definedName>
    <definedName name="AS2VersionLS" hidden="1">300</definedName>
    <definedName name="asa" hidden="1">#REF!</definedName>
    <definedName name="asad" hidden="1">"C6021"</definedName>
    <definedName name="asas" localSheetId="10" hidden="1">{#N/A,#N/A,FALSE,"Pharm";#N/A,#N/A,FALSE,"WWCM"}</definedName>
    <definedName name="asas" hidden="1">{#N/A,#N/A,FALSE,"Pharm";#N/A,#N/A,FALSE,"WWCM"}</definedName>
    <definedName name="asasdasdfasdf" hidden="1">#REF!</definedName>
    <definedName name="asb">#REF!</definedName>
    <definedName name="asd" localSheetId="10" hidden="1">{"Assumptions",#N/A,FALSE,"Sheet1";"Main Report",#N/A,FALSE,"Sheet1";"Results",#N/A,FALSE,"Sheet1";"Advances",#N/A,FALSE,"Sheet1"}</definedName>
    <definedName name="asd" localSheetId="15" hidden="1">{"Assumptions",#N/A,FALSE,"Sheet1";"Main Report",#N/A,FALSE,"Sheet1";"Results",#N/A,FALSE,"Sheet1";"Advances",#N/A,FALSE,"Sheet1"}</definedName>
    <definedName name="asd" hidden="1">{"Assumptions",#N/A,FALSE,"Sheet1";"Main Report",#N/A,FALSE,"Sheet1";"Results",#N/A,FALSE,"Sheet1";"Advances",#N/A,FALSE,"Sheet1"}</definedName>
    <definedName name="asd_1" localSheetId="10" hidden="1">{"e_Target Assumptions",#N/A,FALSE,"Financials";"f_Target Income Statement",#N/A,FALSE,"Financials";"g_Target Balance Sheet",#N/A,FALSE,"Financials";"h_Target Cashflow Statement",#N/A,FALSE,"Financials"}</definedName>
    <definedName name="asd_1" hidden="1">{"e_Target Assumptions",#N/A,FALSE,"Financials";"f_Target Income Statement",#N/A,FALSE,"Financials";"g_Target Balance Sheet",#N/A,FALSE,"Financials";"h_Target Cashflow Statement",#N/A,FALSE,"Financials"}</definedName>
    <definedName name="asd_1_1" localSheetId="10" hidden="1">{"e_Target Assumptions",#N/A,FALSE,"Financials";"f_Target Income Statement",#N/A,FALSE,"Financials";"g_Target Balance Sheet",#N/A,FALSE,"Financials";"h_Target Cashflow Statement",#N/A,FALSE,"Financials"}</definedName>
    <definedName name="asd_1_1" hidden="1">{"e_Target Assumptions",#N/A,FALSE,"Financials";"f_Target Income Statement",#N/A,FALSE,"Financials";"g_Target Balance Sheet",#N/A,FALSE,"Financials";"h_Target Cashflow Statement",#N/A,FALSE,"Financials"}</definedName>
    <definedName name="asd_2" localSheetId="10" hidden="1">{"e_Target Assumptions",#N/A,FALSE,"Financials";"f_Target Income Statement",#N/A,FALSE,"Financials";"g_Target Balance Sheet",#N/A,FALSE,"Financials";"h_Target Cashflow Statement",#N/A,FALSE,"Financials"}</definedName>
    <definedName name="asd_2" hidden="1">{"e_Target Assumptions",#N/A,FALSE,"Financials";"f_Target Income Statement",#N/A,FALSE,"Financials";"g_Target Balance Sheet",#N/A,FALSE,"Financials";"h_Target Cashflow Statement",#N/A,FALSE,"Financials"}</definedName>
    <definedName name="asda" localSheetId="10" hidden="1">{"Page1",#N/A,FALSE,"DILUT1";"Page2",#N/A,FALSE,"DILUT1";"Page3",#N/A,FALSE,"DILUT1"}</definedName>
    <definedName name="asda" hidden="1">{"Page1",#N/A,FALSE,"DILUT1";"Page2",#N/A,FALSE,"DILUT1";"Page3",#N/A,FALSE,"DILUT1"}</definedName>
    <definedName name="asdasd" localSheetId="10" hidden="1">{"fis.dbo.r1_datasum"}</definedName>
    <definedName name="asdasd" hidden="1">{"fis.dbo.r1_datasum"}</definedName>
    <definedName name="asdasdasd" localSheetId="10" hidden="1">{"first",#N/A,FALSE,"FLEXPAC2";"second",#N/A,FALSE,"FLEXPAC2"}</definedName>
    <definedName name="asdasdasd" hidden="1">{"first",#N/A,FALSE,"FLEXPAC2";"second",#N/A,FALSE,"FLEXPAC2"}</definedName>
    <definedName name="asdasdasdasdas" hidden="1">#REF!</definedName>
    <definedName name="asdasfd" hidden="1">39625.3919675926</definedName>
    <definedName name="asdaw" localSheetId="10" hidden="1">{"FCB_ALL",#N/A,FALSE,"FCB"}</definedName>
    <definedName name="asdaw" localSheetId="15" hidden="1">{"FCB_ALL",#N/A,FALSE,"FCB"}</definedName>
    <definedName name="asdaw" hidden="1">{"FCB_ALL",#N/A,FALSE,"FCB"}</definedName>
    <definedName name="asdd" localSheetId="10" hidden="1">{#N/A,#N/A,FALSE,"UTIL Monthly Inc ";#N/A,#N/A,FALSE,"Capital";#N/A,#N/A,FALSE,"UTIL REVENUE";#N/A,#N/A,FALSE,"RM REVENUE";#N/A,#N/A,FALSE,"Manpower";#N/A,#N/A,FALSE,"SI - UTIL";#N/A,#N/A,FALSE,"Sales - Utili"}</definedName>
    <definedName name="asdd" hidden="1">{#N/A,#N/A,FALSE,"UTIL Monthly Inc ";#N/A,#N/A,FALSE,"Capital";#N/A,#N/A,FALSE,"UTIL REVENUE";#N/A,#N/A,FALSE,"RM REVENUE";#N/A,#N/A,FALSE,"Manpower";#N/A,#N/A,FALSE,"SI - UTIL";#N/A,#N/A,FALSE,"Sales - Utili"}</definedName>
    <definedName name="asdd_1" localSheetId="10" hidden="1">{#N/A,#N/A,FALSE,"UTIL Monthly Inc ";#N/A,#N/A,FALSE,"Capital";#N/A,#N/A,FALSE,"UTIL REVENUE";#N/A,#N/A,FALSE,"RM REVENUE";#N/A,#N/A,FALSE,"Manpower";#N/A,#N/A,FALSE,"SI - UTIL";#N/A,#N/A,FALSE,"Sales - Utili"}</definedName>
    <definedName name="asdd_1" hidden="1">{#N/A,#N/A,FALSE,"UTIL Monthly Inc ";#N/A,#N/A,FALSE,"Capital";#N/A,#N/A,FALSE,"UTIL REVENUE";#N/A,#N/A,FALSE,"RM REVENUE";#N/A,#N/A,FALSE,"Manpower";#N/A,#N/A,FALSE,"SI - UTIL";#N/A,#N/A,FALSE,"Sales - Utili"}</definedName>
    <definedName name="asdd_2" localSheetId="10" hidden="1">{#N/A,#N/A,FALSE,"UTIL Monthly Inc ";#N/A,#N/A,FALSE,"Capital";#N/A,#N/A,FALSE,"UTIL REVENUE";#N/A,#N/A,FALSE,"RM REVENUE";#N/A,#N/A,FALSE,"Manpower";#N/A,#N/A,FALSE,"SI - UTIL";#N/A,#N/A,FALSE,"Sales - Utili"}</definedName>
    <definedName name="asdd_2" hidden="1">{#N/A,#N/A,FALSE,"UTIL Monthly Inc ";#N/A,#N/A,FALSE,"Capital";#N/A,#N/A,FALSE,"UTIL REVENUE";#N/A,#N/A,FALSE,"RM REVENUE";#N/A,#N/A,FALSE,"Manpower";#N/A,#N/A,FALSE,"SI - UTIL";#N/A,#N/A,FALSE,"Sales - Utili"}</definedName>
    <definedName name="asdd_3" localSheetId="10" hidden="1">{#N/A,#N/A,FALSE,"UTIL Monthly Inc ";#N/A,#N/A,FALSE,"Capital";#N/A,#N/A,FALSE,"UTIL REVENUE";#N/A,#N/A,FALSE,"RM REVENUE";#N/A,#N/A,FALSE,"Manpower";#N/A,#N/A,FALSE,"SI - UTIL";#N/A,#N/A,FALSE,"Sales - Utili"}</definedName>
    <definedName name="asdd_3" hidden="1">{#N/A,#N/A,FALSE,"UTIL Monthly Inc ";#N/A,#N/A,FALSE,"Capital";#N/A,#N/A,FALSE,"UTIL REVENUE";#N/A,#N/A,FALSE,"RM REVENUE";#N/A,#N/A,FALSE,"Manpower";#N/A,#N/A,FALSE,"SI - UTIL";#N/A,#N/A,FALSE,"Sales - Utili"}</definedName>
    <definedName name="asdd_4" localSheetId="10" hidden="1">{#N/A,#N/A,FALSE,"UTIL Monthly Inc ";#N/A,#N/A,FALSE,"Capital";#N/A,#N/A,FALSE,"UTIL REVENUE";#N/A,#N/A,FALSE,"RM REVENUE";#N/A,#N/A,FALSE,"Manpower";#N/A,#N/A,FALSE,"SI - UTIL";#N/A,#N/A,FALSE,"Sales - Utili"}</definedName>
    <definedName name="asdd_4" hidden="1">{#N/A,#N/A,FALSE,"UTIL Monthly Inc ";#N/A,#N/A,FALSE,"Capital";#N/A,#N/A,FALSE,"UTIL REVENUE";#N/A,#N/A,FALSE,"RM REVENUE";#N/A,#N/A,FALSE,"Manpower";#N/A,#N/A,FALSE,"SI - UTIL";#N/A,#N/A,FALSE,"Sales - Utili"}</definedName>
    <definedName name="asdd_5" localSheetId="10" hidden="1">{#N/A,#N/A,FALSE,"UTIL Monthly Inc ";#N/A,#N/A,FALSE,"Capital";#N/A,#N/A,FALSE,"UTIL REVENUE";#N/A,#N/A,FALSE,"RM REVENUE";#N/A,#N/A,FALSE,"Manpower";#N/A,#N/A,FALSE,"SI - UTIL";#N/A,#N/A,FALSE,"Sales - Utili"}</definedName>
    <definedName name="asdd_5" hidden="1">{#N/A,#N/A,FALSE,"UTIL Monthly Inc ";#N/A,#N/A,FALSE,"Capital";#N/A,#N/A,FALSE,"UTIL REVENUE";#N/A,#N/A,FALSE,"RM REVENUE";#N/A,#N/A,FALSE,"Manpower";#N/A,#N/A,FALSE,"SI - UTIL";#N/A,#N/A,FALSE,"Sales - Utili"}</definedName>
    <definedName name="asdf"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asdf"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asdf"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asdf"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asdf" hidden="1">{#N/A,#N/A,TRUE,"Summary";#N/A,#N/A,TRUE,"Sensitivity";#N/A,#N/A,TRUE,"Assumptions";#N/A,#N/A,TRUE,"Uses &amp; Sources";#N/A,#N/A,TRUE,"Debt Schedule";#N/A,#N/A,TRUE,"Income Statement";#N/A,#N/A,TRUE,"Cash Flow";#N/A,#N/A,TRUE,"Balance Sheet";#N/A,#N/A,TRUE,"Taxes";#N/A,#N/A,TRUE,"Fixed Assets end 1998";#N/A,#N/A,TRUE,"DeprAcc";#N/A,#N/A,TRUE,"DeprTax"}</definedName>
    <definedName name="asdf_1"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asdf_1"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asdf_1" hidden="1">{#N/A,#N/A,TRUE,"Summary";#N/A,#N/A,TRUE,"Sensitivity";#N/A,#N/A,TRUE,"Assumptions";#N/A,#N/A,TRUE,"Uses &amp; Sources";#N/A,#N/A,TRUE,"Debt Schedule";#N/A,#N/A,TRUE,"Income Statement";#N/A,#N/A,TRUE,"Cash Flow";#N/A,#N/A,TRUE,"Balance Sheet";#N/A,#N/A,TRUE,"Taxes";#N/A,#N/A,TRUE,"Fixed Assets end 1998";#N/A,#N/A,TRUE,"DeprAcc";#N/A,#N/A,TRUE,"DeprTax"}</definedName>
    <definedName name="asdfadg"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0" hidden="1">{"'Sheet1'!$A$1:$J$121"}</definedName>
    <definedName name="asdfadsf" hidden="1">{"'Sheet1'!$A$1:$J$121"}</definedName>
    <definedName name="asdfadsf_1" localSheetId="10" hidden="1">{"'Sheet1'!$A$1:$J$121"}</definedName>
    <definedName name="asdfadsf_1" hidden="1">{"'Sheet1'!$A$1:$J$121"}</definedName>
    <definedName name="asdfadsf_2" localSheetId="10" hidden="1">{"'Sheet1'!$A$1:$J$121"}</definedName>
    <definedName name="asdfadsf_2" hidden="1">{"'Sheet1'!$A$1:$J$121"}</definedName>
    <definedName name="asdfadsf_3" localSheetId="10" hidden="1">{"'Sheet1'!$A$1:$J$121"}</definedName>
    <definedName name="asdfadsf_3" hidden="1">{"'Sheet1'!$A$1:$J$121"}</definedName>
    <definedName name="asdfadsf_4" localSheetId="10" hidden="1">{"'Sheet1'!$A$1:$J$121"}</definedName>
    <definedName name="asdfadsf_4" hidden="1">{"'Sheet1'!$A$1:$J$121"}</definedName>
    <definedName name="asdfadsf_5" localSheetId="10" hidden="1">{"'Sheet1'!$A$1:$J$121"}</definedName>
    <definedName name="asdfadsf_5" hidden="1">{"'Sheet1'!$A$1:$J$121"}</definedName>
    <definedName name="asdfaefe" localSheetId="10" hidden="1">{"profit statement",#N/A,FALSE,"P&amp;L STATEMENT"}</definedName>
    <definedName name="asdfaefe" hidden="1">{"profit statement",#N/A,FALSE,"P&amp;L STATEMENT"}</definedName>
    <definedName name="asdfas" localSheetId="10"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10"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localSheetId="10" hidden="1">{"'Inventory &amp; Anal-Cur Wkbk'!$A$7:$AP$71"}</definedName>
    <definedName name="asdfasd" hidden="1">{"'Inventory &amp; Anal-Cur Wkbk'!$A$7:$AP$71"}</definedName>
    <definedName name="asdfasdf" localSheetId="10" hidden="1">{#N/A,#N/A,FALSE,"TS";#N/A,#N/A,FALSE,"Combo";#N/A,#N/A,FALSE,"FAIR";#N/A,#N/A,FALSE,"RBC";#N/A,#N/A,FALSE,"xxxx";#N/A,#N/A,FALSE,"A_D";#N/A,#N/A,FALSE,"WACC";#N/A,#N/A,FALSE,"DCF";#N/A,#N/A,FALSE,"LBO";#N/A,#N/A,FALSE,"AcqMults";#N/A,#N/A,FALSE,"CompMults"}</definedName>
    <definedName name="asdfasdf" localSheetId="15"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10" hidden="1">{#N/A,#N/A,FALSE,"TS";#N/A,#N/A,FALSE,"Combo";#N/A,#N/A,FALSE,"FAIR";#N/A,#N/A,FALSE,"RBC";#N/A,#N/A,FALSE,"xxxx";#N/A,#N/A,FALSE,"A_D";#N/A,#N/A,FALSE,"WACC";#N/A,#N/A,FALSE,"DCF";#N/A,#N/A,FALSE,"LBO";#N/A,#N/A,FALSE,"AcqMults";#N/A,#N/A,FALSE,"CompMults"}</definedName>
    <definedName name="asdfasdf_1" hidden="1">{#N/A,#N/A,FALSE,"TS";#N/A,#N/A,FALSE,"Combo";#N/A,#N/A,FALSE,"FAIR";#N/A,#N/A,FALSE,"RBC";#N/A,#N/A,FALSE,"xxxx";#N/A,#N/A,FALSE,"A_D";#N/A,#N/A,FALSE,"WACC";#N/A,#N/A,FALSE,"DCF";#N/A,#N/A,FALSE,"LBO";#N/A,#N/A,FALSE,"AcqMults";#N/A,#N/A,FALSE,"CompMults"}</definedName>
    <definedName name="asdfasdfasdfasdf" localSheetId="10" hidden="1">{"first",#N/A,FALSE,"FLEXPAC2";"second",#N/A,FALSE,"FLEXPAC2"}</definedName>
    <definedName name="asdfasdfasdfasdf" hidden="1">{"first",#N/A,FALSE,"FLEXPAC2";"second",#N/A,FALSE,"FLEXPAC2"}</definedName>
    <definedName name="asdfasdfasdfsadf" localSheetId="10" hidden="1">{"FCB_ALL",#N/A,FALSE,"FCB"}</definedName>
    <definedName name="asdfasdfasdfsadf" hidden="1">{"FCB_ALL",#N/A,FALSE,"FCB"}</definedName>
    <definedName name="asdfasdfsadfasdfsadf" localSheetId="10" hidden="1">{"Assumptions",#N/A,FALSE,"Assum"}</definedName>
    <definedName name="asdfasdfsadfasdfsadf" hidden="1">{"Assumptions",#N/A,FALSE,"Assum"}</definedName>
    <definedName name="asdfasf" hidden="1">38939.6653819444</definedName>
    <definedName name="asdfdd" localSheetId="10" hidden="1">{"mgmt forecast",#N/A,FALSE,"Mgmt Forecast";"dcf table",#N/A,FALSE,"Mgmt Forecast";"sensitivity",#N/A,FALSE,"Mgmt Forecast";"table inputs",#N/A,FALSE,"Mgmt Forecast";"calculations",#N/A,FALSE,"Mgmt Forecast"}</definedName>
    <definedName name="asdfdd" hidden="1">{"mgmt forecast",#N/A,FALSE,"Mgmt Forecast";"dcf table",#N/A,FALSE,"Mgmt Forecast";"sensitivity",#N/A,FALSE,"Mgmt Forecast";"table inputs",#N/A,FALSE,"Mgmt Forecast";"calculations",#N/A,FALSE,"Mgmt Forecast"}</definedName>
    <definedName name="asdfdfddfsf"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e" localSheetId="10" hidden="1">{"FCB_ALL",#N/A,FALSE,"FCB"}</definedName>
    <definedName name="asdfe" localSheetId="15" hidden="1">{"FCB_ALL",#N/A,FALSE,"FCB"}</definedName>
    <definedName name="asdfe" hidden="1">{"FCB_ALL",#N/A,FALSE,"FCB"}</definedName>
    <definedName name="asdff" localSheetId="10" hidden="1">{"GTI monthly IS",#N/A,FALSE,"gti";#N/A,#N/A,FALSE,"gti"}</definedName>
    <definedName name="asdff" hidden="1">{"GTI monthly IS",#N/A,FALSE,"gti";#N/A,#N/A,FALSE,"gti"}</definedName>
    <definedName name="asdfg" localSheetId="10" hidden="1">{#N/A,#N/A,FALSE,"Pharm";#N/A,#N/A,FALSE,"WWCM"}</definedName>
    <definedName name="asdfg" hidden="1">{#N/A,#N/A,FALSE,"Pharm";#N/A,#N/A,FALSE,"WWCM"}</definedName>
    <definedName name="asdfjkl" localSheetId="10" hidden="1">{"bs",#N/A,FALSE,"SCF"}</definedName>
    <definedName name="asdfjkl" hidden="1">{"bs",#N/A,FALSE,"SCF"}</definedName>
    <definedName name="asdfn" localSheetId="10" hidden="1">{"FCB_ALL",#N/A,FALSE,"FCB";"GREY_ALL",#N/A,FALSE,"GREY"}</definedName>
    <definedName name="asdfn" localSheetId="15" hidden="1">{"FCB_ALL",#N/A,FALSE,"FCB";"GREY_ALL",#N/A,FALSE,"GREY"}</definedName>
    <definedName name="asdfn" hidden="1">{"FCB_ALL",#N/A,FALSE,"FCB";"GREY_ALL",#N/A,FALSE,"GREY"}</definedName>
    <definedName name="asdfrew" hidden="1">#REF!</definedName>
    <definedName name="asdfsadf" localSheetId="10" hidden="1">{"product cost",#N/A,FALSE,"P&amp;L STATEMENT"}</definedName>
    <definedName name="asdfsadf" hidden="1">{"product cost",#N/A,FALSE,"P&amp;L STATEMENT"}</definedName>
    <definedName name="asdfsd" hidden="1">#REF!</definedName>
    <definedName name="asdgaew" localSheetId="10" hidden="1">{"FCB_ALL",#N/A,FALSE,"FCB"}</definedName>
    <definedName name="asdgaew" localSheetId="15" hidden="1">{"FCB_ALL",#N/A,FALSE,"FCB"}</definedName>
    <definedName name="asdgaew" hidden="1">{"FCB_ALL",#N/A,FALSE,"FCB"}</definedName>
    <definedName name="asdgahdfhth" localSheetId="10" hidden="1">{#N/A,#N/A,FALSE,"REPORT"}</definedName>
    <definedName name="asdgahdfhth" hidden="1">{#N/A,#N/A,FALSE,"REPORT"}</definedName>
    <definedName name="asdgayery" localSheetId="10" hidden="1">{#N/A,#N/A,FALSE,"Pharm";#N/A,#N/A,FALSE,"WWCM"}</definedName>
    <definedName name="asdgayery" hidden="1">{#N/A,#N/A,FALSE,"Pharm";#N/A,#N/A,FALSE,"WWCM"}</definedName>
    <definedName name="asdgfdytyet" localSheetId="10" hidden="1">{#N/A,#N/A,FALSE,"REPORT"}</definedName>
    <definedName name="asdgfdytyet" hidden="1">{#N/A,#N/A,FALSE,"REPORT"}</definedName>
    <definedName name="asdgtryukuio" localSheetId="10" hidden="1">{#N/A,#N/A,FALSE,"REPORT"}</definedName>
    <definedName name="asdgtryukuio" hidden="1">{#N/A,#N/A,FALSE,"REPORT"}</definedName>
    <definedName name="asdh" localSheetId="10" hidden="1">{"client cfbs",#N/A,FALSE,"Client"}</definedName>
    <definedName name="asdh" localSheetId="15" hidden="1">{"client cfbs",#N/A,FALSE,"Client"}</definedName>
    <definedName name="asdh" hidden="1">{"client cfbs",#N/A,FALSE,"Client"}</definedName>
    <definedName name="asdjgkl" localSheetId="10" hidden="1">{#N/A,#N/A,FALSE,"Pharm";#N/A,#N/A,FALSE,"WWCM"}</definedName>
    <definedName name="asdjgkl" hidden="1">{#N/A,#N/A,FALSE,"Pharm";#N/A,#N/A,FALSE,"WWCM"}</definedName>
    <definedName name="asdr5" localSheetId="10" hidden="1">{"FCB_ALL",#N/A,FALSE,"FCB";"GREY_ALL",#N/A,FALSE,"GREY"}</definedName>
    <definedName name="asdr5" localSheetId="15" hidden="1">{"FCB_ALL",#N/A,FALSE,"FCB";"GREY_ALL",#N/A,FALSE,"GREY"}</definedName>
    <definedName name="asdr5" hidden="1">{"FCB_ALL",#N/A,FALSE,"FCB";"GREY_ALL",#N/A,FALSE,"GREY"}</definedName>
    <definedName name="asdre.dlfjdsf" localSheetId="10" hidden="1">{"product cost",#N/A,FALSE,"P&amp;L STATEMENT"}</definedName>
    <definedName name="asdre.dlfjdsf" hidden="1">{"product cost",#N/A,FALSE,"P&amp;L STATEMENT"}</definedName>
    <definedName name="asds" localSheetId="10"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sadsd" hidden="1">#REF!</definedName>
    <definedName name="asdvcsdavsav" hidden="1">#REF!</definedName>
    <definedName name="asdvdsavs" hidden="1">#REF!</definedName>
    <definedName name="asdzfczv" localSheetId="10" hidden="1">#REF!</definedName>
    <definedName name="asdzfczv" localSheetId="9" hidden="1">#REF!</definedName>
    <definedName name="asdzfczv" localSheetId="8" hidden="1">#REF!</definedName>
    <definedName name="asdzfczv" localSheetId="16" hidden="1">#REF!</definedName>
    <definedName name="asdzfczv" hidden="1">#REF!</definedName>
    <definedName name="a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a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asedfdf" localSheetId="10"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ef" localSheetId="10" hidden="1">{"Quarterly BS",#N/A,FALSE,"Financials"}</definedName>
    <definedName name="asef" localSheetId="15" hidden="1">{"Quarterly BS",#N/A,FALSE,"Financials"}</definedName>
    <definedName name="asef" hidden="1">{"Quarterly BS",#N/A,FALSE,"Financials"}</definedName>
    <definedName name="asef_1" localSheetId="10" hidden="1">{"Quarterly BS",#N/A,FALSE,"Financials"}</definedName>
    <definedName name="asef_1" localSheetId="15" hidden="1">{"Quarterly BS",#N/A,FALSE,"Financials"}</definedName>
    <definedName name="asef_1" hidden="1">{"Quarterly BS",#N/A,FALSE,"Financials"}</definedName>
    <definedName name="asefasef" localSheetId="10" hidden="1">{"Journal Entry",#N/A,FALSE,"Accrual"}</definedName>
    <definedName name="asefasef" hidden="1">{"Journal Entry",#N/A,FALSE,"Accrual"}</definedName>
    <definedName name="asf" localSheetId="10" hidden="1">{"QTD",#N/A,FALSE,"SUM"}</definedName>
    <definedName name="asf" hidden="1">{"QTD",#N/A,FALSE,"SUM"}</definedName>
    <definedName name="asfas" localSheetId="10" hidden="1">{0,0,"",0}</definedName>
    <definedName name="asfas" localSheetId="15" hidden="1">{0,0,"",0}</definedName>
    <definedName name="asfas" hidden="1">{0,0,"",0}</definedName>
    <definedName name="asfasdf" localSheetId="10" hidden="1">#REF!</definedName>
    <definedName name="asfasdf" hidden="1">#REF!</definedName>
    <definedName name="asfd" localSheetId="10" hidden="1">{"FCB_ALL",#N/A,FALSE,"FCB"}</definedName>
    <definedName name="asfd" localSheetId="15" hidden="1">{"FCB_ALL",#N/A,FALSE,"FCB"}</definedName>
    <definedName name="asfd" hidden="1">{"FCB_ALL",#N/A,FALSE,"FCB"}</definedName>
    <definedName name="asffghujyki" localSheetId="10" hidden="1">{#N/A,#N/A,FALSE,"Pharm";#N/A,#N/A,FALSE,"WWCM"}</definedName>
    <definedName name="asffghujyki" hidden="1">{#N/A,#N/A,FALSE,"Pharm";#N/A,#N/A,FALSE,"WWCM"}</definedName>
    <definedName name="asfg" localSheetId="10" hidden="1">{#N/A,#N/A,FALSE,"Balance Sheet";#N/A,#N/A,FALSE,"Income Statement";#N/A,#N/A,FALSE,"Changes in Financial Position"}</definedName>
    <definedName name="asfg" localSheetId="15" hidden="1">{#N/A,#N/A,FALSE,"Balance Sheet";#N/A,#N/A,FALSE,"Income Statement";#N/A,#N/A,FALSE,"Changes in Financial Position"}</definedName>
    <definedName name="asfg" hidden="1">{#N/A,#N/A,FALSE,"Balance Sheet";#N/A,#N/A,FALSE,"Income Statement";#N/A,#N/A,FALSE,"Changes in Financial Position"}</definedName>
    <definedName name="asfsadfadsf" localSheetId="10" hidden="1">{"manpower",#N/A,FALSE,"MANPOWER_PAYROLL"}</definedName>
    <definedName name="asfsadfadsf" hidden="1">{"manpower",#N/A,FALSE,"MANPOWER_PAYROLL"}</definedName>
    <definedName name="asfsadfasdf" localSheetId="10" hidden="1">{"profit statement",#N/A,FALSE,"P&amp;L STATEMENT"}</definedName>
    <definedName name="asfsadfasdf" hidden="1">{"profit statement",#N/A,FALSE,"P&amp;L STATEMENT"}</definedName>
    <definedName name="asgg"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HCASE" localSheetId="10">#REF!</definedName>
    <definedName name="ASHCASE">#REF!</definedName>
    <definedName name="ASIA" localSheetId="10" hidden="1">{#N/A,#N/A,FALSE,"Est97";#N/A,#N/A,FALSE,"Plan98";#N/A,#N/A,FALSE,"Graphs";#N/A,#N/A,FALSE,"5Yr"}</definedName>
    <definedName name="ASIA" localSheetId="15" hidden="1">{#N/A,#N/A,FALSE,"Est97";#N/A,#N/A,FALSE,"Plan98";#N/A,#N/A,FALSE,"Graphs";#N/A,#N/A,FALSE,"5Yr"}</definedName>
    <definedName name="ASIA" hidden="1">{#N/A,#N/A,FALSE,"Est97";#N/A,#N/A,FALSE,"Plan98";#N/A,#N/A,FALSE,"Graphs";#N/A,#N/A,FALSE,"5Yr"}</definedName>
    <definedName name="askljdflasfd" localSheetId="10">#REF!</definedName>
    <definedName name="askljdflasfd">#REF!</definedName>
    <definedName name="asqq" localSheetId="10"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 localSheetId="10" hidden="1">{#N/A,#N/A,FALSE,"Balance Sheet";#N/A,#N/A,FALSE,"Income Statement";#N/A,#N/A,FALSE,"Changes in Financial Position"}</definedName>
    <definedName name="ass" localSheetId="15" hidden="1">{#N/A,#N/A,FALSE,"Balance Sheet";#N/A,#N/A,FALSE,"Income Statement";#N/A,#N/A,FALSE,"Changes in Financial Position"}</definedName>
    <definedName name="ass" hidden="1">{#N/A,#N/A,FALSE,"Balance Sheet";#N/A,#N/A,FALSE,"Income Statement";#N/A,#N/A,FALSE,"Changes in Financial Position"}</definedName>
    <definedName name="ass.all" localSheetId="10" hidden="1">{#N/A,#N/A,FALSE,"cpt"}</definedName>
    <definedName name="ass.all" localSheetId="15" hidden="1">{#N/A,#N/A,FALSE,"cpt"}</definedName>
    <definedName name="ass.all" hidden="1">{#N/A,#N/A,FALSE,"cpt"}</definedName>
    <definedName name="ass2.all" localSheetId="10" hidden="1">{#N/A,#N/A,FALSE,"cpt"}</definedName>
    <definedName name="ass2.all" localSheetId="15" hidden="1">{#N/A,#N/A,FALSE,"cpt"}</definedName>
    <definedName name="ass2.all" hidden="1">{#N/A,#N/A,FALSE,"cpt"}</definedName>
    <definedName name="ASSA" localSheetId="10" hidden="1">{#N/A,#N/A,FALSE,"1";#N/A,#N/A,FALSE,"2";#N/A,#N/A,FALSE,"16 - 17";#N/A,#N/A,FALSE,"18 - 19";#N/A,#N/A,FALSE,"26";#N/A,#N/A,FALSE,"27";#N/A,#N/A,FALSE,"28"}</definedName>
    <definedName name="ASSA" hidden="1">{#N/A,#N/A,FALSE,"1";#N/A,#N/A,FALSE,"2";#N/A,#N/A,FALSE,"16 - 17";#N/A,#N/A,FALSE,"18 - 19";#N/A,#N/A,FALSE,"26";#N/A,#N/A,FALSE,"27";#N/A,#N/A,FALSE,"28"}</definedName>
    <definedName name="assline">#REF!</definedName>
    <definedName name="ASSS" localSheetId="10" hidden="1">{"FCB_ALL",#N/A,FALSE,"FCB"}</definedName>
    <definedName name="ASSS" localSheetId="15" hidden="1">{"FCB_ALL",#N/A,FALSE,"FCB"}</definedName>
    <definedName name="ASSS" hidden="1">{"FCB_ALL",#N/A,FALSE,"FCB"}</definedName>
    <definedName name="assssss" localSheetId="10" hidden="1">{"FCB_ALL",#N/A,FALSE,"FCB"}</definedName>
    <definedName name="assssss" localSheetId="15" hidden="1">{"FCB_ALL",#N/A,FALSE,"FCB"}</definedName>
    <definedName name="assssss" hidden="1">{"FCB_ALL",#N/A,FALSE,"FCB"}</definedName>
    <definedName name="assumptions">#REF!</definedName>
    <definedName name="Assumptions_2" localSheetId="10" hidden="1">{"'Form'!$A$2:$J$81"}</definedName>
    <definedName name="Assumptions_2" localSheetId="15" hidden="1">{"'Form'!$A$2:$J$81"}</definedName>
    <definedName name="Assumptions_2" hidden="1">{"'Form'!$A$2:$J$81"}</definedName>
    <definedName name="Assumptios2"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SEComb">#REF!</definedName>
    <definedName name="astec" localSheetId="10" hidden="1">{#N/A,#N/A,FALSE,"COP CONS SK";#N/A,#N/A,FALSE,"COP CONS RG";#N/A,#N/A,FALSE,"COP CONS SK BC";#N/A,#N/A,FALSE,"COP CONS RG BC";#N/A,#N/A,FALSE,"ALLIANCE SK";#N/A,#N/A,FALSE,"ALLIANCE RG";#N/A,#N/A,FALSE,"CPC SK";#N/A,#N/A,FALSE,"CPC RG"}</definedName>
    <definedName name="astec" hidden="1">{#N/A,#N/A,FALSE,"COP CONS SK";#N/A,#N/A,FALSE,"COP CONS RG";#N/A,#N/A,FALSE,"COP CONS SK BC";#N/A,#N/A,FALSE,"COP CONS RG BC";#N/A,#N/A,FALSE,"ALLIANCE SK";#N/A,#N/A,FALSE,"ALLIANCE RG";#N/A,#N/A,FALSE,"CPC SK";#N/A,#N/A,FALSE,"CPC RG"}</definedName>
    <definedName name="aswe" localSheetId="10"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sx" hidden="1">#REF!</definedName>
    <definedName name="att" localSheetId="10"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gust">#REF!</definedName>
    <definedName name="Auto">#REF!</definedName>
    <definedName name="AUto1" localSheetId="10" hidden="1">{#N/A,#N/A,FALSE,"Sheet1"}</definedName>
    <definedName name="AUto1" hidden="1">{#N/A,#N/A,FALSE,"Sheet1"}</definedName>
    <definedName name="AUto2" localSheetId="10" hidden="1">{#N/A,#N/A,FALSE,"Sheet1"}</definedName>
    <definedName name="AUto2" hidden="1">{#N/A,#N/A,FALSE,"Sheet1"}</definedName>
    <definedName name="av">#REF!</definedName>
    <definedName name="avbfbafd" hidden="1">#REF!</definedName>
    <definedName name="avdsasdvdsa" hidden="1">#REF!</definedName>
    <definedName name="av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 hidden="1">#REF!</definedName>
    <definedName name="awaapr_2017" hidden="1">#REF!</definedName>
    <definedName name="awaaug_2017" hidden="1">#REF!</definedName>
    <definedName name="awadec_2017" hidden="1">#REF!</definedName>
    <definedName name="awafeb_2017" hidden="1">#REF!</definedName>
    <definedName name="awajan_2017" hidden="1">#REF!</definedName>
    <definedName name="awajul_2017" hidden="1">#REF!</definedName>
    <definedName name="awajun_2017" hidden="1">#REF!</definedName>
    <definedName name="awamar_2017" hidden="1">#REF!</definedName>
    <definedName name="awamay_2017" hidden="1">#REF!</definedName>
    <definedName name="awanov_2017" hidden="1">#REF!</definedName>
    <definedName name="awaoct_2017" hidden="1">#REF!</definedName>
    <definedName name="awasep_2017" hidden="1">#REF!</definedName>
    <definedName name="awd" hidden="1">#REF!</definedName>
    <definedName name="awde" hidden="1">#REF!</definedName>
    <definedName name="awe" localSheetId="10" hidden="1">{#N/A,#N/A,FALSE,"COVER";#N/A,#N/A,FALSE,"Index";#N/A,#N/A,FALSE,"Non-Earning";#N/A,#N/A,FALSE,"Commercial";#N/A,#N/A,FALSE,"Detailed"}</definedName>
    <definedName name="awe" localSheetId="15" hidden="1">{#N/A,#N/A,FALSE,"COVER";#N/A,#N/A,FALSE,"Index";#N/A,#N/A,FALSE,"Non-Earning";#N/A,#N/A,FALSE,"Commercial";#N/A,#N/A,FALSE,"Detailed"}</definedName>
    <definedName name="awe" hidden="1">{#N/A,#N/A,FALSE,"COVER";#N/A,#N/A,FALSE,"Index";#N/A,#N/A,FALSE,"Non-Earning";#N/A,#N/A,FALSE,"Commercial";#N/A,#N/A,FALSE,"Detailed"}</definedName>
    <definedName name="awea" localSheetId="10" hidden="1">{"FCB_ALL",#N/A,FALSE,"FCB";"GREY_ALL",#N/A,FALSE,"GREY"}</definedName>
    <definedName name="awea" localSheetId="15" hidden="1">{"FCB_ALL",#N/A,FALSE,"FCB";"GREY_ALL",#N/A,FALSE,"GREY"}</definedName>
    <definedName name="awea" hidden="1">{"FCB_ALL",#N/A,FALSE,"FCB";"GREY_ALL",#N/A,FALSE,"GREY"}</definedName>
    <definedName name="aweax" hidden="1">#REF!</definedName>
    <definedName name="awert" localSheetId="10" hidden="1">{#N/A,#N/A,FALSE,"ORIX CSC"}</definedName>
    <definedName name="awert" hidden="1">{#N/A,#N/A,FALSE,"ORIX CSC"}</definedName>
    <definedName name="aweruio" localSheetId="10" hidden="1">{"bs",#N/A,FALSE,"SCF"}</definedName>
    <definedName name="aweruio" hidden="1">{"bs",#N/A,FALSE,"SCF"}</definedName>
    <definedName name="awq" localSheetId="10" hidden="1">{"YTD",#N/A,FALSE,"SUM"}</definedName>
    <definedName name="awq" hidden="1">{"YTD",#N/A,FALSE,"SUM"}</definedName>
    <definedName name="awqe" localSheetId="10" hidden="1">{"net assets",#N/A,FALSE,"summary";"asset turnover",#N/A,FALSE,"summary";"orona",#N/A,FALSE,"summary"}</definedName>
    <definedName name="awqe" hidden="1">{"net assets",#N/A,FALSE,"summary";"asset turnover",#N/A,FALSE,"summary";"orona",#N/A,FALSE,"summary"}</definedName>
    <definedName name="awqx" localSheetId="10" hidden="1">{"Comp_of_Price_Effect",#N/A,FALSE,"QTRDPVAR"}</definedName>
    <definedName name="awqx" hidden="1">{"Comp_of_Price_Effect",#N/A,FALSE,"QTRDPVAR"}</definedName>
    <definedName name="awse" hidden="1">#REF!</definedName>
    <definedName name="AX" localSheetId="10" hidden="1">{#N/A,#N/A,FALSE,"Pharm";#N/A,#N/A,FALSE,"WWCM"}</definedName>
    <definedName name="AX" hidden="1">{#N/A,#N/A,FALSE,"Pharm";#N/A,#N/A,FALSE,"WWCM"}</definedName>
    <definedName name="axe" localSheetId="10" hidden="1">{#N/A,#N/A,FALSE,"TS";#N/A,#N/A,FALSE,"Combo";#N/A,#N/A,FALSE,"FAIR";#N/A,#N/A,FALSE,"RBC";#N/A,#N/A,FALSE,"xxxx";#N/A,#N/A,FALSE,"A_D";#N/A,#N/A,FALSE,"WACC";#N/A,#N/A,FALSE,"DCF";#N/A,#N/A,FALSE,"LBO";#N/A,#N/A,FALSE,"AcqMults";#N/A,#N/A,FALSE,"CompMults"}</definedName>
    <definedName name="axe" hidden="1">{#N/A,#N/A,FALSE,"TS";#N/A,#N/A,FALSE,"Combo";#N/A,#N/A,FALSE,"FAIR";#N/A,#N/A,FALSE,"RBC";#N/A,#N/A,FALSE,"xxxx";#N/A,#N/A,FALSE,"A_D";#N/A,#N/A,FALSE,"WACC";#N/A,#N/A,FALSE,"DCF";#N/A,#N/A,FALSE,"LBO";#N/A,#N/A,FALSE,"AcqMults";#N/A,#N/A,FALSE,"CompMults"}</definedName>
    <definedName name="axe_1" localSheetId="10" hidden="1">{#N/A,#N/A,FALSE,"TS";#N/A,#N/A,FALSE,"Combo";#N/A,#N/A,FALSE,"FAIR";#N/A,#N/A,FALSE,"RBC";#N/A,#N/A,FALSE,"xxxx";#N/A,#N/A,FALSE,"A_D";#N/A,#N/A,FALSE,"WACC";#N/A,#N/A,FALSE,"DCF";#N/A,#N/A,FALSE,"LBO";#N/A,#N/A,FALSE,"AcqMults";#N/A,#N/A,FALSE,"CompMults"}</definedName>
    <definedName name="axe_1" hidden="1">{#N/A,#N/A,FALSE,"TS";#N/A,#N/A,FALSE,"Combo";#N/A,#N/A,FALSE,"FAIR";#N/A,#N/A,FALSE,"RBC";#N/A,#N/A,FALSE,"xxxx";#N/A,#N/A,FALSE,"A_D";#N/A,#N/A,FALSE,"WACC";#N/A,#N/A,FALSE,"DCF";#N/A,#N/A,FALSE,"LBO";#N/A,#N/A,FALSE,"AcqMults";#N/A,#N/A,FALSE,"CompMults"}</definedName>
    <definedName name="AxesFormat">#REF!</definedName>
    <definedName name="axs" localSheetId="10" hidden="1">{"QTD",#N/A,FALSE,"SUM"}</definedName>
    <definedName name="axs" hidden="1">{"QTD",#N/A,FALSE,"SUM"}</definedName>
    <definedName name="axz" localSheetId="10" hidden="1">{#N/A,"PURCHM",FALSE,"Business Analysis";#N/A,"SPADD",FALSE,"Business Analysis"}</definedName>
    <definedName name="axz" hidden="1">{#N/A,"PURCHM",FALSE,"Business Analysis";#N/A,"SPADD",FALSE,"Business Analysis"}</definedName>
    <definedName name="ayman" localSheetId="10" hidden="1">{#N/A,#N/A,FALSE,"1";#N/A,#N/A,FALSE,"2";#N/A,#N/A,FALSE,"16 - 17";#N/A,#N/A,FALSE,"18 - 19";#N/A,#N/A,FALSE,"26";#N/A,#N/A,FALSE,"27";#N/A,#N/A,FALSE,"28"}</definedName>
    <definedName name="ayman" hidden="1">{#N/A,#N/A,FALSE,"1";#N/A,#N/A,FALSE,"2";#N/A,#N/A,FALSE,"16 - 17";#N/A,#N/A,FALSE,"18 - 19";#N/A,#N/A,FALSE,"26";#N/A,#N/A,FALSE,"27";#N/A,#N/A,FALSE,"28"}</definedName>
    <definedName name="ayman1" localSheetId="10" hidden="1">{#N/A,#N/A,FALSE,"Pharm";#N/A,#N/A,FALSE,"WWCM"}</definedName>
    <definedName name="ayman1" hidden="1">{#N/A,#N/A,FALSE,"Pharm";#N/A,#N/A,FALSE,"WWCM"}</definedName>
    <definedName name="ayman2" localSheetId="10" hidden="1">{#N/A,#N/A,FALSE,"Pharm";#N/A,#N/A,FALSE,"WWCM"}</definedName>
    <definedName name="ayman2" hidden="1">{#N/A,#N/A,FALSE,"Pharm";#N/A,#N/A,FALSE,"WWCM"}</definedName>
    <definedName name="ayman7" localSheetId="10" hidden="1">{#N/A,#N/A,FALSE,"REPORT"}</definedName>
    <definedName name="ayman7" hidden="1">{#N/A,#N/A,FALSE,"REPORT"}</definedName>
    <definedName name="ayman8" localSheetId="10" hidden="1">{#N/A,#N/A,FALSE,"REPORT"}</definedName>
    <definedName name="ayman8" hidden="1">{#N/A,#N/A,FALSE,"REPORT"}</definedName>
    <definedName name="az" localSheetId="10" hidden="1">{#N/A,#N/A,FALSE,"Pharm";#N/A,#N/A,FALSE,"WWCM"}</definedName>
    <definedName name="az" hidden="1">{#N/A,#N/A,FALSE,"Pharm";#N/A,#N/A,FALSE,"WWCM"}</definedName>
    <definedName name="azeazr" localSheetId="10" hidden="1">{#N/A,#N/A,FALSE,"Sales Graph";#N/A,#N/A,FALSE,"BUC Graph";#N/A,#N/A,FALSE,"P&amp;L - YTD"}</definedName>
    <definedName name="azeazr" hidden="1">{#N/A,#N/A,FALSE,"Sales Graph";#N/A,#N/A,FALSE,"BUC Graph";#N/A,#N/A,FALSE,"P&amp;L - YTD"}</definedName>
    <definedName name="azerety" localSheetId="10" hidden="1">{#N/A,#N/A,FALSE,"Pharm";#N/A,#N/A,FALSE,"WWCM"}</definedName>
    <definedName name="azerety" hidden="1">{#N/A,#N/A,FALSE,"Pharm";#N/A,#N/A,FALSE,"WWCM"}</definedName>
    <definedName name="b"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b">#REF!</definedName>
    <definedName name="b.s" localSheetId="10" hidden="1">{"bs",#N/A,FALSE,"SCF"}</definedName>
    <definedName name="b.s" hidden="1">{"bs",#N/A,FALSE,"SCF"}</definedName>
    <definedName name="b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b_1" hidden="1">{#N/A,#N/A,FALSE,"Projections";#N/A,#N/A,FALSE,"AccrDil";#N/A,#N/A,FALSE,"PurchPriMult";#N/A,#N/A,FALSE,"Mults7_13";#N/A,#N/A,FALSE,"Mkt Mults";#N/A,#N/A,FALSE,"Acq Mults";#N/A,#N/A,FALSE,"StockPrices";#N/A,#N/A,FALSE,"Prem Paid";#N/A,#N/A,FALSE,"DCF";#N/A,#N/A,FALSE,"AUTO";#N/A,#N/A,FALSE,"Relative Trading";#N/A,#N/A,FALSE,"Mkt Val";#N/A,#N/A,FALSE,"Acq Val"}</definedName>
    <definedName name="ba" localSheetId="10" hidden="1">{"FCB_ALL",#N/A,FALSE,"FCB";"GREY_ALL",#N/A,FALSE,"GREY"}</definedName>
    <definedName name="ba" localSheetId="15" hidden="1">{"FCB_ALL",#N/A,FALSE,"FCB";"GREY_ALL",#N/A,FALSE,"GREY"}</definedName>
    <definedName name="ba" hidden="1">{"FCB_ALL",#N/A,FALSE,"FCB";"GREY_ALL",#N/A,FALSE,"GREY"}</definedName>
    <definedName name="BA_Alt_Chks" hidden="1">#REF!</definedName>
    <definedName name="BA_Err_Chks" hidden="1">#REF!</definedName>
    <definedName name="BA_TS_Ass" hidden="1">#REF!</definedName>
    <definedName name="bacd1101bd" localSheetId="10" hidden="1">{#N/A,"PURCHM",FALSE,"Business Analysis";#N/A,"SPADD",FALSE,"Business Analysis"}</definedName>
    <definedName name="bacd1101bd" hidden="1">{#N/A,"PURCHM",FALSE,"Business Analysis";#N/A,"SPADD",FALSE,"Business Analysis"}</definedName>
    <definedName name="bacd31" localSheetId="10" hidden="1">{#N/A,"PURCHM",FALSE,"Business Analysis";#N/A,"SPADD",FALSE,"Business Analysis"}</definedName>
    <definedName name="bacd31" hidden="1">{#N/A,"PURCHM",FALSE,"Business Analysis";#N/A,"SPADD",FALSE,"Business Analysis"}</definedName>
    <definedName name="bacd31bd" localSheetId="10" hidden="1">{#N/A,"PURCHM",FALSE,"Business Analysis";#N/A,"SPADD",FALSE,"Business Analysis"}</definedName>
    <definedName name="bacd31bd" hidden="1">{#N/A,"PURCHM",FALSE,"Business Analysis";#N/A,"SPADD",FALSE,"Business Analysis"}</definedName>
    <definedName name="backlog_trend2" localSheetId="10" hidden="1">{#N/A,#N/A,FALSE,"MW";#N/A,#N/A,FALSE,"NE";#N/A,#N/A,FALSE,"NW";#N/A,#N/A,FALSE,"RD";#N/A,#N/A,FALSE,"SE";#N/A,#N/A,FALSE,"SW";#N/A,#N/A,FALSE,"W"}</definedName>
    <definedName name="backlog_trend2" hidden="1">{#N/A,#N/A,FALSE,"MW";#N/A,#N/A,FALSE,"NE";#N/A,#N/A,FALSE,"NW";#N/A,#N/A,FALSE,"RD";#N/A,#N/A,FALSE,"SE";#N/A,#N/A,FALSE,"SW";#N/A,#N/A,FALSE,"W"}</definedName>
    <definedName name="Bad_Debt" localSheetId="10">#REF!</definedName>
    <definedName name="Bad_Debt">#REF!</definedName>
    <definedName name="BAL" localSheetId="10">#REF!</definedName>
    <definedName name="BAL">#REF!</definedName>
    <definedName name="bal.sh" localSheetId="10" hidden="1">{"bs",#N/A,FALSE,"SCF"}</definedName>
    <definedName name="bal.sh" hidden="1">{"bs",#N/A,FALSE,"SCF"}</definedName>
    <definedName name="balance" localSheetId="10">#REF!</definedName>
    <definedName name="balance">#REF!</definedName>
    <definedName name="BALANCE_SHEET" localSheetId="10">#REF!</definedName>
    <definedName name="BALANCE_SHEET">#REF!</definedName>
    <definedName name="balancesheet" localSheetId="10" hidden="1">{"bs",#N/A,FALSE,"SCF"}</definedName>
    <definedName name="balancesheet" hidden="1">{"bs",#N/A,FALSE,"SCF"}</definedName>
    <definedName name="BalanceSheetReconilication">#REF!</definedName>
    <definedName name="BalanceSheetReported">#REF!</definedName>
    <definedName name="BalanceSheetSummary">#REF!</definedName>
    <definedName name="Bank"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nk"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g" hidden="1">#REF!</definedName>
    <definedName name="BarLabels" localSheetId="10">#REF!</definedName>
    <definedName name="BarLabels">#REF!</definedName>
    <definedName name="Barricade_Sales__Net" localSheetId="10">#REF!</definedName>
    <definedName name="Barricade_Sales__Net">#REF!</definedName>
    <definedName name="base1" localSheetId="10" hidden="1">#REF!</definedName>
    <definedName name="base1" localSheetId="9" hidden="1">#REF!</definedName>
    <definedName name="base1" localSheetId="8" hidden="1">#REF!</definedName>
    <definedName name="base1" localSheetId="16" hidden="1">#REF!</definedName>
    <definedName name="base1" hidden="1">#REF!</definedName>
    <definedName name="BaseActual">#REF!</definedName>
    <definedName name="BaseEntry">#REF!</definedName>
    <definedName name="BaseFake">#REF!</definedName>
    <definedName name="BaseType">#REF!</definedName>
    <definedName name="bb" localSheetId="10" hidden="1">{"histincome",#N/A,FALSE,"hyfins";"closing balance",#N/A,FALSE,"hyfins"}</definedName>
    <definedName name="bb" localSheetId="15" hidden="1">{"histincome",#N/A,FALSE,"hyfins";"closing balance",#N/A,FALSE,"hyfins"}</definedName>
    <definedName name="bb" hidden="1">{"histincome",#N/A,FALSE,"hyfins";"closing balance",#N/A,FALSE,"hyfins"}</definedName>
    <definedName name="bb.gb._98" localSheetId="10" hidden="1">{#N/A,#N/A,FALSE,"Umsatz 99";#N/A,#N/A,FALSE,"ER 99 "}</definedName>
    <definedName name="bb.gb._98" hidden="1">{#N/A,#N/A,FALSE,"Umsatz 99";#N/A,#N/A,FALSE,"ER 99 "}</definedName>
    <definedName name="bb.gb._99" localSheetId="10" hidden="1">{#N/A,#N/A,FALSE,"Umsatz 99";#N/A,#N/A,FALSE,"ER 99 "}</definedName>
    <definedName name="bb.gb._99" hidden="1">{#N/A,#N/A,FALSE,"Umsatz 99";#N/A,#N/A,FALSE,"ER 99 "}</definedName>
    <definedName name="bb_1" localSheetId="10" hidden="1">{#N/A,#N/A,FALSE,"Assessment";#N/A,#N/A,FALSE,"Staffing";#N/A,#N/A,FALSE,"Hires";#N/A,#N/A,FALSE,"Assumptions"}</definedName>
    <definedName name="bb_1" hidden="1">{#N/A,#N/A,FALSE,"Assessment";#N/A,#N/A,FALSE,"Staffing";#N/A,#N/A,FALSE,"Hires";#N/A,#N/A,FALSE,"Assumptions"}</definedName>
    <definedName name="bbb" localSheetId="10" hidden="1">{#N/A,#N/A,FALSE,"Pharm";#N/A,#N/A,FALSE,"WWCM"}</definedName>
    <definedName name="bbb" hidden="1">{#N/A,#N/A,FALSE,"Pharm";#N/A,#N/A,FALSE,"WWCM"}</definedName>
    <definedName name="bbb_1" localSheetId="10" hidden="1">{#N/A,#N/A,FALSE,"Fiber - Domestic";#N/A,#N/A,FALSE,"Fiber - Internat'l"}</definedName>
    <definedName name="bbb_1" hidden="1">{#N/A,#N/A,FALSE,"Fiber - Domestic";#N/A,#N/A,FALSE,"Fiber - Internat'l"}</definedName>
    <definedName name="bbb_2" localSheetId="10" hidden="1">{#N/A,#N/A,FALSE,"Fiber - Domestic";#N/A,#N/A,FALSE,"Fiber - Internat'l"}</definedName>
    <definedName name="bbb_2" hidden="1">{#N/A,#N/A,FALSE,"Fiber - Domestic";#N/A,#N/A,FALSE,"Fiber - Internat'l"}</definedName>
    <definedName name="bbb_3" localSheetId="10" hidden="1">{#N/A,#N/A,FALSE,"Fiber - Domestic";#N/A,#N/A,FALSE,"Fiber - Internat'l"}</definedName>
    <definedName name="bbb_3" hidden="1">{#N/A,#N/A,FALSE,"Fiber - Domestic";#N/A,#N/A,FALSE,"Fiber - Internat'l"}</definedName>
    <definedName name="bbb_4" localSheetId="10" hidden="1">{#N/A,#N/A,FALSE,"Fiber - Domestic";#N/A,#N/A,FALSE,"Fiber - Internat'l"}</definedName>
    <definedName name="bbb_4" hidden="1">{#N/A,#N/A,FALSE,"Fiber - Domestic";#N/A,#N/A,FALSE,"Fiber - Internat'l"}</definedName>
    <definedName name="bbb_5" localSheetId="10" hidden="1">{#N/A,#N/A,FALSE,"Fiber - Domestic";#N/A,#N/A,FALSE,"Fiber - Internat'l"}</definedName>
    <definedName name="bbb_5" hidden="1">{#N/A,#N/A,FALSE,"Fiber - Domestic";#N/A,#N/A,FALSE,"Fiber - Internat'l"}</definedName>
    <definedName name="bbbb" localSheetId="10" hidden="1">{#N/A,#N/A,FALSE,"REPORT"}</definedName>
    <definedName name="bbbb" hidden="1">{#N/A,#N/A,FALSE,"REPORT"}</definedName>
    <definedName name="bbbbb" localSheetId="10" hidden="1">{"consolidated",#N/A,FALSE,"Sheet1";"cms",#N/A,FALSE,"Sheet1";"fse",#N/A,FALSE,"Sheet1"}</definedName>
    <definedName name="bbbbb" localSheetId="15" hidden="1">{"consolidated",#N/A,FALSE,"Sheet1";"cms",#N/A,FALSE,"Sheet1";"fse",#N/A,FALSE,"Sheet1"}</definedName>
    <definedName name="bbbbb" hidden="1">{"consolidated",#N/A,FALSE,"Sheet1";"cms",#N/A,FALSE,"Sheet1";"fse",#N/A,FALSE,"Sheet1"}</definedName>
    <definedName name="bbbbb_1" localSheetId="10" hidden="1">{#N/A,#N/A,FALSE,"Assessment";#N/A,#N/A,FALSE,"Staffing";#N/A,#N/A,FALSE,"Hires";#N/A,#N/A,FALSE,"Assumptions"}</definedName>
    <definedName name="bbbbb_1" hidden="1">{#N/A,#N/A,FALSE,"Assessment";#N/A,#N/A,FALSE,"Staffing";#N/A,#N/A,FALSE,"Hires";#N/A,#N/A,FALSE,"Assumptions"}</definedName>
    <definedName name="bbbbbb" localSheetId="10" hidden="1">{"rtn",#N/A,FALSE,"RTN";"tables",#N/A,FALSE,"RTN";"cf",#N/A,FALSE,"CF";"stats",#N/A,FALSE,"Stats";"prop",#N/A,FALSE,"Prop"}</definedName>
    <definedName name="bbbbbb" hidden="1">{"rtn",#N/A,FALSE,"RTN";"tables",#N/A,FALSE,"RTN";"cf",#N/A,FALSE,"CF";"stats",#N/A,FALSE,"Stats";"prop",#N/A,FALSE,"Prop"}</definedName>
    <definedName name="bbbbbbb" localSheetId="10" hidden="1">{"Outflow 1",#N/A,FALSE,"Outflows-Inflows";"Outflow 2",#N/A,FALSE,"Outflows-Inflows";"Inflow 1",#N/A,FALSE,"Outflows-Inflows";"Inflow 2",#N/A,FALSE,"Outflows-Inflows"}</definedName>
    <definedName name="bbbbbbb" hidden="1">{"Outflow 1",#N/A,FALSE,"Outflows-Inflows";"Outflow 2",#N/A,FALSE,"Outflows-Inflows";"Inflow 1",#N/A,FALSE,"Outflows-Inflows";"Inflow 2",#N/A,FALSE,"Outflows-Inflows"}</definedName>
    <definedName name="BBBBBBBB" localSheetId="10" hidden="1">{"summary1",#N/A,TRUE,"Comps";"summary2",#N/A,TRUE,"Comps";"summary3",#N/A,TRUE,"Comps"}</definedName>
    <definedName name="BBBBBBBB" hidden="1">{"summary1",#N/A,TRUE,"Comps";"summary2",#N/A,TRUE,"Comps";"summary3",#N/A,TRUE,"Comps"}</definedName>
    <definedName name="BBBBBBBBB" localSheetId="10" hidden="1">{#N/A,#N/A,FALSE,"REPORT"}</definedName>
    <definedName name="BBBBBBBBB" hidden="1">{#N/A,#N/A,FALSE,"REPORT"}</definedName>
    <definedName name="bbbbbbbbbb" localSheetId="10" hidden="1">{"detail",#N/A,FALSE,"mfg";"summary",#N/A,FALSE,"mfg"}</definedName>
    <definedName name="bbbbbbbbbb" hidden="1">{"detail",#N/A,FALSE,"mfg";"summary",#N/A,FALSE,"mfg"}</definedName>
    <definedName name="bbbbbbbbbbbbb" localSheetId="10" hidden="1">{#N/A,#N/A,FALSE,"Pharm";#N/A,#N/A,FALSE,"WWCM"}</definedName>
    <definedName name="bbbbbbbbbbbbb" hidden="1">{#N/A,#N/A,FALSE,"Pharm";#N/A,#N/A,FALSE,"WWCM"}</definedName>
    <definedName name="bbbbbbbbbbbbbbbbbbbb" localSheetId="10" hidden="1">{"detail",#N/A,FALSE,"mfg";"summary",#N/A,FALSE,"mfg"}</definedName>
    <definedName name="bbbbbbbbbbbbbbbbbbbb" hidden="1">{"detail",#N/A,FALSE,"mfg";"summary",#N/A,FALSE,"mfg"}</definedName>
    <definedName name="BBD" localSheetId="10" hidden="1">{#N/A,#N/A,FALSE,"PRJCTED QTRLY QTY's"}</definedName>
    <definedName name="BBD" localSheetId="15" hidden="1">{#N/A,#N/A,FALSE,"PRJCTED QTRLY QTY's"}</definedName>
    <definedName name="BBD" hidden="1">{#N/A,#N/A,FALSE,"PRJCTED QTRLY QTY's"}</definedName>
    <definedName name="bbm" localSheetId="10" hidden="1">{"EBITDA",#N/A,TRUE,"P&amp;L Net of Disc Ops";"output net of disc ops",#N/A,TRUE,"Revenue";"input",#N/A,TRUE,"Revenue";"output",#N/A,TRUE,"DC";"Input",#N/A,TRUE,"DC";"MTN and MCN",#N/A,TRUE,"Margin";"output detail line items",#N/A,TRUE,"SGA";"personnel by year",#N/A,TRUE,"Payroll";#N/A,#N/A,TRUE,"CapEx"}</definedName>
    <definedName name="bbm" localSheetId="15"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t" localSheetId="10" hidden="1">{#N/A,#N/A,FALSE,"DI 2 YEAR MASTER SCHEDULE"}</definedName>
    <definedName name="bbt" localSheetId="15" hidden="1">{#N/A,#N/A,FALSE,"DI 2 YEAR MASTER SCHEDULE"}</definedName>
    <definedName name="bbt" hidden="1">{#N/A,#N/A,FALSE,"DI 2 YEAR MASTER SCHEDULE"}</definedName>
    <definedName name="bbvcx" localSheetId="10"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 localSheetId="10" hidden="1">{#N/A,#N/A,FALSE,"Hoja10";#N/A,#N/A,FALSE,"Hoja9";#N/A,#N/A,FALSE,"Hoja8";#N/A,#N/A,FALSE,"Hoja7";#N/A,#N/A,FALSE,"Hoja6";#N/A,#N/A,FALSE,"Hoja5";#N/A,#N/A,FALSE,"Hoja4";#N/A,#N/A,FALSE,"Hoja2";#N/A,#N/A,FALSE,"Hoja3";#N/A,#N/A,FALSE,"HOJA1";#N/A,#N/A,FALSE,"CashFlow";#N/A,#N/A,FALSE,"FinStmts"}</definedName>
    <definedName name="bc" hidden="1">{#N/A,#N/A,FALSE,"Hoja10";#N/A,#N/A,FALSE,"Hoja9";#N/A,#N/A,FALSE,"Hoja8";#N/A,#N/A,FALSE,"Hoja7";#N/A,#N/A,FALSE,"Hoja6";#N/A,#N/A,FALSE,"Hoja5";#N/A,#N/A,FALSE,"Hoja4";#N/A,#N/A,FALSE,"Hoja2";#N/A,#N/A,FALSE,"Hoja3";#N/A,#N/A,FALSE,"HOJA1";#N/A,#N/A,FALSE,"CashFlow";#N/A,#N/A,FALSE,"FinStmts"}</definedName>
    <definedName name="bcbsconrib" hidden="1">#REF!</definedName>
    <definedName name="bccv" localSheetId="10" hidden="1">{"NOPCAPEVA",#N/A,FALSE,"Nopat";"FCFCSTAR",#N/A,FALSE,"FCFVAL";"EVAVL",#N/A,FALSE,"EVAVAL";"LEASE",#N/A,FALSE,"OpLease"}</definedName>
    <definedName name="bccv" hidden="1">{"NOPCAPEVA",#N/A,FALSE,"Nopat";"FCFCSTAR",#N/A,FALSE,"FCFVAL";"EVAVL",#N/A,FALSE,"EVAVAL";"LEASE",#N/A,FALSE,"OpLease"}</definedName>
    <definedName name="bcd" localSheetId="10" hidden="1">{"'debtors'!$A$1:$I$305","'debtors'!$A$1:$J$285"}</definedName>
    <definedName name="bcd" hidden="1">{"'debtors'!$A$1:$I$305","'debtors'!$A$1:$J$285"}</definedName>
    <definedName name="BCVB" localSheetId="10" hidden="1">{#N/A,#N/A,FALSE,"COP CONS SK";#N/A,#N/A,FALSE,"COP CONS RG";#N/A,#N/A,FALSE,"COP CONS SK BC";#N/A,#N/A,FALSE,"COP CONS RG BC";#N/A,#N/A,FALSE,"ALLIANCE SK";#N/A,#N/A,FALSE,"ALLIANCE RG";#N/A,#N/A,FALSE,"CPC SK";#N/A,#N/A,FALSE,"CPC RG"}</definedName>
    <definedName name="BCVB" hidden="1">{#N/A,#N/A,FALSE,"COP CONS SK";#N/A,#N/A,FALSE,"COP CONS RG";#N/A,#N/A,FALSE,"COP CONS SK BC";#N/A,#N/A,FALSE,"COP CONS RG BC";#N/A,#N/A,FALSE,"ALLIANCE SK";#N/A,#N/A,FALSE,"ALLIANCE RG";#N/A,#N/A,FALSE,"CPC SK";#N/A,#N/A,FALSE,"CPC RG"}</definedName>
    <definedName name="bcvxz" localSheetId="10" hidden="1">{"NOPCAPEVA",#N/A,FALSE,"Nopat";"FCFCSTAR",#N/A,FALSE,"FCFVAL";"EVAVL",#N/A,FALSE,"EVAVAL";"LEASE",#N/A,FALSE,"OpLease"}</definedName>
    <definedName name="bcvxz" hidden="1">{"NOPCAPEVA",#N/A,FALSE,"Nopat";"FCFCSTAR",#N/A,FALSE,"FCFVAL";"EVAVL",#N/A,FALSE,"EVAVAL";"LEASE",#N/A,FALSE,"OpLease"}</definedName>
    <definedName name="bcz" localSheetId="10" hidden="1">{"AnnInc",#N/A,TRUE,"Inc";"QtrInc1",#N/A,TRUE,"Inc";"Balance",#N/A,TRUE,"Bal";"Cflow",#N/A,TRUE,"Cash"}</definedName>
    <definedName name="bcz" hidden="1">{"AnnInc",#N/A,TRUE,"Inc";"QtrInc1",#N/A,TRUE,"Inc";"Balance",#N/A,TRUE,"Bal";"Cflow",#N/A,TRUE,"Cash"}</definedName>
    <definedName name="bdxc" localSheetId="10" hidden="1">{"NOPCAPEVA",#N/A,FALSE,"Nopat";"FCFCSTAR",#N/A,FALSE,"FCFVAL";"EVAVL",#N/A,FALSE,"EVAVAL";"LEASE",#N/A,FALSE,"OpLease"}</definedName>
    <definedName name="bdxc" hidden="1">{"NOPCAPEVA",#N/A,FALSE,"Nopat";"FCFCSTAR",#N/A,FALSE,"FCFVAL";"EVAVL",#N/A,FALSE,"EVAVAL";"LEASE",#N/A,FALSE,"OpLease"}</definedName>
    <definedName name="beacua" localSheetId="10" hidden="1">{"Headcount Worksheet",#N/A,FALSE,"HEADCOUNT"}</definedName>
    <definedName name="beacua" hidden="1">{"Headcount Worksheet",#N/A,FALSE,"HEADCOUNT"}</definedName>
    <definedName name="Bear" localSheetId="10" hidden="1">{#N/A,#N/A,FALSE,"TS";#N/A,#N/A,FALSE,"Combo";#N/A,#N/A,FALSE,"FAIR";#N/A,#N/A,FALSE,"RBC";#N/A,#N/A,FALSE,"xxxx";#N/A,#N/A,FALSE,"A_D";#N/A,#N/A,FALSE,"WACC";#N/A,#N/A,FALSE,"DCF";#N/A,#N/A,FALSE,"LBO";#N/A,#N/A,FALSE,"AcqMults";#N/A,#N/A,FALSE,"CompMults"}</definedName>
    <definedName name="Bear" localSheetId="15"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10"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2" localSheetId="10"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r" localSheetId="10"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arr_1" localSheetId="10" hidden="1">{#N/A,#N/A,FALSE,"TS";#N/A,#N/A,FALSE,"Combo";#N/A,#N/A,FALSE,"FAIR";#N/A,#N/A,FALSE,"RBC";#N/A,#N/A,FALSE,"xxxx";#N/A,#N/A,FALSE,"A_D";#N/A,#N/A,FALSE,"WACC";#N/A,#N/A,FALSE,"DCF";#N/A,#N/A,FALSE,"LBO";#N/A,#N/A,FALSE,"AcqMults";#N/A,#N/A,FALSE,"CompMults"}</definedName>
    <definedName name="bearr_1" hidden="1">{#N/A,#N/A,FALSE,"TS";#N/A,#N/A,FALSE,"Combo";#N/A,#N/A,FALSE,"FAIR";#N/A,#N/A,FALSE,"RBC";#N/A,#N/A,FALSE,"xxxx";#N/A,#N/A,FALSE,"A_D";#N/A,#N/A,FALSE,"WACC";#N/A,#N/A,FALSE,"DCF";#N/A,#N/A,FALSE,"LBO";#N/A,#N/A,FALSE,"AcqMults";#N/A,#N/A,FALSE,"CompMults"}</definedName>
    <definedName name="Beauregard">"Check Box 1"</definedName>
    <definedName name="Bed_Multiple" localSheetId="10">#REF!</definedName>
    <definedName name="Bed_Multiple">#REF!</definedName>
    <definedName name="befcky">36990.5917744213</definedName>
    <definedName name="Benefit" localSheetId="10" hidden="1">#REF!</definedName>
    <definedName name="Benefit" hidden="1">#REF!</definedName>
    <definedName name="be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ber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Beurteilung">#REF!</definedName>
    <definedName name="bfc" localSheetId="10" hidden="1">{"NOPCAPEVA",#N/A,FALSE,"Nopat";"FCFCSTAR",#N/A,FALSE,"FCFVAL";"EVAVL",#N/A,FALSE,"EVAVAL";"LEASE",#N/A,FALSE,"OpLease"}</definedName>
    <definedName name="bfc" hidden="1">{"NOPCAPEVA",#N/A,FALSE,"Nopat";"FCFCSTAR",#N/A,FALSE,"FCFVAL";"EVAVL",#N/A,FALSE,"EVAVAL";"LEASE",#N/A,FALSE,"OpLease"}</definedName>
    <definedName name="bfdf" hidden="1">#REF!</definedName>
    <definedName name="bfds" localSheetId="10" hidden="1">{"NOPCAPEVA",#N/A,FALSE,"Nopat";"FCFCSTAR",#N/A,FALSE,"FCFVAL";"EVAVL",#N/A,FALSE,"EVAVAL";"LEASE",#N/A,FALSE,"OpLease"}</definedName>
    <definedName name="bfds" hidden="1">{"NOPCAPEVA",#N/A,FALSE,"Nopat";"FCFCSTAR",#N/A,FALSE,"FCFVAL";"EVAVL",#N/A,FALSE,"EVAVAL";"LEASE",#N/A,FALSE,"OpLease"}</definedName>
    <definedName name="bfdz" localSheetId="10" hidden="1">{"NOPCAPEVA",#N/A,FALSE,"Nopat";"FCFCSTAR",#N/A,FALSE,"FCFVAL";"EVAVL",#N/A,FALSE,"EVAVAL";"LEASE",#N/A,FALSE,"OpLease"}</definedName>
    <definedName name="bfdz" hidden="1">{"NOPCAPEVA",#N/A,FALSE,"Nopat";"FCFCSTAR",#N/A,FALSE,"FCFVAL";"EVAVL",#N/A,FALSE,"EVAVAL";"LEASE",#N/A,FALSE,"OpLease"}</definedName>
    <definedName name="bfnre" hidden="1">#REF!</definedName>
    <definedName name="bfszd" localSheetId="10" hidden="1">{"NOPCAPEVA",#N/A,FALSE,"Nopat";"FCFCSTAR",#N/A,FALSE,"FCFVAL";"EVAVL",#N/A,FALSE,"EVAVAL";"LEASE",#N/A,FALSE,"OpLease"}</definedName>
    <definedName name="bfszd" hidden="1">{"NOPCAPEVA",#N/A,FALSE,"Nopat";"FCFCSTAR",#N/A,FALSE,"FCFVAL";"EVAVL",#N/A,FALSE,"EVAVAL";"LEASE",#N/A,FALSE,"OpLease"}</definedName>
    <definedName name="bfx" localSheetId="10" hidden="1">{"AnnInc",#N/A,TRUE,"Inc";"QtrInc1",#N/A,TRUE,"Inc";"Balance",#N/A,TRUE,"Bal";"Cflow",#N/A,TRUE,"Cash"}</definedName>
    <definedName name="bfx" hidden="1">{"AnnInc",#N/A,TRUE,"Inc";"QtrInc1",#N/A,TRUE,"Inc";"Balance",#N/A,TRUE,"Bal";"Cflow",#N/A,TRUE,"Cash"}</definedName>
    <definedName name="bfzx" localSheetId="10" hidden="1">{"AnnInc",#N/A,TRUE,"Inc";"QtrInc1",#N/A,TRUE,"Inc";"Balance",#N/A,TRUE,"Bal";"Cflow",#N/A,TRUE,"Cash"}</definedName>
    <definedName name="bfzx" hidden="1">{"AnnInc",#N/A,TRUE,"Inc";"QtrInc1",#N/A,TRUE,"Inc";"Balance",#N/A,TRUE,"Bal";"Cflow",#N/A,TRUE,"Cash"}</definedName>
    <definedName name="bg" localSheetId="10" hidden="1">{"net assets",#N/A,FALSE,"summary";"asset turnover",#N/A,FALSE,"summary";"orona",#N/A,FALSE,"summary"}</definedName>
    <definedName name="bg" hidden="1">{"net assets",#N/A,FALSE,"summary";"asset turnover",#N/A,FALSE,"summary";"orona",#N/A,FALSE,"summary"}</definedName>
    <definedName name="BG_Del" hidden="1">15</definedName>
    <definedName name="BG_Ins" hidden="1">4</definedName>
    <definedName name="BG_Mod" hidden="1">6</definedName>
    <definedName name="bgebg" hidden="1">#REF!</definedName>
    <definedName name="bgh" localSheetId="10" hidden="1">{"histincome",#N/A,FALSE,"hyfins";"closing balance",#N/A,FALSE,"hyfins"}</definedName>
    <definedName name="bgh" localSheetId="15" hidden="1">{"histincome",#N/A,FALSE,"hyfins";"closing balance",#N/A,FALSE,"hyfins"}</definedName>
    <definedName name="bgh" hidden="1">{"histincome",#N/A,FALSE,"hyfins";"closing balance",#N/A,FALSE,"hyfins"}</definedName>
    <definedName name="bgr" hidden="1">#REF!</definedName>
    <definedName name="bgrgbrt" hidden="1">#REF!</definedName>
    <definedName name="bgshg" hidden="1">#REF!</definedName>
    <definedName name="BHUVAN" localSheetId="10" hidden="1">{"'subnets'!$A$1:$F$20"}</definedName>
    <definedName name="BHUVAN" hidden="1">{"'subnets'!$A$1:$F$20"}</definedName>
    <definedName name="BILL"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1" localSheetId="10" hidden="1">{#N/A,#N/A,FALSE,"MKT.COMPS";#N/A,#N/A,FALSE,"DCF - LBO"}</definedName>
    <definedName name="bill1" hidden="1">{#N/A,#N/A,FALSE,"MKT.COMPS";#N/A,#N/A,FALSE,"DCF - LBO"}</definedName>
    <definedName name="bill2" localSheetId="10" hidden="1">{"PAGE 1",#N/A,FALSE,"WEST_OT"}</definedName>
    <definedName name="bill2" hidden="1">{"PAGE 1",#N/A,FALSE,"WEST_OT"}</definedName>
    <definedName name="bill3" localSheetId="10" hidden="1">{"PAGE 1",#N/A,FALSE,"WEST_OT"}</definedName>
    <definedName name="bill3" hidden="1">{"PAGE 1",#N/A,FALSE,"WEST_OT"}</definedName>
    <definedName name="billrev2" localSheetId="10" hidden="1">{"PAGE 1",#N/A,FALSE,"WEST_OT"}</definedName>
    <definedName name="billrev2" hidden="1">{"PAGE 1",#N/A,FALSE,"WEST_OT"}</definedName>
    <definedName name="bilol" localSheetId="10" hidden="1">{#N/A,#N/A,FALSE,"VALSUM";#N/A,#N/A,FALSE,"MKT.COMPS";#N/A,#N/A,FALSE,"ACQ.MULT.";#N/A,#N/A,FALSE,"DCF - LBO"}</definedName>
    <definedName name="bilol" hidden="1">{#N/A,#N/A,FALSE,"VALSUM";#N/A,#N/A,FALSE,"MKT.COMPS";#N/A,#N/A,FALSE,"ACQ.MULT.";#N/A,#N/A,FALSE,"DCF - LBO"}</definedName>
    <definedName name="bimdk2" localSheetId="10"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10"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te" localSheetId="10"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bite"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bj" localSheetId="10"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localSheetId="10"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kls" localSheetId="10" hidden="1">{#N/A,"PURCHM",FALSE,"Business Analysis";#N/A,"SPADD",FALSE,"Business Analysis"}</definedName>
    <definedName name="bkls" hidden="1">{#N/A,"PURCHM",FALSE,"Business Analysis";#N/A,"SPADD",FALSE,"Business Analysis"}</definedName>
    <definedName name="bl" localSheetId="10" hidden="1">{"F3 detail",#N/A,FALSE,"F1";"F3 Presentation",#N/A,FALSE,"F3 "}</definedName>
    <definedName name="bl" hidden="1">{"F3 detail",#N/A,FALSE,"F1";"F3 Presentation",#N/A,FALSE,"F3 "}</definedName>
    <definedName name="blah" localSheetId="10" hidden="1">{#N/A,#N/A,FALSE,"TEL Monthly Inc";#N/A,#N/A,FALSE,"TEL REVENUE";#N/A,#N/A,FALSE,"Tel - Manpower";#N/A,#N/A,FALSE,"Tel Sales Support";#N/A,#N/A,FALSE,"SI - TELCO";#N/A,#N/A,FALSE,"Sales - Telco";#N/A,#N/A,FALSE,"Tel - Mktg";#N/A,#N/A,FALSE,"Tel - Mktg"}</definedName>
    <definedName name="blah" hidden="1">{#N/A,#N/A,FALSE,"TEL Monthly Inc";#N/A,#N/A,FALSE,"TEL REVENUE";#N/A,#N/A,FALSE,"Tel - Manpower";#N/A,#N/A,FALSE,"Tel Sales Support";#N/A,#N/A,FALSE,"SI - TELCO";#N/A,#N/A,FALSE,"Sales - Telco";#N/A,#N/A,FALSE,"Tel - Mktg";#N/A,#N/A,FALSE,"Tel - Mktg"}</definedName>
    <definedName name="blah_1" localSheetId="10" hidden="1">{#N/A,#N/A,FALSE,"TEL Monthly Inc";#N/A,#N/A,FALSE,"TEL REVENUE";#N/A,#N/A,FALSE,"Tel - Manpower";#N/A,#N/A,FALSE,"Tel Sales Support";#N/A,#N/A,FALSE,"SI - TELCO";#N/A,#N/A,FALSE,"Sales - Telco";#N/A,#N/A,FALSE,"Tel - Mktg";#N/A,#N/A,FALSE,"Tel - Mktg"}</definedName>
    <definedName name="blah_1" hidden="1">{#N/A,#N/A,FALSE,"TEL Monthly Inc";#N/A,#N/A,FALSE,"TEL REVENUE";#N/A,#N/A,FALSE,"Tel - Manpower";#N/A,#N/A,FALSE,"Tel Sales Support";#N/A,#N/A,FALSE,"SI - TELCO";#N/A,#N/A,FALSE,"Sales - Telco";#N/A,#N/A,FALSE,"Tel - Mktg";#N/A,#N/A,FALSE,"Tel - Mktg"}</definedName>
    <definedName name="blah_1_1" localSheetId="10" hidden="1">{#N/A,#N/A,FALSE,"TEL Monthly Inc";#N/A,#N/A,FALSE,"TEL REVENUE";#N/A,#N/A,FALSE,"Tel - Manpower";#N/A,#N/A,FALSE,"Tel Sales Support";#N/A,#N/A,FALSE,"SI - TELCO";#N/A,#N/A,FALSE,"Sales - Telco";#N/A,#N/A,FALSE,"Tel - Mktg";#N/A,#N/A,FALSE,"Tel - Mktg"}</definedName>
    <definedName name="blah_1_1" hidden="1">{#N/A,#N/A,FALSE,"TEL Monthly Inc";#N/A,#N/A,FALSE,"TEL REVENUE";#N/A,#N/A,FALSE,"Tel - Manpower";#N/A,#N/A,FALSE,"Tel Sales Support";#N/A,#N/A,FALSE,"SI - TELCO";#N/A,#N/A,FALSE,"Sales - Telco";#N/A,#N/A,FALSE,"Tel - Mktg";#N/A,#N/A,FALSE,"Tel - Mktg"}</definedName>
    <definedName name="blah_1_1_1" localSheetId="10" hidden="1">{#N/A,#N/A,FALSE,"TEL Monthly Inc";#N/A,#N/A,FALSE,"TEL REVENUE";#N/A,#N/A,FALSE,"Tel - Manpower";#N/A,#N/A,FALSE,"Tel Sales Support";#N/A,#N/A,FALSE,"SI - TELCO";#N/A,#N/A,FALSE,"Sales - Telco";#N/A,#N/A,FALSE,"Tel - Mktg";#N/A,#N/A,FALSE,"Tel - Mktg"}</definedName>
    <definedName name="blah_1_1_1" hidden="1">{#N/A,#N/A,FALSE,"TEL Monthly Inc";#N/A,#N/A,FALSE,"TEL REVENUE";#N/A,#N/A,FALSE,"Tel - Manpower";#N/A,#N/A,FALSE,"Tel Sales Support";#N/A,#N/A,FALSE,"SI - TELCO";#N/A,#N/A,FALSE,"Sales - Telco";#N/A,#N/A,FALSE,"Tel - Mktg";#N/A,#N/A,FALSE,"Tel - Mktg"}</definedName>
    <definedName name="blah_1_1_2" localSheetId="10" hidden="1">{#N/A,#N/A,FALSE,"TEL Monthly Inc";#N/A,#N/A,FALSE,"TEL REVENUE";#N/A,#N/A,FALSE,"Tel - Manpower";#N/A,#N/A,FALSE,"Tel Sales Support";#N/A,#N/A,FALSE,"SI - TELCO";#N/A,#N/A,FALSE,"Sales - Telco";#N/A,#N/A,FALSE,"Tel - Mktg";#N/A,#N/A,FALSE,"Tel - Mktg"}</definedName>
    <definedName name="blah_1_1_2" hidden="1">{#N/A,#N/A,FALSE,"TEL Monthly Inc";#N/A,#N/A,FALSE,"TEL REVENUE";#N/A,#N/A,FALSE,"Tel - Manpower";#N/A,#N/A,FALSE,"Tel Sales Support";#N/A,#N/A,FALSE,"SI - TELCO";#N/A,#N/A,FALSE,"Sales - Telco";#N/A,#N/A,FALSE,"Tel - Mktg";#N/A,#N/A,FALSE,"Tel - Mktg"}</definedName>
    <definedName name="blah_1_1_3" localSheetId="10" hidden="1">{#N/A,#N/A,FALSE,"TEL Monthly Inc";#N/A,#N/A,FALSE,"TEL REVENUE";#N/A,#N/A,FALSE,"Tel - Manpower";#N/A,#N/A,FALSE,"Tel Sales Support";#N/A,#N/A,FALSE,"SI - TELCO";#N/A,#N/A,FALSE,"Sales - Telco";#N/A,#N/A,FALSE,"Tel - Mktg";#N/A,#N/A,FALSE,"Tel - Mktg"}</definedName>
    <definedName name="blah_1_1_3" hidden="1">{#N/A,#N/A,FALSE,"TEL Monthly Inc";#N/A,#N/A,FALSE,"TEL REVENUE";#N/A,#N/A,FALSE,"Tel - Manpower";#N/A,#N/A,FALSE,"Tel Sales Support";#N/A,#N/A,FALSE,"SI - TELCO";#N/A,#N/A,FALSE,"Sales - Telco";#N/A,#N/A,FALSE,"Tel - Mktg";#N/A,#N/A,FALSE,"Tel - Mktg"}</definedName>
    <definedName name="blah_1_1_4" localSheetId="10" hidden="1">{#N/A,#N/A,FALSE,"TEL Monthly Inc";#N/A,#N/A,FALSE,"TEL REVENUE";#N/A,#N/A,FALSE,"Tel - Manpower";#N/A,#N/A,FALSE,"Tel Sales Support";#N/A,#N/A,FALSE,"SI - TELCO";#N/A,#N/A,FALSE,"Sales - Telco";#N/A,#N/A,FALSE,"Tel - Mktg";#N/A,#N/A,FALSE,"Tel - Mktg"}</definedName>
    <definedName name="blah_1_1_4" hidden="1">{#N/A,#N/A,FALSE,"TEL Monthly Inc";#N/A,#N/A,FALSE,"TEL REVENUE";#N/A,#N/A,FALSE,"Tel - Manpower";#N/A,#N/A,FALSE,"Tel Sales Support";#N/A,#N/A,FALSE,"SI - TELCO";#N/A,#N/A,FALSE,"Sales - Telco";#N/A,#N/A,FALSE,"Tel - Mktg";#N/A,#N/A,FALSE,"Tel - Mktg"}</definedName>
    <definedName name="blah_1_1_5" localSheetId="10" hidden="1">{#N/A,#N/A,FALSE,"TEL Monthly Inc";#N/A,#N/A,FALSE,"TEL REVENUE";#N/A,#N/A,FALSE,"Tel - Manpower";#N/A,#N/A,FALSE,"Tel Sales Support";#N/A,#N/A,FALSE,"SI - TELCO";#N/A,#N/A,FALSE,"Sales - Telco";#N/A,#N/A,FALSE,"Tel - Mktg";#N/A,#N/A,FALSE,"Tel - Mktg"}</definedName>
    <definedName name="blah_1_1_5" hidden="1">{#N/A,#N/A,FALSE,"TEL Monthly Inc";#N/A,#N/A,FALSE,"TEL REVENUE";#N/A,#N/A,FALSE,"Tel - Manpower";#N/A,#N/A,FALSE,"Tel Sales Support";#N/A,#N/A,FALSE,"SI - TELCO";#N/A,#N/A,FALSE,"Sales - Telco";#N/A,#N/A,FALSE,"Tel - Mktg";#N/A,#N/A,FALSE,"Tel - Mktg"}</definedName>
    <definedName name="blah_1_2" localSheetId="10" hidden="1">{#N/A,#N/A,FALSE,"TEL Monthly Inc";#N/A,#N/A,FALSE,"TEL REVENUE";#N/A,#N/A,FALSE,"Tel - Manpower";#N/A,#N/A,FALSE,"Tel Sales Support";#N/A,#N/A,FALSE,"SI - TELCO";#N/A,#N/A,FALSE,"Sales - Telco";#N/A,#N/A,FALSE,"Tel - Mktg";#N/A,#N/A,FALSE,"Tel - Mktg"}</definedName>
    <definedName name="blah_1_2" hidden="1">{#N/A,#N/A,FALSE,"TEL Monthly Inc";#N/A,#N/A,FALSE,"TEL REVENUE";#N/A,#N/A,FALSE,"Tel - Manpower";#N/A,#N/A,FALSE,"Tel Sales Support";#N/A,#N/A,FALSE,"SI - TELCO";#N/A,#N/A,FALSE,"Sales - Telco";#N/A,#N/A,FALSE,"Tel - Mktg";#N/A,#N/A,FALSE,"Tel - Mktg"}</definedName>
    <definedName name="blah_1_3" localSheetId="10" hidden="1">{#N/A,#N/A,FALSE,"TEL Monthly Inc";#N/A,#N/A,FALSE,"TEL REVENUE";#N/A,#N/A,FALSE,"Tel - Manpower";#N/A,#N/A,FALSE,"Tel Sales Support";#N/A,#N/A,FALSE,"SI - TELCO";#N/A,#N/A,FALSE,"Sales - Telco";#N/A,#N/A,FALSE,"Tel - Mktg";#N/A,#N/A,FALSE,"Tel - Mktg"}</definedName>
    <definedName name="blah_1_3" hidden="1">{#N/A,#N/A,FALSE,"TEL Monthly Inc";#N/A,#N/A,FALSE,"TEL REVENUE";#N/A,#N/A,FALSE,"Tel - Manpower";#N/A,#N/A,FALSE,"Tel Sales Support";#N/A,#N/A,FALSE,"SI - TELCO";#N/A,#N/A,FALSE,"Sales - Telco";#N/A,#N/A,FALSE,"Tel - Mktg";#N/A,#N/A,FALSE,"Tel - Mktg"}</definedName>
    <definedName name="blah_1_4" localSheetId="10" hidden="1">{#N/A,#N/A,FALSE,"TEL Monthly Inc";#N/A,#N/A,FALSE,"TEL REVENUE";#N/A,#N/A,FALSE,"Tel - Manpower";#N/A,#N/A,FALSE,"Tel Sales Support";#N/A,#N/A,FALSE,"SI - TELCO";#N/A,#N/A,FALSE,"Sales - Telco";#N/A,#N/A,FALSE,"Tel - Mktg";#N/A,#N/A,FALSE,"Tel - Mktg"}</definedName>
    <definedName name="blah_1_4" hidden="1">{#N/A,#N/A,FALSE,"TEL Monthly Inc";#N/A,#N/A,FALSE,"TEL REVENUE";#N/A,#N/A,FALSE,"Tel - Manpower";#N/A,#N/A,FALSE,"Tel Sales Support";#N/A,#N/A,FALSE,"SI - TELCO";#N/A,#N/A,FALSE,"Sales - Telco";#N/A,#N/A,FALSE,"Tel - Mktg";#N/A,#N/A,FALSE,"Tel - Mktg"}</definedName>
    <definedName name="blah_1_5" localSheetId="10" hidden="1">{#N/A,#N/A,FALSE,"TEL Monthly Inc";#N/A,#N/A,FALSE,"TEL REVENUE";#N/A,#N/A,FALSE,"Tel - Manpower";#N/A,#N/A,FALSE,"Tel Sales Support";#N/A,#N/A,FALSE,"SI - TELCO";#N/A,#N/A,FALSE,"Sales - Telco";#N/A,#N/A,FALSE,"Tel - Mktg";#N/A,#N/A,FALSE,"Tel - Mktg"}</definedName>
    <definedName name="blah_1_5" hidden="1">{#N/A,#N/A,FALSE,"TEL Monthly Inc";#N/A,#N/A,FALSE,"TEL REVENUE";#N/A,#N/A,FALSE,"Tel - Manpower";#N/A,#N/A,FALSE,"Tel Sales Support";#N/A,#N/A,FALSE,"SI - TELCO";#N/A,#N/A,FALSE,"Sales - Telco";#N/A,#N/A,FALSE,"Tel - Mktg";#N/A,#N/A,FALSE,"Tel - Mktg"}</definedName>
    <definedName name="blah_2" localSheetId="10" hidden="1">{#N/A,#N/A,FALSE,"TEL Monthly Inc";#N/A,#N/A,FALSE,"TEL REVENUE";#N/A,#N/A,FALSE,"Tel - Manpower";#N/A,#N/A,FALSE,"Tel Sales Support";#N/A,#N/A,FALSE,"SI - TELCO";#N/A,#N/A,FALSE,"Sales - Telco";#N/A,#N/A,FALSE,"Tel - Mktg";#N/A,#N/A,FALSE,"Tel - Mktg"}</definedName>
    <definedName name="blah_2" hidden="1">{#N/A,#N/A,FALSE,"TEL Monthly Inc";#N/A,#N/A,FALSE,"TEL REVENUE";#N/A,#N/A,FALSE,"Tel - Manpower";#N/A,#N/A,FALSE,"Tel Sales Support";#N/A,#N/A,FALSE,"SI - TELCO";#N/A,#N/A,FALSE,"Sales - Telco";#N/A,#N/A,FALSE,"Tel - Mktg";#N/A,#N/A,FALSE,"Tel - Mktg"}</definedName>
    <definedName name="blah_2_1" localSheetId="10" hidden="1">{#N/A,#N/A,FALSE,"TEL Monthly Inc";#N/A,#N/A,FALSE,"TEL REVENUE";#N/A,#N/A,FALSE,"Tel - Manpower";#N/A,#N/A,FALSE,"Tel Sales Support";#N/A,#N/A,FALSE,"SI - TELCO";#N/A,#N/A,FALSE,"Sales - Telco";#N/A,#N/A,FALSE,"Tel - Mktg";#N/A,#N/A,FALSE,"Tel - Mktg"}</definedName>
    <definedName name="blah_2_1" hidden="1">{#N/A,#N/A,FALSE,"TEL Monthly Inc";#N/A,#N/A,FALSE,"TEL REVENUE";#N/A,#N/A,FALSE,"Tel - Manpower";#N/A,#N/A,FALSE,"Tel Sales Support";#N/A,#N/A,FALSE,"SI - TELCO";#N/A,#N/A,FALSE,"Sales - Telco";#N/A,#N/A,FALSE,"Tel - Mktg";#N/A,#N/A,FALSE,"Tel - Mktg"}</definedName>
    <definedName name="blah_2_2" localSheetId="10" hidden="1">{#N/A,#N/A,FALSE,"TEL Monthly Inc";#N/A,#N/A,FALSE,"TEL REVENUE";#N/A,#N/A,FALSE,"Tel - Manpower";#N/A,#N/A,FALSE,"Tel Sales Support";#N/A,#N/A,FALSE,"SI - TELCO";#N/A,#N/A,FALSE,"Sales - Telco";#N/A,#N/A,FALSE,"Tel - Mktg";#N/A,#N/A,FALSE,"Tel - Mktg"}</definedName>
    <definedName name="blah_2_2" hidden="1">{#N/A,#N/A,FALSE,"TEL Monthly Inc";#N/A,#N/A,FALSE,"TEL REVENUE";#N/A,#N/A,FALSE,"Tel - Manpower";#N/A,#N/A,FALSE,"Tel Sales Support";#N/A,#N/A,FALSE,"SI - TELCO";#N/A,#N/A,FALSE,"Sales - Telco";#N/A,#N/A,FALSE,"Tel - Mktg";#N/A,#N/A,FALSE,"Tel - Mktg"}</definedName>
    <definedName name="blah_2_3" localSheetId="10" hidden="1">{#N/A,#N/A,FALSE,"TEL Monthly Inc";#N/A,#N/A,FALSE,"TEL REVENUE";#N/A,#N/A,FALSE,"Tel - Manpower";#N/A,#N/A,FALSE,"Tel Sales Support";#N/A,#N/A,FALSE,"SI - TELCO";#N/A,#N/A,FALSE,"Sales - Telco";#N/A,#N/A,FALSE,"Tel - Mktg";#N/A,#N/A,FALSE,"Tel - Mktg"}</definedName>
    <definedName name="blah_2_3" hidden="1">{#N/A,#N/A,FALSE,"TEL Monthly Inc";#N/A,#N/A,FALSE,"TEL REVENUE";#N/A,#N/A,FALSE,"Tel - Manpower";#N/A,#N/A,FALSE,"Tel Sales Support";#N/A,#N/A,FALSE,"SI - TELCO";#N/A,#N/A,FALSE,"Sales - Telco";#N/A,#N/A,FALSE,"Tel - Mktg";#N/A,#N/A,FALSE,"Tel - Mktg"}</definedName>
    <definedName name="blah_2_4" localSheetId="10" hidden="1">{#N/A,#N/A,FALSE,"TEL Monthly Inc";#N/A,#N/A,FALSE,"TEL REVENUE";#N/A,#N/A,FALSE,"Tel - Manpower";#N/A,#N/A,FALSE,"Tel Sales Support";#N/A,#N/A,FALSE,"SI - TELCO";#N/A,#N/A,FALSE,"Sales - Telco";#N/A,#N/A,FALSE,"Tel - Mktg";#N/A,#N/A,FALSE,"Tel - Mktg"}</definedName>
    <definedName name="blah_2_4" hidden="1">{#N/A,#N/A,FALSE,"TEL Monthly Inc";#N/A,#N/A,FALSE,"TEL REVENUE";#N/A,#N/A,FALSE,"Tel - Manpower";#N/A,#N/A,FALSE,"Tel Sales Support";#N/A,#N/A,FALSE,"SI - TELCO";#N/A,#N/A,FALSE,"Sales - Telco";#N/A,#N/A,FALSE,"Tel - Mktg";#N/A,#N/A,FALSE,"Tel - Mktg"}</definedName>
    <definedName name="blah_2_5" localSheetId="10" hidden="1">{#N/A,#N/A,FALSE,"TEL Monthly Inc";#N/A,#N/A,FALSE,"TEL REVENUE";#N/A,#N/A,FALSE,"Tel - Manpower";#N/A,#N/A,FALSE,"Tel Sales Support";#N/A,#N/A,FALSE,"SI - TELCO";#N/A,#N/A,FALSE,"Sales - Telco";#N/A,#N/A,FALSE,"Tel - Mktg";#N/A,#N/A,FALSE,"Tel - Mktg"}</definedName>
    <definedName name="blah_2_5" hidden="1">{#N/A,#N/A,FALSE,"TEL Monthly Inc";#N/A,#N/A,FALSE,"TEL REVENUE";#N/A,#N/A,FALSE,"Tel - Manpower";#N/A,#N/A,FALSE,"Tel Sales Support";#N/A,#N/A,FALSE,"SI - TELCO";#N/A,#N/A,FALSE,"Sales - Telco";#N/A,#N/A,FALSE,"Tel - Mktg";#N/A,#N/A,FALSE,"Tel - Mktg"}</definedName>
    <definedName name="blah_3" localSheetId="10" hidden="1">{#N/A,#N/A,FALSE,"TEL Monthly Inc";#N/A,#N/A,FALSE,"TEL REVENUE";#N/A,#N/A,FALSE,"Tel - Manpower";#N/A,#N/A,FALSE,"Tel Sales Support";#N/A,#N/A,FALSE,"SI - TELCO";#N/A,#N/A,FALSE,"Sales - Telco";#N/A,#N/A,FALSE,"Tel - Mktg";#N/A,#N/A,FALSE,"Tel - Mktg"}</definedName>
    <definedName name="blah_3" hidden="1">{#N/A,#N/A,FALSE,"TEL Monthly Inc";#N/A,#N/A,FALSE,"TEL REVENUE";#N/A,#N/A,FALSE,"Tel - Manpower";#N/A,#N/A,FALSE,"Tel Sales Support";#N/A,#N/A,FALSE,"SI - TELCO";#N/A,#N/A,FALSE,"Sales - Telco";#N/A,#N/A,FALSE,"Tel - Mktg";#N/A,#N/A,FALSE,"Tel - Mktg"}</definedName>
    <definedName name="blah_3_1" localSheetId="10" hidden="1">{#N/A,#N/A,FALSE,"TEL Monthly Inc";#N/A,#N/A,FALSE,"TEL REVENUE";#N/A,#N/A,FALSE,"Tel - Manpower";#N/A,#N/A,FALSE,"Tel Sales Support";#N/A,#N/A,FALSE,"SI - TELCO";#N/A,#N/A,FALSE,"Sales - Telco";#N/A,#N/A,FALSE,"Tel - Mktg";#N/A,#N/A,FALSE,"Tel - Mktg"}</definedName>
    <definedName name="blah_3_1" hidden="1">{#N/A,#N/A,FALSE,"TEL Monthly Inc";#N/A,#N/A,FALSE,"TEL REVENUE";#N/A,#N/A,FALSE,"Tel - Manpower";#N/A,#N/A,FALSE,"Tel Sales Support";#N/A,#N/A,FALSE,"SI - TELCO";#N/A,#N/A,FALSE,"Sales - Telco";#N/A,#N/A,FALSE,"Tel - Mktg";#N/A,#N/A,FALSE,"Tel - Mktg"}</definedName>
    <definedName name="blah_3_2" localSheetId="10" hidden="1">{#N/A,#N/A,FALSE,"TEL Monthly Inc";#N/A,#N/A,FALSE,"TEL REVENUE";#N/A,#N/A,FALSE,"Tel - Manpower";#N/A,#N/A,FALSE,"Tel Sales Support";#N/A,#N/A,FALSE,"SI - TELCO";#N/A,#N/A,FALSE,"Sales - Telco";#N/A,#N/A,FALSE,"Tel - Mktg";#N/A,#N/A,FALSE,"Tel - Mktg"}</definedName>
    <definedName name="blah_3_2" hidden="1">{#N/A,#N/A,FALSE,"TEL Monthly Inc";#N/A,#N/A,FALSE,"TEL REVENUE";#N/A,#N/A,FALSE,"Tel - Manpower";#N/A,#N/A,FALSE,"Tel Sales Support";#N/A,#N/A,FALSE,"SI - TELCO";#N/A,#N/A,FALSE,"Sales - Telco";#N/A,#N/A,FALSE,"Tel - Mktg";#N/A,#N/A,FALSE,"Tel - Mktg"}</definedName>
    <definedName name="blah_3_3" localSheetId="10" hidden="1">{#N/A,#N/A,FALSE,"TEL Monthly Inc";#N/A,#N/A,FALSE,"TEL REVENUE";#N/A,#N/A,FALSE,"Tel - Manpower";#N/A,#N/A,FALSE,"Tel Sales Support";#N/A,#N/A,FALSE,"SI - TELCO";#N/A,#N/A,FALSE,"Sales - Telco";#N/A,#N/A,FALSE,"Tel - Mktg";#N/A,#N/A,FALSE,"Tel - Mktg"}</definedName>
    <definedName name="blah_3_3" hidden="1">{#N/A,#N/A,FALSE,"TEL Monthly Inc";#N/A,#N/A,FALSE,"TEL REVENUE";#N/A,#N/A,FALSE,"Tel - Manpower";#N/A,#N/A,FALSE,"Tel Sales Support";#N/A,#N/A,FALSE,"SI - TELCO";#N/A,#N/A,FALSE,"Sales - Telco";#N/A,#N/A,FALSE,"Tel - Mktg";#N/A,#N/A,FALSE,"Tel - Mktg"}</definedName>
    <definedName name="blah_3_4" localSheetId="10" hidden="1">{#N/A,#N/A,FALSE,"TEL Monthly Inc";#N/A,#N/A,FALSE,"TEL REVENUE";#N/A,#N/A,FALSE,"Tel - Manpower";#N/A,#N/A,FALSE,"Tel Sales Support";#N/A,#N/A,FALSE,"SI - TELCO";#N/A,#N/A,FALSE,"Sales - Telco";#N/A,#N/A,FALSE,"Tel - Mktg";#N/A,#N/A,FALSE,"Tel - Mktg"}</definedName>
    <definedName name="blah_3_4" hidden="1">{#N/A,#N/A,FALSE,"TEL Monthly Inc";#N/A,#N/A,FALSE,"TEL REVENUE";#N/A,#N/A,FALSE,"Tel - Manpower";#N/A,#N/A,FALSE,"Tel Sales Support";#N/A,#N/A,FALSE,"SI - TELCO";#N/A,#N/A,FALSE,"Sales - Telco";#N/A,#N/A,FALSE,"Tel - Mktg";#N/A,#N/A,FALSE,"Tel - Mktg"}</definedName>
    <definedName name="blah_3_5" localSheetId="10" hidden="1">{#N/A,#N/A,FALSE,"TEL Monthly Inc";#N/A,#N/A,FALSE,"TEL REVENUE";#N/A,#N/A,FALSE,"Tel - Manpower";#N/A,#N/A,FALSE,"Tel Sales Support";#N/A,#N/A,FALSE,"SI - TELCO";#N/A,#N/A,FALSE,"Sales - Telco";#N/A,#N/A,FALSE,"Tel - Mktg";#N/A,#N/A,FALSE,"Tel - Mktg"}</definedName>
    <definedName name="blah_3_5" hidden="1">{#N/A,#N/A,FALSE,"TEL Monthly Inc";#N/A,#N/A,FALSE,"TEL REVENUE";#N/A,#N/A,FALSE,"Tel - Manpower";#N/A,#N/A,FALSE,"Tel Sales Support";#N/A,#N/A,FALSE,"SI - TELCO";#N/A,#N/A,FALSE,"Sales - Telco";#N/A,#N/A,FALSE,"Tel - Mktg";#N/A,#N/A,FALSE,"Tel - Mktg"}</definedName>
    <definedName name="blah_4" localSheetId="10" hidden="1">{#N/A,#N/A,FALSE,"TEL Monthly Inc";#N/A,#N/A,FALSE,"TEL REVENUE";#N/A,#N/A,FALSE,"Tel - Manpower";#N/A,#N/A,FALSE,"Tel Sales Support";#N/A,#N/A,FALSE,"SI - TELCO";#N/A,#N/A,FALSE,"Sales - Telco";#N/A,#N/A,FALSE,"Tel - Mktg";#N/A,#N/A,FALSE,"Tel - Mktg"}</definedName>
    <definedName name="blah_4" hidden="1">{#N/A,#N/A,FALSE,"TEL Monthly Inc";#N/A,#N/A,FALSE,"TEL REVENUE";#N/A,#N/A,FALSE,"Tel - Manpower";#N/A,#N/A,FALSE,"Tel Sales Support";#N/A,#N/A,FALSE,"SI - TELCO";#N/A,#N/A,FALSE,"Sales - Telco";#N/A,#N/A,FALSE,"Tel - Mktg";#N/A,#N/A,FALSE,"Tel - Mktg"}</definedName>
    <definedName name="blah_5" localSheetId="10" hidden="1">{#N/A,#N/A,FALSE,"TEL Monthly Inc";#N/A,#N/A,FALSE,"TEL REVENUE";#N/A,#N/A,FALSE,"Tel - Manpower";#N/A,#N/A,FALSE,"Tel Sales Support";#N/A,#N/A,FALSE,"SI - TELCO";#N/A,#N/A,FALSE,"Sales - Telco";#N/A,#N/A,FALSE,"Tel - Mktg";#N/A,#N/A,FALSE,"Tel - Mktg"}</definedName>
    <definedName name="blah_5" hidden="1">{#N/A,#N/A,FALSE,"TEL Monthly Inc";#N/A,#N/A,FALSE,"TEL REVENUE";#N/A,#N/A,FALSE,"Tel - Manpower";#N/A,#N/A,FALSE,"Tel Sales Support";#N/A,#N/A,FALSE,"SI - TELCO";#N/A,#N/A,FALSE,"Sales - Telco";#N/A,#N/A,FALSE,"Tel - Mktg";#N/A,#N/A,FALSE,"Tel - Mktg"}</definedName>
    <definedName name="Blah2" localSheetId="10" hidden="1">{#N/A,#N/A,FALSE,"TEL Monthly Inc";#N/A,#N/A,FALSE,"TEL REVENUE";#N/A,#N/A,FALSE,"Tel - Manpower";#N/A,#N/A,FALSE,"Tel Sales Support";#N/A,#N/A,FALSE,"SI - TELCO";#N/A,#N/A,FALSE,"Sales - Telco";#N/A,#N/A,FALSE,"Tel - Mktg";#N/A,#N/A,FALSE,"Tel - Mktg"}</definedName>
    <definedName name="Blah2" hidden="1">{#N/A,#N/A,FALSE,"TEL Monthly Inc";#N/A,#N/A,FALSE,"TEL REVENUE";#N/A,#N/A,FALSE,"Tel - Manpower";#N/A,#N/A,FALSE,"Tel Sales Support";#N/A,#N/A,FALSE,"SI - TELCO";#N/A,#N/A,FALSE,"Sales - Telco";#N/A,#N/A,FALSE,"Tel - Mktg";#N/A,#N/A,FALSE,"Tel - Mktg"}</definedName>
    <definedName name="BLANK"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hidden="1">#REF!</definedName>
    <definedName name="BLANKS"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B1" hidden="1">#REF!</definedName>
    <definedName name="BLPB2" hidden="1">#REF!</definedName>
    <definedName name="BLPB3" hidden="1">#REF!</definedName>
    <definedName name="BLPB4" hidden="1">#REF!</definedName>
    <definedName name="BLPB5" hidden="1">#REF!</definedName>
    <definedName name="BLPB6" hidden="1">#REF!</definedName>
    <definedName name="BLPB7" hidden="1">#REF!</definedName>
    <definedName name="BLPB8" hidden="1">#REF!</definedName>
    <definedName name="BLPH1" localSheetId="10" hidden="1">#REF!</definedName>
    <definedName name="BLPH1" localSheetId="9" hidden="1">#REF!</definedName>
    <definedName name="BLPH1" localSheetId="8" hidden="1">#REF!</definedName>
    <definedName name="BLPH1" localSheetId="16" hidden="1">#REF!</definedName>
    <definedName name="BLPH1" hidden="1">#REF!</definedName>
    <definedName name="BLPH10" localSheetId="10" hidden="1">#REF!</definedName>
    <definedName name="BLPH10" localSheetId="9" hidden="1">#REF!</definedName>
    <definedName name="BLPH10" localSheetId="8" hidden="1">#REF!</definedName>
    <definedName name="BLPH10" localSheetId="16" hidden="1">#REF!</definedName>
    <definedName name="BLPH1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1" localSheetId="10" hidden="1">#REF!</definedName>
    <definedName name="BLPH11" localSheetId="9" hidden="1">#REF!</definedName>
    <definedName name="BLPH11" localSheetId="8" hidden="1">#REF!</definedName>
    <definedName name="BLPH11" localSheetId="16" hidden="1">#REF!</definedName>
    <definedName name="BLPH11" hidden="1">#REF!</definedName>
    <definedName name="BLPH12" localSheetId="10" hidden="1">#REF!</definedName>
    <definedName name="BLPH12" localSheetId="9" hidden="1">#REF!</definedName>
    <definedName name="BLPH12" localSheetId="8" hidden="1">#REF!</definedName>
    <definedName name="BLPH12" localSheetId="16" hidden="1">#REF!</definedName>
    <definedName name="BLPH12" hidden="1">#REF!</definedName>
    <definedName name="BLPH13" localSheetId="10" hidden="1">#REF!</definedName>
    <definedName name="BLPH13" localSheetId="9" hidden="1">#REF!</definedName>
    <definedName name="BLPH13" localSheetId="8" hidden="1">#REF!</definedName>
    <definedName name="BLPH13" localSheetId="16" hidden="1">#REF!</definedName>
    <definedName name="BLPH13"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0" hidden="1">#REF!</definedName>
    <definedName name="BLPH14" localSheetId="9" hidden="1">#REF!</definedName>
    <definedName name="BLPH14" localSheetId="8" hidden="1">#REF!</definedName>
    <definedName name="BLPH14" localSheetId="16"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0" hidden="1">#REF!</definedName>
    <definedName name="BLPH15" localSheetId="9" hidden="1">#REF!</definedName>
    <definedName name="BLPH15" localSheetId="8" hidden="1">#REF!</definedName>
    <definedName name="BLPH15" localSheetId="16"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0" hidden="1">#REF!</definedName>
    <definedName name="BLPH16" localSheetId="9" hidden="1">#REF!</definedName>
    <definedName name="BLPH16" localSheetId="8" hidden="1">#REF!</definedName>
    <definedName name="BLPH16" localSheetId="16"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0" hidden="1">#REF!</definedName>
    <definedName name="BLPH17" localSheetId="9" hidden="1">#REF!</definedName>
    <definedName name="BLPH17" localSheetId="8" hidden="1">#REF!</definedName>
    <definedName name="BLPH17" localSheetId="16"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0" hidden="1">#REF!</definedName>
    <definedName name="BLPH18" localSheetId="9" hidden="1">#REF!</definedName>
    <definedName name="BLPH18" localSheetId="8" hidden="1">#REF!</definedName>
    <definedName name="BLPH18" localSheetId="16"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0" hidden="1">#REF!</definedName>
    <definedName name="BLPH19" localSheetId="9" hidden="1">#REF!</definedName>
    <definedName name="BLPH19" localSheetId="8" hidden="1">#REF!</definedName>
    <definedName name="BLPH19" localSheetId="16"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localSheetId="10" hidden="1">#REF!</definedName>
    <definedName name="BLPH2" localSheetId="9" hidden="1">#REF!</definedName>
    <definedName name="BLPH2" localSheetId="8" hidden="1">#REF!</definedName>
    <definedName name="BLPH2" localSheetId="16" hidden="1">#REF!</definedName>
    <definedName name="BLPH2" hidden="1">#REF!</definedName>
    <definedName name="BLPH20" localSheetId="10" hidden="1">#REF!</definedName>
    <definedName name="BLPH20" localSheetId="9" hidden="1">#REF!</definedName>
    <definedName name="BLPH20" localSheetId="8" hidden="1">#REF!</definedName>
    <definedName name="BLPH20" localSheetId="16"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localSheetId="10" hidden="1">#REF!</definedName>
    <definedName name="BLPH21" localSheetId="9" hidden="1">#REF!</definedName>
    <definedName name="BLPH21" localSheetId="8" hidden="1">#REF!</definedName>
    <definedName name="BLPH21" localSheetId="16"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localSheetId="10" hidden="1">#REF!</definedName>
    <definedName name="BLPH22" localSheetId="9" hidden="1">#REF!</definedName>
    <definedName name="BLPH22" localSheetId="8" hidden="1">#REF!</definedName>
    <definedName name="BLPH22" localSheetId="16"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localSheetId="10" hidden="1">#REF!</definedName>
    <definedName name="BLPH23" localSheetId="9" hidden="1">#REF!</definedName>
    <definedName name="BLPH23" localSheetId="8" hidden="1">#REF!</definedName>
    <definedName name="BLPH23" localSheetId="16"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localSheetId="10" hidden="1">#REF!</definedName>
    <definedName name="BLPH24" localSheetId="9" hidden="1">#REF!</definedName>
    <definedName name="BLPH24" localSheetId="8" hidden="1">#REF!</definedName>
    <definedName name="BLPH24" localSheetId="16"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localSheetId="10" hidden="1">#REF!</definedName>
    <definedName name="BLPH25" localSheetId="9" hidden="1">#REF!</definedName>
    <definedName name="BLPH25" localSheetId="8" hidden="1">#REF!</definedName>
    <definedName name="BLPH25" localSheetId="16"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10" hidden="1">#REF!</definedName>
    <definedName name="BLPH26" localSheetId="9" hidden="1">#REF!</definedName>
    <definedName name="BLPH26" localSheetId="8" hidden="1">#REF!</definedName>
    <definedName name="BLPH26" localSheetId="16"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10" hidden="1">#REF!</definedName>
    <definedName name="BLPH27" localSheetId="9" hidden="1">#REF!</definedName>
    <definedName name="BLPH27" localSheetId="8" hidden="1">#REF!</definedName>
    <definedName name="BLPH27" localSheetId="16"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localSheetId="10" hidden="1">#REF!</definedName>
    <definedName name="BLPH28" localSheetId="9" hidden="1">#REF!</definedName>
    <definedName name="BLPH28" localSheetId="8" hidden="1">#REF!</definedName>
    <definedName name="BLPH28" localSheetId="16"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localSheetId="10" hidden="1">#REF!</definedName>
    <definedName name="BLPH29" localSheetId="9" hidden="1">#REF!</definedName>
    <definedName name="BLPH29" localSheetId="8" hidden="1">#REF!</definedName>
    <definedName name="BLPH29" localSheetId="16"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localSheetId="10" hidden="1">#REF!</definedName>
    <definedName name="BLPH3" localSheetId="9" hidden="1">#REF!</definedName>
    <definedName name="BLPH3" localSheetId="8" hidden="1">#REF!</definedName>
    <definedName name="BLPH3" localSheetId="16" hidden="1">#REF!</definedName>
    <definedName name="BLPH3" hidden="1">#REF!</definedName>
    <definedName name="BLPH30" localSheetId="10" hidden="1">#REF!</definedName>
    <definedName name="BLPH30" localSheetId="9" hidden="1">#REF!</definedName>
    <definedName name="BLPH30" localSheetId="8" hidden="1">#REF!</definedName>
    <definedName name="BLPH30" localSheetId="16"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localSheetId="10" hidden="1">#REF!</definedName>
    <definedName name="BLPH31" localSheetId="9" hidden="1">#REF!</definedName>
    <definedName name="BLPH31" localSheetId="8" hidden="1">#REF!</definedName>
    <definedName name="BLPH31" localSheetId="16"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localSheetId="10" hidden="1">#REF!</definedName>
    <definedName name="BLPH32" localSheetId="9" hidden="1">#REF!</definedName>
    <definedName name="BLPH32" localSheetId="8" hidden="1">#REF!</definedName>
    <definedName name="BLPH32" localSheetId="16"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localSheetId="10" hidden="1">#REF!</definedName>
    <definedName name="BLPH33" localSheetId="9" hidden="1">#REF!</definedName>
    <definedName name="BLPH33" localSheetId="8" hidden="1">#REF!</definedName>
    <definedName name="BLPH33" localSheetId="16"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localSheetId="10" hidden="1">#REF!</definedName>
    <definedName name="BLPH34" localSheetId="9" hidden="1">#REF!</definedName>
    <definedName name="BLPH34" localSheetId="8" hidden="1">#REF!</definedName>
    <definedName name="BLPH34" localSheetId="16"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localSheetId="10" hidden="1">#REF!</definedName>
    <definedName name="BLPH35" localSheetId="9" hidden="1">#REF!</definedName>
    <definedName name="BLPH35" localSheetId="8" hidden="1">#REF!</definedName>
    <definedName name="BLPH35" localSheetId="16"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localSheetId="10" hidden="1">#REF!</definedName>
    <definedName name="BLPH36" localSheetId="9" hidden="1">#REF!</definedName>
    <definedName name="BLPH36" localSheetId="8" hidden="1">#REF!</definedName>
    <definedName name="BLPH36" localSheetId="16"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localSheetId="10" hidden="1">#REF!</definedName>
    <definedName name="BLPH37" localSheetId="9" hidden="1">#REF!</definedName>
    <definedName name="BLPH37" localSheetId="8" hidden="1">#REF!</definedName>
    <definedName name="BLPH37" localSheetId="16"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localSheetId="10" hidden="1">#REF!</definedName>
    <definedName name="BLPH38" localSheetId="9" hidden="1">#REF!</definedName>
    <definedName name="BLPH38" localSheetId="8" hidden="1">#REF!</definedName>
    <definedName name="BLPH38" localSheetId="16"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localSheetId="10" hidden="1">#REF!</definedName>
    <definedName name="BLPH39" localSheetId="9" hidden="1">#REF!</definedName>
    <definedName name="BLPH39" localSheetId="8" hidden="1">#REF!</definedName>
    <definedName name="BLPH39" localSheetId="16"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localSheetId="10" hidden="1">#REF!</definedName>
    <definedName name="BLPH4" localSheetId="9" hidden="1">#REF!</definedName>
    <definedName name="BLPH4" localSheetId="8" hidden="1">#REF!</definedName>
    <definedName name="BLPH4" localSheetId="16" hidden="1">#REF!</definedName>
    <definedName name="BLPH4" hidden="1">#REF!</definedName>
    <definedName name="BLPH40" localSheetId="10" hidden="1">#REF!</definedName>
    <definedName name="BLPH40" localSheetId="9" hidden="1">#REF!</definedName>
    <definedName name="BLPH40" localSheetId="8" hidden="1">#REF!</definedName>
    <definedName name="BLPH40" localSheetId="16"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localSheetId="10" hidden="1">#REF!</definedName>
    <definedName name="BLPH41" localSheetId="9" hidden="1">#REF!</definedName>
    <definedName name="BLPH41" localSheetId="8" hidden="1">#REF!</definedName>
    <definedName name="BLPH41" localSheetId="16"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localSheetId="10" hidden="1">#REF!</definedName>
    <definedName name="BLPH42" localSheetId="9" hidden="1">#REF!</definedName>
    <definedName name="BLPH42" localSheetId="8" hidden="1">#REF!</definedName>
    <definedName name="BLPH42" localSheetId="16"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localSheetId="10" hidden="1">#REF!</definedName>
    <definedName name="BLPH43" localSheetId="9" hidden="1">#REF!</definedName>
    <definedName name="BLPH43" localSheetId="8" hidden="1">#REF!</definedName>
    <definedName name="BLPH43" localSheetId="16"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localSheetId="10" hidden="1">#REF!</definedName>
    <definedName name="BLPH44" localSheetId="9" hidden="1">#REF!</definedName>
    <definedName name="BLPH44" localSheetId="8" hidden="1">#REF!</definedName>
    <definedName name="BLPH44" localSheetId="16"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localSheetId="10" hidden="1">#REF!</definedName>
    <definedName name="BLPH45" localSheetId="9" hidden="1">#REF!</definedName>
    <definedName name="BLPH45" localSheetId="8" hidden="1">#REF!</definedName>
    <definedName name="BLPH45" localSheetId="16"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localSheetId="10" hidden="1">#REF!</definedName>
    <definedName name="BLPH46" localSheetId="9" hidden="1">#REF!</definedName>
    <definedName name="BLPH46" localSheetId="8" hidden="1">#REF!</definedName>
    <definedName name="BLPH46" localSheetId="16"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localSheetId="10" hidden="1">#REF!</definedName>
    <definedName name="BLPH47" localSheetId="9" hidden="1">#REF!</definedName>
    <definedName name="BLPH47" localSheetId="8" hidden="1">#REF!</definedName>
    <definedName name="BLPH47" localSheetId="16"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localSheetId="10" hidden="1">#REF!</definedName>
    <definedName name="BLPH5" localSheetId="9" hidden="1">#REF!</definedName>
    <definedName name="BLPH5" localSheetId="8" hidden="1">#REF!</definedName>
    <definedName name="BLPH5" localSheetId="16"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1"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2" hidden="1">#REF!</definedName>
    <definedName name="BLPH520" hidden="1">#REF!</definedName>
    <definedName name="BLPH523" hidden="1">#REF!</definedName>
    <definedName name="BLPH524" hidden="1">#REF!</definedName>
    <definedName name="BLPH53" hidden="1">#REF!</definedName>
    <definedName name="BLPH531"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5" hidden="1">#REF!</definedName>
    <definedName name="BLPH56" hidden="1">#REF!</definedName>
    <definedName name="BLPH57" hidden="1">#REF!</definedName>
    <definedName name="BLPH58" hidden="1">#REF!</definedName>
    <definedName name="BLPH59" hidden="1">#REF!</definedName>
    <definedName name="BLPH6" localSheetId="10" hidden="1">#REF!</definedName>
    <definedName name="BLPH6" localSheetId="9" hidden="1">#REF!</definedName>
    <definedName name="BLPH6" localSheetId="8" hidden="1">#REF!</definedName>
    <definedName name="BLPH6" localSheetId="16"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localSheetId="10" hidden="1">#REF!</definedName>
    <definedName name="BLPH7" localSheetId="9" hidden="1">#REF!</definedName>
    <definedName name="BLPH7" localSheetId="8" hidden="1">#REF!</definedName>
    <definedName name="BLPH7" localSheetId="16"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0" hidden="1">#REF!</definedName>
    <definedName name="BLPH8" localSheetId="9" hidden="1">#REF!</definedName>
    <definedName name="BLPH8" localSheetId="8" hidden="1">#REF!</definedName>
    <definedName name="BLPH8" localSheetId="16" hidden="1">#REF!</definedName>
    <definedName name="BLPH8" hidden="1">#REF!</definedName>
    <definedName name="BLPH81"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localSheetId="10" hidden="1">#REF!</definedName>
    <definedName name="BLPH9" localSheetId="9" hidden="1">#REF!</definedName>
    <definedName name="BLPH9" localSheetId="8" hidden="1">#REF!</definedName>
    <definedName name="BLPH9" localSheetId="16"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I1" hidden="1">#REF!</definedName>
    <definedName name="BLPI10" hidden="1">#REF!</definedName>
    <definedName name="BLPI11" hidden="1">#REF!</definedName>
    <definedName name="BLPI12" hidden="1">#REF!</definedName>
    <definedName name="BLPI13" hidden="1">#REF!</definedName>
    <definedName name="BLPI14" hidden="1">#REF!</definedName>
    <definedName name="BLPI15" hidden="1">#REF!</definedName>
    <definedName name="BLPI16" hidden="1">#REF!</definedName>
    <definedName name="BLPI17" hidden="1">#REF!</definedName>
    <definedName name="BLPI18" hidden="1">#REF!</definedName>
    <definedName name="BLPI19" hidden="1">#REF!</definedName>
    <definedName name="BLPI2" hidden="1">#REF!</definedName>
    <definedName name="BLPI20" hidden="1">#REF!</definedName>
    <definedName name="BLPI21" hidden="1">#REF!</definedName>
    <definedName name="BLPI22" hidden="1">#REF!</definedName>
    <definedName name="BLPI23" hidden="1">#REF!</definedName>
    <definedName name="BLPI24" hidden="1">#REF!</definedName>
    <definedName name="BLPI25" hidden="1">#REF!</definedName>
    <definedName name="BLPI26" hidden="1">#REF!</definedName>
    <definedName name="BLPI27" hidden="1">#REF!</definedName>
    <definedName name="BLPI28" hidden="1">#REF!</definedName>
    <definedName name="BLPI29" hidden="1">#REF!</definedName>
    <definedName name="BLPI3" hidden="1">#REF!</definedName>
    <definedName name="BLPI30" hidden="1">#REF!</definedName>
    <definedName name="BLPI31" hidden="1">#REF!</definedName>
    <definedName name="BLPI32" hidden="1">#REF!</definedName>
    <definedName name="BLPI33" hidden="1">#REF!</definedName>
    <definedName name="BLPI34" hidden="1">#REF!</definedName>
    <definedName name="BLPI35" hidden="1">#REF!</definedName>
    <definedName name="BLPI36" hidden="1">#REF!</definedName>
    <definedName name="BLPI37" hidden="1">#REF!</definedName>
    <definedName name="BLPI38" hidden="1">#REF!</definedName>
    <definedName name="BLPI39" hidden="1">#REF!</definedName>
    <definedName name="BLPI4" hidden="1">#REF!</definedName>
    <definedName name="BLPI40" hidden="1">#REF!</definedName>
    <definedName name="BLPI41" hidden="1">#REF!</definedName>
    <definedName name="BLPI42" hidden="1">#REF!</definedName>
    <definedName name="BLPI43" hidden="1">#REF!</definedName>
    <definedName name="BLPI44" hidden="1">#REF!</definedName>
    <definedName name="BLPI45" hidden="1">#REF!</definedName>
    <definedName name="BLPI46" hidden="1">#REF!</definedName>
    <definedName name="BLPI5" hidden="1">#REF!</definedName>
    <definedName name="BLPI6" hidden="1">#REF!</definedName>
    <definedName name="BLPI7" hidden="1">#REF!</definedName>
    <definedName name="BLPI8" hidden="1">#REF!</definedName>
    <definedName name="BLPI9" hidden="1">#REF!</definedName>
    <definedName name="blsm" localSheetId="10" hidden="1">{#N/A,#N/A,FALSE,"UTIL Monthly Inc ";#N/A,#N/A,FALSE,"Capital";#N/A,#N/A,FALSE,"UTIL REVENUE";#N/A,#N/A,FALSE,"RM REVENUE";#N/A,#N/A,FALSE,"Manpower";#N/A,#N/A,FALSE,"SI - UTIL";#N/A,#N/A,FALSE,"Sales - Utili"}</definedName>
    <definedName name="blsm" hidden="1">{#N/A,#N/A,FALSE,"UTIL Monthly Inc ";#N/A,#N/A,FALSE,"Capital";#N/A,#N/A,FALSE,"UTIL REVENUE";#N/A,#N/A,FALSE,"RM REVENUE";#N/A,#N/A,FALSE,"Manpower";#N/A,#N/A,FALSE,"SI - UTIL";#N/A,#N/A,FALSE,"Sales - Utili"}</definedName>
    <definedName name="blsm_1" localSheetId="10" hidden="1">{#N/A,#N/A,FALSE,"UTIL Monthly Inc ";#N/A,#N/A,FALSE,"Capital";#N/A,#N/A,FALSE,"UTIL REVENUE";#N/A,#N/A,FALSE,"RM REVENUE";#N/A,#N/A,FALSE,"Manpower";#N/A,#N/A,FALSE,"SI - UTIL";#N/A,#N/A,FALSE,"Sales - Utili"}</definedName>
    <definedName name="blsm_1" hidden="1">{#N/A,#N/A,FALSE,"UTIL Monthly Inc ";#N/A,#N/A,FALSE,"Capital";#N/A,#N/A,FALSE,"UTIL REVENUE";#N/A,#N/A,FALSE,"RM REVENUE";#N/A,#N/A,FALSE,"Manpower";#N/A,#N/A,FALSE,"SI - UTIL";#N/A,#N/A,FALSE,"Sales - Utili"}</definedName>
    <definedName name="blsm_1_1" localSheetId="10" hidden="1">{#N/A,#N/A,FALSE,"UTIL Monthly Inc ";#N/A,#N/A,FALSE,"Capital";#N/A,#N/A,FALSE,"UTIL REVENUE";#N/A,#N/A,FALSE,"RM REVENUE";#N/A,#N/A,FALSE,"Manpower";#N/A,#N/A,FALSE,"SI - UTIL";#N/A,#N/A,FALSE,"Sales - Utili"}</definedName>
    <definedName name="blsm_1_1" hidden="1">{#N/A,#N/A,FALSE,"UTIL Monthly Inc ";#N/A,#N/A,FALSE,"Capital";#N/A,#N/A,FALSE,"UTIL REVENUE";#N/A,#N/A,FALSE,"RM REVENUE";#N/A,#N/A,FALSE,"Manpower";#N/A,#N/A,FALSE,"SI - UTIL";#N/A,#N/A,FALSE,"Sales - Utili"}</definedName>
    <definedName name="blsm_1_1_1" localSheetId="10" hidden="1">{#N/A,#N/A,FALSE,"UTIL Monthly Inc ";#N/A,#N/A,FALSE,"Capital";#N/A,#N/A,FALSE,"UTIL REVENUE";#N/A,#N/A,FALSE,"RM REVENUE";#N/A,#N/A,FALSE,"Manpower";#N/A,#N/A,FALSE,"SI - UTIL";#N/A,#N/A,FALSE,"Sales - Utili"}</definedName>
    <definedName name="blsm_1_1_1" hidden="1">{#N/A,#N/A,FALSE,"UTIL Monthly Inc ";#N/A,#N/A,FALSE,"Capital";#N/A,#N/A,FALSE,"UTIL REVENUE";#N/A,#N/A,FALSE,"RM REVENUE";#N/A,#N/A,FALSE,"Manpower";#N/A,#N/A,FALSE,"SI - UTIL";#N/A,#N/A,FALSE,"Sales - Utili"}</definedName>
    <definedName name="blsm_1_1_2" localSheetId="10" hidden="1">{#N/A,#N/A,FALSE,"UTIL Monthly Inc ";#N/A,#N/A,FALSE,"Capital";#N/A,#N/A,FALSE,"UTIL REVENUE";#N/A,#N/A,FALSE,"RM REVENUE";#N/A,#N/A,FALSE,"Manpower";#N/A,#N/A,FALSE,"SI - UTIL";#N/A,#N/A,FALSE,"Sales - Utili"}</definedName>
    <definedName name="blsm_1_1_2" hidden="1">{#N/A,#N/A,FALSE,"UTIL Monthly Inc ";#N/A,#N/A,FALSE,"Capital";#N/A,#N/A,FALSE,"UTIL REVENUE";#N/A,#N/A,FALSE,"RM REVENUE";#N/A,#N/A,FALSE,"Manpower";#N/A,#N/A,FALSE,"SI - UTIL";#N/A,#N/A,FALSE,"Sales - Utili"}</definedName>
    <definedName name="blsm_1_1_3" localSheetId="10" hidden="1">{#N/A,#N/A,FALSE,"UTIL Monthly Inc ";#N/A,#N/A,FALSE,"Capital";#N/A,#N/A,FALSE,"UTIL REVENUE";#N/A,#N/A,FALSE,"RM REVENUE";#N/A,#N/A,FALSE,"Manpower";#N/A,#N/A,FALSE,"SI - UTIL";#N/A,#N/A,FALSE,"Sales - Utili"}</definedName>
    <definedName name="blsm_1_1_3" hidden="1">{#N/A,#N/A,FALSE,"UTIL Monthly Inc ";#N/A,#N/A,FALSE,"Capital";#N/A,#N/A,FALSE,"UTIL REVENUE";#N/A,#N/A,FALSE,"RM REVENUE";#N/A,#N/A,FALSE,"Manpower";#N/A,#N/A,FALSE,"SI - UTIL";#N/A,#N/A,FALSE,"Sales - Utili"}</definedName>
    <definedName name="blsm_1_1_4" localSheetId="10" hidden="1">{#N/A,#N/A,FALSE,"UTIL Monthly Inc ";#N/A,#N/A,FALSE,"Capital";#N/A,#N/A,FALSE,"UTIL REVENUE";#N/A,#N/A,FALSE,"RM REVENUE";#N/A,#N/A,FALSE,"Manpower";#N/A,#N/A,FALSE,"SI - UTIL";#N/A,#N/A,FALSE,"Sales - Utili"}</definedName>
    <definedName name="blsm_1_1_4" hidden="1">{#N/A,#N/A,FALSE,"UTIL Monthly Inc ";#N/A,#N/A,FALSE,"Capital";#N/A,#N/A,FALSE,"UTIL REVENUE";#N/A,#N/A,FALSE,"RM REVENUE";#N/A,#N/A,FALSE,"Manpower";#N/A,#N/A,FALSE,"SI - UTIL";#N/A,#N/A,FALSE,"Sales - Utili"}</definedName>
    <definedName name="blsm_1_1_5" localSheetId="10" hidden="1">{#N/A,#N/A,FALSE,"UTIL Monthly Inc ";#N/A,#N/A,FALSE,"Capital";#N/A,#N/A,FALSE,"UTIL REVENUE";#N/A,#N/A,FALSE,"RM REVENUE";#N/A,#N/A,FALSE,"Manpower";#N/A,#N/A,FALSE,"SI - UTIL";#N/A,#N/A,FALSE,"Sales - Utili"}</definedName>
    <definedName name="blsm_1_1_5" hidden="1">{#N/A,#N/A,FALSE,"UTIL Monthly Inc ";#N/A,#N/A,FALSE,"Capital";#N/A,#N/A,FALSE,"UTIL REVENUE";#N/A,#N/A,FALSE,"RM REVENUE";#N/A,#N/A,FALSE,"Manpower";#N/A,#N/A,FALSE,"SI - UTIL";#N/A,#N/A,FALSE,"Sales - Utili"}</definedName>
    <definedName name="blsm_1_2" localSheetId="10" hidden="1">{#N/A,#N/A,FALSE,"UTIL Monthly Inc ";#N/A,#N/A,FALSE,"Capital";#N/A,#N/A,FALSE,"UTIL REVENUE";#N/A,#N/A,FALSE,"RM REVENUE";#N/A,#N/A,FALSE,"Manpower";#N/A,#N/A,FALSE,"SI - UTIL";#N/A,#N/A,FALSE,"Sales - Utili"}</definedName>
    <definedName name="blsm_1_2" hidden="1">{#N/A,#N/A,FALSE,"UTIL Monthly Inc ";#N/A,#N/A,FALSE,"Capital";#N/A,#N/A,FALSE,"UTIL REVENUE";#N/A,#N/A,FALSE,"RM REVENUE";#N/A,#N/A,FALSE,"Manpower";#N/A,#N/A,FALSE,"SI - UTIL";#N/A,#N/A,FALSE,"Sales - Utili"}</definedName>
    <definedName name="blsm_1_3" localSheetId="10" hidden="1">{#N/A,#N/A,FALSE,"UTIL Monthly Inc ";#N/A,#N/A,FALSE,"Capital";#N/A,#N/A,FALSE,"UTIL REVENUE";#N/A,#N/A,FALSE,"RM REVENUE";#N/A,#N/A,FALSE,"Manpower";#N/A,#N/A,FALSE,"SI - UTIL";#N/A,#N/A,FALSE,"Sales - Utili"}</definedName>
    <definedName name="blsm_1_3" hidden="1">{#N/A,#N/A,FALSE,"UTIL Monthly Inc ";#N/A,#N/A,FALSE,"Capital";#N/A,#N/A,FALSE,"UTIL REVENUE";#N/A,#N/A,FALSE,"RM REVENUE";#N/A,#N/A,FALSE,"Manpower";#N/A,#N/A,FALSE,"SI - UTIL";#N/A,#N/A,FALSE,"Sales - Utili"}</definedName>
    <definedName name="blsm_1_4" localSheetId="10" hidden="1">{#N/A,#N/A,FALSE,"UTIL Monthly Inc ";#N/A,#N/A,FALSE,"Capital";#N/A,#N/A,FALSE,"UTIL REVENUE";#N/A,#N/A,FALSE,"RM REVENUE";#N/A,#N/A,FALSE,"Manpower";#N/A,#N/A,FALSE,"SI - UTIL";#N/A,#N/A,FALSE,"Sales - Utili"}</definedName>
    <definedName name="blsm_1_4" hidden="1">{#N/A,#N/A,FALSE,"UTIL Monthly Inc ";#N/A,#N/A,FALSE,"Capital";#N/A,#N/A,FALSE,"UTIL REVENUE";#N/A,#N/A,FALSE,"RM REVENUE";#N/A,#N/A,FALSE,"Manpower";#N/A,#N/A,FALSE,"SI - UTIL";#N/A,#N/A,FALSE,"Sales - Utili"}</definedName>
    <definedName name="blsm_1_5" localSheetId="10" hidden="1">{#N/A,#N/A,FALSE,"UTIL Monthly Inc ";#N/A,#N/A,FALSE,"Capital";#N/A,#N/A,FALSE,"UTIL REVENUE";#N/A,#N/A,FALSE,"RM REVENUE";#N/A,#N/A,FALSE,"Manpower";#N/A,#N/A,FALSE,"SI - UTIL";#N/A,#N/A,FALSE,"Sales - Utili"}</definedName>
    <definedName name="blsm_1_5" hidden="1">{#N/A,#N/A,FALSE,"UTIL Monthly Inc ";#N/A,#N/A,FALSE,"Capital";#N/A,#N/A,FALSE,"UTIL REVENUE";#N/A,#N/A,FALSE,"RM REVENUE";#N/A,#N/A,FALSE,"Manpower";#N/A,#N/A,FALSE,"SI - UTIL";#N/A,#N/A,FALSE,"Sales - Utili"}</definedName>
    <definedName name="blsm_2" localSheetId="10" hidden="1">{#N/A,#N/A,FALSE,"UTIL Monthly Inc ";#N/A,#N/A,FALSE,"Capital";#N/A,#N/A,FALSE,"UTIL REVENUE";#N/A,#N/A,FALSE,"RM REVENUE";#N/A,#N/A,FALSE,"Manpower";#N/A,#N/A,FALSE,"SI - UTIL";#N/A,#N/A,FALSE,"Sales - Utili"}</definedName>
    <definedName name="blsm_2" hidden="1">{#N/A,#N/A,FALSE,"UTIL Monthly Inc ";#N/A,#N/A,FALSE,"Capital";#N/A,#N/A,FALSE,"UTIL REVENUE";#N/A,#N/A,FALSE,"RM REVENUE";#N/A,#N/A,FALSE,"Manpower";#N/A,#N/A,FALSE,"SI - UTIL";#N/A,#N/A,FALSE,"Sales - Utili"}</definedName>
    <definedName name="blsm_2_1" localSheetId="10" hidden="1">{#N/A,#N/A,FALSE,"UTIL Monthly Inc ";#N/A,#N/A,FALSE,"Capital";#N/A,#N/A,FALSE,"UTIL REVENUE";#N/A,#N/A,FALSE,"RM REVENUE";#N/A,#N/A,FALSE,"Manpower";#N/A,#N/A,FALSE,"SI - UTIL";#N/A,#N/A,FALSE,"Sales - Utili"}</definedName>
    <definedName name="blsm_2_1" hidden="1">{#N/A,#N/A,FALSE,"UTIL Monthly Inc ";#N/A,#N/A,FALSE,"Capital";#N/A,#N/A,FALSE,"UTIL REVENUE";#N/A,#N/A,FALSE,"RM REVENUE";#N/A,#N/A,FALSE,"Manpower";#N/A,#N/A,FALSE,"SI - UTIL";#N/A,#N/A,FALSE,"Sales - Utili"}</definedName>
    <definedName name="blsm_2_2" localSheetId="10" hidden="1">{#N/A,#N/A,FALSE,"UTIL Monthly Inc ";#N/A,#N/A,FALSE,"Capital";#N/A,#N/A,FALSE,"UTIL REVENUE";#N/A,#N/A,FALSE,"RM REVENUE";#N/A,#N/A,FALSE,"Manpower";#N/A,#N/A,FALSE,"SI - UTIL";#N/A,#N/A,FALSE,"Sales - Utili"}</definedName>
    <definedName name="blsm_2_2" hidden="1">{#N/A,#N/A,FALSE,"UTIL Monthly Inc ";#N/A,#N/A,FALSE,"Capital";#N/A,#N/A,FALSE,"UTIL REVENUE";#N/A,#N/A,FALSE,"RM REVENUE";#N/A,#N/A,FALSE,"Manpower";#N/A,#N/A,FALSE,"SI - UTIL";#N/A,#N/A,FALSE,"Sales - Utili"}</definedName>
    <definedName name="blsm_2_3" localSheetId="10" hidden="1">{#N/A,#N/A,FALSE,"UTIL Monthly Inc ";#N/A,#N/A,FALSE,"Capital";#N/A,#N/A,FALSE,"UTIL REVENUE";#N/A,#N/A,FALSE,"RM REVENUE";#N/A,#N/A,FALSE,"Manpower";#N/A,#N/A,FALSE,"SI - UTIL";#N/A,#N/A,FALSE,"Sales - Utili"}</definedName>
    <definedName name="blsm_2_3" hidden="1">{#N/A,#N/A,FALSE,"UTIL Monthly Inc ";#N/A,#N/A,FALSE,"Capital";#N/A,#N/A,FALSE,"UTIL REVENUE";#N/A,#N/A,FALSE,"RM REVENUE";#N/A,#N/A,FALSE,"Manpower";#N/A,#N/A,FALSE,"SI - UTIL";#N/A,#N/A,FALSE,"Sales - Utili"}</definedName>
    <definedName name="blsm_2_4" localSheetId="10" hidden="1">{#N/A,#N/A,FALSE,"UTIL Monthly Inc ";#N/A,#N/A,FALSE,"Capital";#N/A,#N/A,FALSE,"UTIL REVENUE";#N/A,#N/A,FALSE,"RM REVENUE";#N/A,#N/A,FALSE,"Manpower";#N/A,#N/A,FALSE,"SI - UTIL";#N/A,#N/A,FALSE,"Sales - Utili"}</definedName>
    <definedName name="blsm_2_4" hidden="1">{#N/A,#N/A,FALSE,"UTIL Monthly Inc ";#N/A,#N/A,FALSE,"Capital";#N/A,#N/A,FALSE,"UTIL REVENUE";#N/A,#N/A,FALSE,"RM REVENUE";#N/A,#N/A,FALSE,"Manpower";#N/A,#N/A,FALSE,"SI - UTIL";#N/A,#N/A,FALSE,"Sales - Utili"}</definedName>
    <definedName name="blsm_2_5" localSheetId="10" hidden="1">{#N/A,#N/A,FALSE,"UTIL Monthly Inc ";#N/A,#N/A,FALSE,"Capital";#N/A,#N/A,FALSE,"UTIL REVENUE";#N/A,#N/A,FALSE,"RM REVENUE";#N/A,#N/A,FALSE,"Manpower";#N/A,#N/A,FALSE,"SI - UTIL";#N/A,#N/A,FALSE,"Sales - Utili"}</definedName>
    <definedName name="blsm_2_5" hidden="1">{#N/A,#N/A,FALSE,"UTIL Monthly Inc ";#N/A,#N/A,FALSE,"Capital";#N/A,#N/A,FALSE,"UTIL REVENUE";#N/A,#N/A,FALSE,"RM REVENUE";#N/A,#N/A,FALSE,"Manpower";#N/A,#N/A,FALSE,"SI - UTIL";#N/A,#N/A,FALSE,"Sales - Utili"}</definedName>
    <definedName name="blsm_3" localSheetId="10" hidden="1">{#N/A,#N/A,FALSE,"UTIL Monthly Inc ";#N/A,#N/A,FALSE,"Capital";#N/A,#N/A,FALSE,"UTIL REVENUE";#N/A,#N/A,FALSE,"RM REVENUE";#N/A,#N/A,FALSE,"Manpower";#N/A,#N/A,FALSE,"SI - UTIL";#N/A,#N/A,FALSE,"Sales - Utili"}</definedName>
    <definedName name="blsm_3" hidden="1">{#N/A,#N/A,FALSE,"UTIL Monthly Inc ";#N/A,#N/A,FALSE,"Capital";#N/A,#N/A,FALSE,"UTIL REVENUE";#N/A,#N/A,FALSE,"RM REVENUE";#N/A,#N/A,FALSE,"Manpower";#N/A,#N/A,FALSE,"SI - UTIL";#N/A,#N/A,FALSE,"Sales - Utili"}</definedName>
    <definedName name="blsm_3_1" localSheetId="10" hidden="1">{#N/A,#N/A,FALSE,"UTIL Monthly Inc ";#N/A,#N/A,FALSE,"Capital";#N/A,#N/A,FALSE,"UTIL REVENUE";#N/A,#N/A,FALSE,"RM REVENUE";#N/A,#N/A,FALSE,"Manpower";#N/A,#N/A,FALSE,"SI - UTIL";#N/A,#N/A,FALSE,"Sales - Utili"}</definedName>
    <definedName name="blsm_3_1" hidden="1">{#N/A,#N/A,FALSE,"UTIL Monthly Inc ";#N/A,#N/A,FALSE,"Capital";#N/A,#N/A,FALSE,"UTIL REVENUE";#N/A,#N/A,FALSE,"RM REVENUE";#N/A,#N/A,FALSE,"Manpower";#N/A,#N/A,FALSE,"SI - UTIL";#N/A,#N/A,FALSE,"Sales - Utili"}</definedName>
    <definedName name="blsm_3_2" localSheetId="10" hidden="1">{#N/A,#N/A,FALSE,"UTIL Monthly Inc ";#N/A,#N/A,FALSE,"Capital";#N/A,#N/A,FALSE,"UTIL REVENUE";#N/A,#N/A,FALSE,"RM REVENUE";#N/A,#N/A,FALSE,"Manpower";#N/A,#N/A,FALSE,"SI - UTIL";#N/A,#N/A,FALSE,"Sales - Utili"}</definedName>
    <definedName name="blsm_3_2" hidden="1">{#N/A,#N/A,FALSE,"UTIL Monthly Inc ";#N/A,#N/A,FALSE,"Capital";#N/A,#N/A,FALSE,"UTIL REVENUE";#N/A,#N/A,FALSE,"RM REVENUE";#N/A,#N/A,FALSE,"Manpower";#N/A,#N/A,FALSE,"SI - UTIL";#N/A,#N/A,FALSE,"Sales - Utili"}</definedName>
    <definedName name="blsm_3_3" localSheetId="10" hidden="1">{#N/A,#N/A,FALSE,"UTIL Monthly Inc ";#N/A,#N/A,FALSE,"Capital";#N/A,#N/A,FALSE,"UTIL REVENUE";#N/A,#N/A,FALSE,"RM REVENUE";#N/A,#N/A,FALSE,"Manpower";#N/A,#N/A,FALSE,"SI - UTIL";#N/A,#N/A,FALSE,"Sales - Utili"}</definedName>
    <definedName name="blsm_3_3" hidden="1">{#N/A,#N/A,FALSE,"UTIL Monthly Inc ";#N/A,#N/A,FALSE,"Capital";#N/A,#N/A,FALSE,"UTIL REVENUE";#N/A,#N/A,FALSE,"RM REVENUE";#N/A,#N/A,FALSE,"Manpower";#N/A,#N/A,FALSE,"SI - UTIL";#N/A,#N/A,FALSE,"Sales - Utili"}</definedName>
    <definedName name="blsm_3_4" localSheetId="10" hidden="1">{#N/A,#N/A,FALSE,"UTIL Monthly Inc ";#N/A,#N/A,FALSE,"Capital";#N/A,#N/A,FALSE,"UTIL REVENUE";#N/A,#N/A,FALSE,"RM REVENUE";#N/A,#N/A,FALSE,"Manpower";#N/A,#N/A,FALSE,"SI - UTIL";#N/A,#N/A,FALSE,"Sales - Utili"}</definedName>
    <definedName name="blsm_3_4" hidden="1">{#N/A,#N/A,FALSE,"UTIL Monthly Inc ";#N/A,#N/A,FALSE,"Capital";#N/A,#N/A,FALSE,"UTIL REVENUE";#N/A,#N/A,FALSE,"RM REVENUE";#N/A,#N/A,FALSE,"Manpower";#N/A,#N/A,FALSE,"SI - UTIL";#N/A,#N/A,FALSE,"Sales - Utili"}</definedName>
    <definedName name="blsm_3_5" localSheetId="10" hidden="1">{#N/A,#N/A,FALSE,"UTIL Monthly Inc ";#N/A,#N/A,FALSE,"Capital";#N/A,#N/A,FALSE,"UTIL REVENUE";#N/A,#N/A,FALSE,"RM REVENUE";#N/A,#N/A,FALSE,"Manpower";#N/A,#N/A,FALSE,"SI - UTIL";#N/A,#N/A,FALSE,"Sales - Utili"}</definedName>
    <definedName name="blsm_3_5" hidden="1">{#N/A,#N/A,FALSE,"UTIL Monthly Inc ";#N/A,#N/A,FALSE,"Capital";#N/A,#N/A,FALSE,"UTIL REVENUE";#N/A,#N/A,FALSE,"RM REVENUE";#N/A,#N/A,FALSE,"Manpower";#N/A,#N/A,FALSE,"SI - UTIL";#N/A,#N/A,FALSE,"Sales - Utili"}</definedName>
    <definedName name="blsm_4" localSheetId="10" hidden="1">{#N/A,#N/A,FALSE,"UTIL Monthly Inc ";#N/A,#N/A,FALSE,"Capital";#N/A,#N/A,FALSE,"UTIL REVENUE";#N/A,#N/A,FALSE,"RM REVENUE";#N/A,#N/A,FALSE,"Manpower";#N/A,#N/A,FALSE,"SI - UTIL";#N/A,#N/A,FALSE,"Sales - Utili"}</definedName>
    <definedName name="blsm_4" hidden="1">{#N/A,#N/A,FALSE,"UTIL Monthly Inc ";#N/A,#N/A,FALSE,"Capital";#N/A,#N/A,FALSE,"UTIL REVENUE";#N/A,#N/A,FALSE,"RM REVENUE";#N/A,#N/A,FALSE,"Manpower";#N/A,#N/A,FALSE,"SI - UTIL";#N/A,#N/A,FALSE,"Sales - Utili"}</definedName>
    <definedName name="blsm_5" localSheetId="10" hidden="1">{#N/A,#N/A,FALSE,"UTIL Monthly Inc ";#N/A,#N/A,FALSE,"Capital";#N/A,#N/A,FALSE,"UTIL REVENUE";#N/A,#N/A,FALSE,"RM REVENUE";#N/A,#N/A,FALSE,"Manpower";#N/A,#N/A,FALSE,"SI - UTIL";#N/A,#N/A,FALSE,"Sales - Utili"}</definedName>
    <definedName name="blsm_5" hidden="1">{#N/A,#N/A,FALSE,"UTIL Monthly Inc ";#N/A,#N/A,FALSE,"Capital";#N/A,#N/A,FALSE,"UTIL REVENUE";#N/A,#N/A,FALSE,"RM REVENUE";#N/A,#N/A,FALSE,"Manpower";#N/A,#N/A,FALSE,"SI - UTIL";#N/A,#N/A,FALSE,"Sales - Utili"}</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localSheetId="10" hidden="1">{#N/A,#N/A,FALSE,"KA CH  (2)"}</definedName>
    <definedName name="bmbnmn" hidden="1">{#N/A,#N/A,FALSE,"KA CH  (2)"}</definedName>
    <definedName name="bn" localSheetId="10" hidden="1">{#N/A,#N/A,FALSE,"DCF Summary";#N/A,#N/A,FALSE,"Casema";#N/A,#N/A,FALSE,"Casema NoTel";#N/A,#N/A,FALSE,"UK";#N/A,#N/A,FALSE,"RCF";#N/A,#N/A,FALSE,"Intercable CZ";#N/A,#N/A,FALSE,"Interkabel P"}</definedName>
    <definedName name="bn" localSheetId="15" hidden="1">{#N/A,#N/A,FALSE,"DCF Summary";#N/A,#N/A,FALSE,"Casema";#N/A,#N/A,FALSE,"Casema NoTel";#N/A,#N/A,FALSE,"UK";#N/A,#N/A,FALSE,"RCF";#N/A,#N/A,FALSE,"Intercable CZ";#N/A,#N/A,FALSE,"Interkabel P"}</definedName>
    <definedName name="bn" hidden="1">{#N/A,#N/A,FALSE,"DCF Summary";#N/A,#N/A,FALSE,"Casema";#N/A,#N/A,FALSE,"Casema NoTel";#N/A,#N/A,FALSE,"UK";#N/A,#N/A,FALSE,"RCF";#N/A,#N/A,FALSE,"Intercable CZ";#N/A,#N/A,FALSE,"Interkabel P"}</definedName>
    <definedName name="bnbn" localSheetId="10" hidden="1">{"oct_res_comm",#N/A,FALSE,"VarToBud"}</definedName>
    <definedName name="bnbn" hidden="1">{"oct_res_comm",#N/A,FALSE,"VarToBud"}</definedName>
    <definedName name="BNE_MESSAGES_HIDDEN" localSheetId="10" hidden="1">#REF!</definedName>
    <definedName name="BNE_MESSAGES_HIDDEN" localSheetId="9" hidden="1">#REF!</definedName>
    <definedName name="BNE_MESSAGES_HIDDEN" localSheetId="8" hidden="1">#REF!</definedName>
    <definedName name="BNE_MESSAGES_HIDDEN" localSheetId="16" hidden="1">#REF!</definedName>
    <definedName name="BNE_MESSAGES_HIDDEN" hidden="1">#REF!</definedName>
    <definedName name="bnm" localSheetId="10" hidden="1">{#N/A,#N/A,FALSE,"REPORT"}</definedName>
    <definedName name="bnm" hidden="1">{#N/A,#N/A,FALSE,"REPORT"}</definedName>
    <definedName name="bnmk" localSheetId="10"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m" localSheetId="10" hidden="1">{"detail",#N/A,FALSE,"mfg";"summary",#N/A,FALSE,"mfg"}</definedName>
    <definedName name="bnmm" hidden="1">{"detail",#N/A,FALSE,"mfg";"summary",#N/A,FALSE,"mfg"}</definedName>
    <definedName name="bnnn" localSheetId="10" hidden="1">{"consolidated",#N/A,FALSE,"Sheet1";"cms",#N/A,FALSE,"Sheet1";"fse",#N/A,FALSE,"Sheet1"}</definedName>
    <definedName name="bnnn" localSheetId="15" hidden="1">{"consolidated",#N/A,FALSE,"Sheet1";"cms",#N/A,FALSE,"Sheet1";"fse",#N/A,FALSE,"Sheet1"}</definedName>
    <definedName name="bnnn" hidden="1">{"consolidated",#N/A,FALSE,"Sheet1";"cms",#N/A,FALSE,"Sheet1";"fse",#N/A,FALSE,"Sheet1"}</definedName>
    <definedName name="Bob" localSheetId="10" hidden="1">{"COM",#N/A,FALSE,"800 10th"}</definedName>
    <definedName name="Bob" hidden="1">{"COM",#N/A,FALSE,"800 10th"}</definedName>
    <definedName name="BOB_Dental_allowed_amt_prior" hidden="1">#REF!</definedName>
    <definedName name="BOB_Dental_basic_paid_amt_prior" hidden="1">#REF!</definedName>
    <definedName name="BOB_Dental_basic_svcs_prior" hidden="1">#REF!</definedName>
    <definedName name="BOB_Dental_cob_amt_prior" hidden="1">#REF!</definedName>
    <definedName name="BOB_Dental_coinsurance_amt_prior" hidden="1">#REF!</definedName>
    <definedName name="BOB_Dental_deductible_amt_prior" hidden="1">#REF!</definedName>
    <definedName name="BOB_Dental_major_paid_amt_prior" hidden="1">#REF!</definedName>
    <definedName name="BOB_Dental_major_svcs_prior" hidden="1">#REF!</definedName>
    <definedName name="BOB_Dental_network_paid_amt_prior" hidden="1">#REF!</definedName>
    <definedName name="BOB_Dental_orthodonic_paid_amt_prior" hidden="1">#REF!</definedName>
    <definedName name="BOB_Dental_orthodonic_svcs_prior" hidden="1">#REF!</definedName>
    <definedName name="BOB_Dental_other_paid_amt_prior" hidden="1">#REF!</definedName>
    <definedName name="BOB_Dental_other_svcs_prior" hidden="1">#REF!</definedName>
    <definedName name="BOB_Dental_paid_amt_prior" hidden="1">#REF!</definedName>
    <definedName name="BOB_Dental_preventative_paid_amt_prior" hidden="1">#REF!</definedName>
    <definedName name="BOB_Dental_preventative_svcs_prior" hidden="1">#REF!</definedName>
    <definedName name="BOB_Med_allowed_amt_curr" hidden="1">#REF!</definedName>
    <definedName name="BOB_Med_allowed_amt_prior" hidden="1">#REF!</definedName>
    <definedName name="BOB_Med_paid_amt_amb_surgeries_prior" hidden="1">#REF!</definedName>
    <definedName name="BOB_Med_paid_amt_amb_visits_prior" hidden="1">#REF!</definedName>
    <definedName name="BOB_Med_paid_amt_er_visits_prior" hidden="1">#REF!</definedName>
    <definedName name="BOB_Med_paid_amt_home_health_prior" hidden="1">#REF!</definedName>
    <definedName name="BOB_Med_paid_amt_inp_days_prior" hidden="1">#REF!</definedName>
    <definedName name="BOB_Med_paid_amt_inp_surgeries_prior" hidden="1">#REF!</definedName>
    <definedName name="BOB_Med_paid_amt_lab_serv_prior" hidden="1">#REF!</definedName>
    <definedName name="BOB_Med_paid_amt_med_rx_prior" hidden="1">#REF!</definedName>
    <definedName name="BOB_Med_paid_amt_med_visits_prior" hidden="1">#REF!</definedName>
    <definedName name="BOB_Med_paid_amt_mental_health_prior" hidden="1">#REF!</definedName>
    <definedName name="BOB_Med_paid_amt_misc_med_prior" hidden="1">#REF!</definedName>
    <definedName name="BOB_Med_paid_amt_office_surgeries_prior" hidden="1">#REF!</definedName>
    <definedName name="BOB_Med_paid_amt_prim_off_visits_prior" hidden="1">#REF!</definedName>
    <definedName name="BOB_Med_paid_amt_rad_serv_prior" hidden="1">#REF!</definedName>
    <definedName name="BOB_Med_paid_amt_spec_office_visits_prior" hidden="1">#REF!</definedName>
    <definedName name="BOB_Med_paid_encounter_lab_rad_prior" hidden="1">#REF!</definedName>
    <definedName name="BOB_Med_paid_encounter_other_prior" hidden="1">#REF!</definedName>
    <definedName name="BOB_Med_paid_encounter_prim_phys_prior" hidden="1">#REF!</definedName>
    <definedName name="BOB_Med_paid_encounter_spec_phys_prior" hidden="1">#REF!</definedName>
    <definedName name="BOB_Med_paid_other_prior" hidden="1">#REF!</definedName>
    <definedName name="bobbbbbbyy" localSheetId="10" hidden="1">{"CSC_1",#N/A,FALSE,"CSC Outputs";"CSC_2",#N/A,FALSE,"CSC Outputs"}</definedName>
    <definedName name="bobbbbbbyy" localSheetId="15" hidden="1">{"CSC_1",#N/A,FALSE,"CSC Outputs";"CSC_2",#N/A,FALSE,"CSC Outputs"}</definedName>
    <definedName name="bobbbbbbyy" hidden="1">{"CSC_1",#N/A,FALSE,"CSC Outputs";"CSC_2",#N/A,FALSE,"CSC Outputs"}</definedName>
    <definedName name="BOD_BS" localSheetId="10" hidden="1">{"'debtors'!$A$1:$I$305","'debtors'!$A$1:$J$285"}</definedName>
    <definedName name="BOD_BS" hidden="1">{"'debtors'!$A$1:$I$305","'debtors'!$A$1:$J$285"}</definedName>
    <definedName name="Bolt_On" localSheetId="10">#REF!</definedName>
    <definedName name="Bolt_On">#REF!</definedName>
    <definedName name="BoltOn" localSheetId="10">#REF!</definedName>
    <definedName name="BoltOn">#REF!</definedName>
    <definedName name="Bonus_Rate">#REF!</definedName>
    <definedName name="booking">#REF!</definedName>
    <definedName name="BookType">1</definedName>
    <definedName name="boolaboola" hidden="1">#REF!</definedName>
    <definedName name="border">#REF!</definedName>
    <definedName name="border1">#REF!</definedName>
    <definedName name="boring" localSheetId="10" hidden="1">{"Page1",#N/A,FALSE,"CompCo";"Page2",#N/A,FALSE,"CompCo"}</definedName>
    <definedName name="boring" localSheetId="15" hidden="1">{"Page1",#N/A,FALSE,"CompCo";"Page2",#N/A,FALSE,"CompCo"}</definedName>
    <definedName name="boring" hidden="1">{"Page1",#N/A,FALSE,"CompCo";"Page2",#N/A,FALSE,"CompCo"}</definedName>
    <definedName name="bosshog" localSheetId="10" hidden="1">{"Vol Qtr 1",#N/A,TRUE,"Wk-CV";"Vol Qtr 2",#N/A,TRUE,"Wk-CV";"Vol Qtr 3",#N/A,TRUE,"Wk-CV";"Vol Qtr 4",#N/A,TRUE,"Wk-CV"}</definedName>
    <definedName name="bosshog" hidden="1">{"Vol Qtr 1",#N/A,TRUE,"Wk-CV";"Vol Qtr 2",#N/A,TRUE,"Wk-CV";"Vol Qtr 3",#N/A,TRUE,"Wk-CV";"Vol Qtr 4",#N/A,TRUE,"Wk-CV"}</definedName>
    <definedName name="both203" localSheetId="10" hidden="1">{"detail",#N/A,FALSE,"mfg";"summary",#N/A,FALSE,"mfg"}</definedName>
    <definedName name="both203" hidden="1">{"detail",#N/A,FALSE,"mfg";"summary",#N/A,FALSE,"mfg"}</definedName>
    <definedName name="both204" localSheetId="10" hidden="1">{"detail",#N/A,FALSE,"mfg";"summary",#N/A,FALSE,"mfg"}</definedName>
    <definedName name="both204" hidden="1">{"detail",#N/A,FALSE,"mfg";"summary",#N/A,FALSE,"mfg"}</definedName>
    <definedName name="both89n" localSheetId="10" hidden="1">{"detail",#N/A,FALSE,"mfg";"summary",#N/A,FALSE,"mfg"}</definedName>
    <definedName name="both89n" hidden="1">{"detail",#N/A,FALSE,"mfg";"summary",#N/A,FALSE,"mfg"}</definedName>
    <definedName name="both8mj" localSheetId="10" hidden="1">{"detail",#N/A,FALSE,"mfg";"summary",#N/A,FALSE,"mfg"}</definedName>
    <definedName name="both8mj" hidden="1">{"detail",#N/A,FALSE,"mfg";"summary",#N/A,FALSE,"mfg"}</definedName>
    <definedName name="BottomRow" localSheetId="10">#REF!</definedName>
    <definedName name="BottomRow">#REF!</definedName>
    <definedName name="BottomRowYr2" localSheetId="10">#REF!</definedName>
    <definedName name="BottomRowYr2">#REF!</definedName>
    <definedName name="BottomRowYr3" localSheetId="10">#REF!</definedName>
    <definedName name="BottomRowYr3">#REF!</definedName>
    <definedName name="boxes">#REF!</definedName>
    <definedName name="bpd" localSheetId="10" hidden="1">{#N/A,#N/A,TRUE,"Condensed IS";#N/A,#N/A,TRUE,"Condensed BS";#N/A,#N/A,TRUE,"Outlook";#N/A,#N/A,TRUE,"Condensed CF";#N/A,#N/A,TRUE,"Condensed CF - qtr"}</definedName>
    <definedName name="bpd" hidden="1">{#N/A,#N/A,TRUE,"Condensed IS";#N/A,#N/A,TRUE,"Condensed BS";#N/A,#N/A,TRUE,"Outlook";#N/A,#N/A,TRUE,"Condensed CF";#N/A,#N/A,TRUE,"Condensed CF - qtr"}</definedName>
    <definedName name="br" localSheetId="10" hidden="1">{"oct_res_comm",#N/A,FALSE,"VarToBud"}</definedName>
    <definedName name="br" hidden="1">{"oct_res_comm",#N/A,FALSE,"VarToBud"}</definedName>
    <definedName name="brady" localSheetId="10" hidden="1">{"Vol Qtr 1",#N/A,TRUE,"Wk-CV";"Vol Qtr 2",#N/A,TRUE,"Wk-CV";"Vol Qtr 3",#N/A,TRUE,"Wk-CV";"Vol Qtr 4",#N/A,TRUE,"Wk-CV"}</definedName>
    <definedName name="brady" hidden="1">{"Vol Qtr 1",#N/A,TRUE,"Wk-CV";"Vol Qtr 2",#N/A,TRUE,"Wk-CV";"Vol Qtr 3",#N/A,TRUE,"Wk-CV";"Vol Qtr 4",#N/A,TRUE,"Wk-CV"}</definedName>
    <definedName name="branchcode">#REF!</definedName>
    <definedName name="BrandAverageCopay" hidden="1">#REF!</definedName>
    <definedName name="BrandMultiAverageCopay" hidden="1">#REF!</definedName>
    <definedName name="BrazilJulio" localSheetId="10" hidden="1">{"Material",#N/A,TRUE,"Summary";"Mfg",#N/A,TRUE,"Summary";"mfgbymo",#N/A,TRUE,"By Month";"Mtlbymo",#N/A,TRUE,"By Month"}</definedName>
    <definedName name="BrazilJulio" hidden="1">{"Material",#N/A,TRUE,"Summary";"Mfg",#N/A,TRUE,"Summary";"mfgbymo",#N/A,TRUE,"By Month";"Mtlbymo",#N/A,TRUE,"By Month"}</definedName>
    <definedName name="BrazilJulio_1" localSheetId="10" hidden="1">{"Material",#N/A,TRUE,"Summary";"Mfg",#N/A,TRUE,"Summary";"mfgbymo",#N/A,TRUE,"By Month";"Mtlbymo",#N/A,TRUE,"By Month"}</definedName>
    <definedName name="BrazilJulio_1" hidden="1">{"Material",#N/A,TRUE,"Summary";"Mfg",#N/A,TRUE,"Summary";"mfgbymo",#N/A,TRUE,"By Month";"Mtlbymo",#N/A,TRUE,"By Month"}</definedName>
    <definedName name="BrazilJulio_1_1" localSheetId="10" hidden="1">{"Material",#N/A,TRUE,"Summary";"Mfg",#N/A,TRUE,"Summary";"mfgbymo",#N/A,TRUE,"By Month";"Mtlbymo",#N/A,TRUE,"By Month"}</definedName>
    <definedName name="BrazilJulio_1_1" hidden="1">{"Material",#N/A,TRUE,"Summary";"Mfg",#N/A,TRUE,"Summary";"mfgbymo",#N/A,TRUE,"By Month";"Mtlbymo",#N/A,TRUE,"By Month"}</definedName>
    <definedName name="BrazilJulio_2" localSheetId="10" hidden="1">{"Material",#N/A,TRUE,"Summary";"Mfg",#N/A,TRUE,"Summary";"mfgbymo",#N/A,TRUE,"By Month";"Mtlbymo",#N/A,TRUE,"By Month"}</definedName>
    <definedName name="BrazilJulio_2" hidden="1">{"Material",#N/A,TRUE,"Summary";"Mfg",#N/A,TRUE,"Summary";"mfgbymo",#N/A,TRUE,"By Month";"Mtlbymo",#N/A,TRUE,"By Month"}</definedName>
    <definedName name="Breakeven_point">#REF!</definedName>
    <definedName name="Bridg"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ght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ghtline"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5"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adcastList" localSheetId="10">#REF!</definedName>
    <definedName name="BroadcastList">#REF!</definedName>
    <definedName name="BroadcastRenderFormatList" localSheetId="10">#REF!</definedName>
    <definedName name="BroadcastRenderFormatList">#REF!</definedName>
    <definedName name="brock"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rock"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rot" localSheetId="10" hidden="1">{"Vol Qtr 1",#N/A,TRUE,"Wk-CV";"Vol Qtr 2",#N/A,TRUE,"Wk-CV";"Vol Qtr 3",#N/A,TRUE,"Wk-CV";"Vol Qtr 4",#N/A,TRUE,"Wk-CV"}</definedName>
    <definedName name="brot" hidden="1">{"Vol Qtr 1",#N/A,TRUE,"Wk-CV";"Vol Qtr 2",#N/A,TRUE,"Wk-CV";"Vol Qtr 3",#N/A,TRUE,"Wk-CV";"Vol Qtr 4",#N/A,TRUE,"Wk-CV"}</definedName>
    <definedName name="BROW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uce" localSheetId="10" hidden="1">{#N/A,#N/A,FALSE,"COP CONS SK";#N/A,#N/A,FALSE,"COP CONS RG";#N/A,#N/A,FALSE,"COP CONS SK BC";#N/A,#N/A,FALSE,"COP CONS RG BC";#N/A,#N/A,FALSE,"ALLIANCE SK";#N/A,#N/A,FALSE,"ALLIANCE RG";#N/A,#N/A,FALSE,"CPC SK";#N/A,#N/A,FALSE,"CPC RG"}</definedName>
    <definedName name="bruce" hidden="1">{#N/A,#N/A,FALSE,"COP CONS SK";#N/A,#N/A,FALSE,"COP CONS RG";#N/A,#N/A,FALSE,"COP CONS SK BC";#N/A,#N/A,FALSE,"COP CONS RG BC";#N/A,#N/A,FALSE,"ALLIANCE SK";#N/A,#N/A,FALSE,"ALLIANCE RG";#N/A,#N/A,FALSE,"CPC SK";#N/A,#N/A,FALSE,"CPC RG"}</definedName>
    <definedName name="Bryan" localSheetId="10"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localSheetId="10" hidden="1">#REF!</definedName>
    <definedName name="BS" hidden="1">#REF!</definedName>
    <definedName name="B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a" localSheetId="10">#REF!</definedName>
    <definedName name="bsa">#REF!</definedName>
    <definedName name="BSBS"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d" localSheetId="10" hidden="1">{"bs",#N/A,FALSE,"SCF"}</definedName>
    <definedName name="bsd" hidden="1">{"bs",#N/A,FALSE,"SCF"}</definedName>
    <definedName name="BSDec07" localSheetId="10" hidden="1">{#N/A,#N/A,TRUE,"Condensed IS";#N/A,#N/A,TRUE,"Condensed BS";#N/A,#N/A,TRUE,"Outlook";#N/A,#N/A,TRUE,"Condensed CF";#N/A,#N/A,TRUE,"Condensed CF - qtr"}</definedName>
    <definedName name="BSDec07" hidden="1">{#N/A,#N/A,TRUE,"Condensed IS";#N/A,#N/A,TRUE,"Condensed BS";#N/A,#N/A,TRUE,"Outlook";#N/A,#N/A,TRUE,"Condensed CF";#N/A,#N/A,TRUE,"Condensed CF - qtr"}</definedName>
    <definedName name="BSheet" localSheetId="10" hidden="1">{"Month End Performance",#N/A,FALSE,"Report";"Site Talk Times",#N/A,FALSE,"Report"}</definedName>
    <definedName name="BSheet" hidden="1">{"Month End Performance",#N/A,FALSE,"Report";"Site Talk Times",#N/A,FALSE,"Report"}</definedName>
    <definedName name="bskdfj" localSheetId="10" hidden="1">{"bs",#N/A,FALSE,"SCF"}</definedName>
    <definedName name="bskdfj" hidden="1">{"bs",#N/A,FALSE,"SCF"}</definedName>
    <definedName name="bsl" localSheetId="10" hidden="1">{"bs",#N/A,FALSE,"SCF"}</definedName>
    <definedName name="bsl" hidden="1">{"bs",#N/A,FALSE,"SCF"}</definedName>
    <definedName name="BSList" localSheetId="10">#REF!</definedName>
    <definedName name="BSList">#REF!</definedName>
    <definedName name="BSName" localSheetId="10">#REF!</definedName>
    <definedName name="BSName">#REF!</definedName>
    <definedName name="BSPeriod1" localSheetId="10">#REF!</definedName>
    <definedName name="BSPeriod1">#REF!</definedName>
    <definedName name="BSPeriod2">#REF!</definedName>
    <definedName name="BSPeriod3">#REF!</definedName>
    <definedName name="bss" localSheetId="10" hidden="1">{"bs",#N/A,FALSE,"SCF"}</definedName>
    <definedName name="bss" hidden="1">{"bs",#N/A,FALSE,"SCF"}</definedName>
    <definedName name="bst" localSheetId="10" hidden="1">{"bs",#N/A,FALSE,"SCF"}</definedName>
    <definedName name="bst" hidden="1">{"bs",#N/A,FALSE,"SCF"}</definedName>
    <definedName name="bsth" localSheetId="10" hidden="1">{"bs",#N/A,FALSE,"SCF"}</definedName>
    <definedName name="bsth" hidden="1">{"bs",#N/A,FALSE,"SCF"}</definedName>
    <definedName name="bt" localSheetId="10" hidden="1">{"QTR_ACT",#N/A,FALSE,"PROP_PBIT_DEV_Q3";"QTR_BUD",#N/A,FALSE,"PROP_PBIT_DEV_Q3";"YTD_BUD",#N/A,FALSE,"PROP_PBIT_DEV_Q3";"YTD_ACT",#N/A,FALSE,"PROP_PBIT_DEV_Q3";"FY95 SNAP3",#N/A,FALSE,"PROP_PBIT_DEV_Q3";"FY95_BUD",#N/A,FALSE,"PROP_PBIT_DEV_Q3";"FY96_BUD",#N/A,FALSE,"PROP_PBIT_DEV_Q3"}</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yyujy" hidden="1">#REF!</definedName>
    <definedName name="Bud"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_income" localSheetId="10">#REF!</definedName>
    <definedName name="Bud_income">#REF!</definedName>
    <definedName name="BUDANNOH_SGA" localSheetId="10">#REF!</definedName>
    <definedName name="BUDANNOH_SGA">#REF!</definedName>
    <definedName name="BUDBS" localSheetId="10">#REF!</definedName>
    <definedName name="BUDBS">#REF!</definedName>
    <definedName name="budget" localSheetId="10" hidden="1">{#N/A,#N/A,FALSE,"mdr.XLS";"db",#N/A,FALSE,"mdr.XLS";#N/A,#N/A,FALSE,"Forside ";#N/A,#N/A,FALSE,"INVEST.XLS"}</definedName>
    <definedName name="budget" hidden="1">{#N/A,#N/A,FALSE,"mdr.XLS";"db",#N/A,FALSE,"mdr.XLS";#N/A,#N/A,FALSE,"Forside ";#N/A,#N/A,FALSE,"INVEST.XLS"}</definedName>
    <definedName name="Budget_Amount">#REF!</definedName>
    <definedName name="Budget_amount1">#REF!</definedName>
    <definedName name="Budget_Category">#REF!</definedName>
    <definedName name="Budget_Category1">#REF!</definedName>
    <definedName name="Budget_Category2">#REF!</definedName>
    <definedName name="Budget_Month">#REF!</definedName>
    <definedName name="Budget_Type">#REF!</definedName>
    <definedName name="Budget_Year">#REF!</definedName>
    <definedName name="budget1" localSheetId="10" hidden="1">{#N/A,#N/A,FALSE,"mdr.XLS";"db",#N/A,FALSE,"mdr.XLS";#N/A,#N/A,FALSE,"Forside ";#N/A,#N/A,FALSE,"INVEST.XLS"}</definedName>
    <definedName name="budget1" hidden="1">{#N/A,#N/A,FALSE,"mdr.XLS";"db",#N/A,FALSE,"mdr.XLS";#N/A,#N/A,FALSE,"Forside ";#N/A,#N/A,FALSE,"INVEST.XLS"}</definedName>
    <definedName name="budget2" localSheetId="10" hidden="1">{#N/A,#N/A,FALSE,"mdr.XLS";"db",#N/A,FALSE,"mdr.XLS";#N/A,#N/A,FALSE,"Forside ";#N/A,#N/A,FALSE,"INVEST.XLS"}</definedName>
    <definedName name="budget2" hidden="1">{#N/A,#N/A,FALSE,"mdr.XLS";"db",#N/A,FALSE,"mdr.XLS";#N/A,#N/A,FALSE,"Forside ";#N/A,#N/A,FALSE,"INVEST.XLS"}</definedName>
    <definedName name="BUDGET3" localSheetId="10" hidden="1">{#N/A,#N/A,FALSE,"mdr.XLS";"db",#N/A,FALSE,"mdr.XLS";#N/A,#N/A,FALSE,"Forside ";#N/A,#N/A,FALSE,"INVEST.XLS"}</definedName>
    <definedName name="BUDGET3" hidden="1">{#N/A,#N/A,FALSE,"mdr.XLS";"db",#N/A,FALSE,"mdr.XLS";#N/A,#N/A,FALSE,"Forside ";#N/A,#N/A,FALSE,"INVEST.XLS"}</definedName>
    <definedName name="BUDGET5" localSheetId="10" hidden="1">{#N/A,#N/A,FALSE,"mdr.XLS";"db",#N/A,FALSE,"mdr.XLS";#N/A,#N/A,FALSE,"Forside ";#N/A,#N/A,FALSE,"INVEST.XLS"}</definedName>
    <definedName name="BUDGET5" hidden="1">{#N/A,#N/A,FALSE,"mdr.XLS";"db",#N/A,FALSE,"mdr.XLS";#N/A,#N/A,FALSE,"Forside ";#N/A,#N/A,FALSE,"INVEST.XLS"}</definedName>
    <definedName name="BudgetRevBY20">#REF!</definedName>
    <definedName name="BudgetType">#REF!</definedName>
    <definedName name="BUDSALESBYCUST" localSheetId="10">#REF!</definedName>
    <definedName name="BUDSALESBYCUST">#REF!</definedName>
    <definedName name="BUDSENS_CAPEX">#REF!</definedName>
    <definedName name="buibd"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up" localSheetId="10" hidden="1">{"capital",#N/A,FALSE,"CAPITAL_DEP'N"}</definedName>
    <definedName name="buildup" hidden="1">{"capital",#N/A,FALSE,"CAPITAL_DEP'N"}</definedName>
    <definedName name="BuiltIn_Print_Area">#REF!</definedName>
    <definedName name="BuiltIn_Print_Area___0">#REF!</definedName>
    <definedName name="BuiltIn_Print_Area___0___0">#REF!</definedName>
    <definedName name="BuiltIn_Print_Area___0___0___0___0">#REF!</definedName>
    <definedName name="BuiltIn_Print_Titles">#REF!</definedName>
    <definedName name="BuiltIn_Print_Titles___0">#REF!</definedName>
    <definedName name="bul"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l"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ll" localSheetId="10" hidden="1">{"detail",#N/A,FALSE,"mfg";"summary",#N/A,FALSE,"mfg"}</definedName>
    <definedName name="bull" hidden="1">{"detail",#N/A,FALSE,"mfg";"summary",#N/A,FALSE,"mfg"}</definedName>
    <definedName name="bull2" localSheetId="10" hidden="1">{#N/A,"PURCHM",FALSE,"Business Analysis";#N/A,"SPADD",FALSE,"Business Analysis"}</definedName>
    <definedName name="bull2" hidden="1">{#N/A,"PURCHM",FALSE,"Business Analysis";#N/A,"SPADD",FALSE,"Business Analysis"}</definedName>
    <definedName name="bull3" localSheetId="10" hidden="1">{"detail",#N/A,FALSE,"mfg";"summary",#N/A,FALSE,"mfg"}</definedName>
    <definedName name="bull3" hidden="1">{"detail",#N/A,FALSE,"mfg";"summary",#N/A,FALSE,"mfg"}</definedName>
    <definedName name="bull4" localSheetId="10" hidden="1">{#N/A,"PURCHM",FALSE,"Business Analysis";#N/A,"SPADD",FALSE,"Business Analysis"}</definedName>
    <definedName name="bull4" hidden="1">{#N/A,"PURCHM",FALSE,"Business Analysis";#N/A,"SPADD",FALSE,"Business Analysis"}</definedName>
    <definedName name="bull5" localSheetId="10"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hit" localSheetId="10"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N" localSheetId="10">#REF!</definedName>
    <definedName name="BUN">#REF!</definedName>
    <definedName name="BUS" localSheetId="1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BU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busais"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INESS_NAME" localSheetId="10">#REF!</definedName>
    <definedName name="BUSINESS_NAME">#REF!</definedName>
    <definedName name="Button">"WaitButton"</definedName>
    <definedName name="button_area_1">#REF!</definedName>
    <definedName name="BUV" localSheetId="10">#REF!</definedName>
    <definedName name="BUV">#REF!</definedName>
    <definedName name="bu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uy"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bv" localSheetId="10" hidden="1">{"net assets",#N/A,FALSE,"summary";"asset turnover",#N/A,FALSE,"summary";"orona",#N/A,FALSE,"summary"}</definedName>
    <definedName name="bv" hidden="1">{"net assets",#N/A,FALSE,"summary";"asset turnover",#N/A,FALSE,"summary";"orona",#N/A,FALSE,"summary"}</definedName>
    <definedName name="bva" localSheetId="10" hidden="1">#REF!</definedName>
    <definedName name="bva" hidden="1">#REF!</definedName>
    <definedName name="bvcx" localSheetId="10"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vrtvrv" hidden="1">#REF!</definedName>
    <definedName name="bvwrg"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xcvb" localSheetId="10" hidden="1">{"profit statement",#N/A,FALSE,"P&amp;L STATEMENT"}</definedName>
    <definedName name="bxcvb" hidden="1">{"profit statement",#N/A,FALSE,"P&amp;L STATEMENT"}</definedName>
    <definedName name="bye" localSheetId="10" hidden="1">{#N/A,#N/A,FALSE,"Aging Summary";#N/A,#N/A,FALSE,"Ratio Analysis";#N/A,#N/A,FALSE,"Test 120 Day Accts";#N/A,#N/A,FALSE,"Tickmarks"}</definedName>
    <definedName name="bye" hidden="1">{#N/A,#N/A,FALSE,"Aging Summary";#N/A,#N/A,FALSE,"Ratio Analysis";#N/A,#N/A,FALSE,"Test 120 Day Accts";#N/A,#N/A,FALSE,"Tickmarks"}</definedName>
    <definedName name="bz" localSheetId="10"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c.LTMYear" hidden="1">#REF!</definedName>
    <definedName name="C_tax" localSheetId="10">#REF!</definedName>
    <definedName name="C_tax">#REF!</definedName>
    <definedName name="Ca">#N/A</definedName>
    <definedName name="cade" localSheetId="10" hidden="1">{"FCB_ALL",#N/A,FALSE,"FCB"}</definedName>
    <definedName name="cade" localSheetId="15" hidden="1">{"FCB_ALL",#N/A,FALSE,"FCB"}</definedName>
    <definedName name="cade" hidden="1">{"FCB_ALL",#N/A,FALSE,"FCB"}</definedName>
    <definedName name="cads" localSheetId="10" hidden="1">{"FCB_ALL",#N/A,FALSE,"FCB"}</definedName>
    <definedName name="cads" localSheetId="15" hidden="1">{"FCB_ALL",#N/A,FALSE,"FCB"}</definedName>
    <definedName name="cads" hidden="1">{"FCB_ALL",#N/A,FALSE,"FCB"}</definedName>
    <definedName name="cadsf" localSheetId="10" hidden="1">{"FCB_ALL",#N/A,FALSE,"FCB"}</definedName>
    <definedName name="cadsf" localSheetId="15" hidden="1">{"FCB_ALL",#N/A,FALSE,"FCB"}</definedName>
    <definedName name="cadsf" hidden="1">{"FCB_ALL",#N/A,FALSE,"FCB"}</definedName>
    <definedName name="caega" localSheetId="10" hidden="1">{"FCB_ALL",#N/A,FALSE,"FCB"}</definedName>
    <definedName name="caega" localSheetId="15" hidden="1">{"FCB_ALL",#N/A,FALSE,"FCB"}</definedName>
    <definedName name="caega" hidden="1">{"FCB_ALL",#N/A,FALSE,"FCB"}</definedName>
    <definedName name="caer" localSheetId="10" hidden="1">{"FCB_ALL",#N/A,FALSE,"FCB"}</definedName>
    <definedName name="caer" localSheetId="15" hidden="1">{"FCB_ALL",#N/A,FALSE,"FCB"}</definedName>
    <definedName name="caer" hidden="1">{"FCB_ALL",#N/A,FALSE,"FCB"}</definedName>
    <definedName name="cagare" localSheetId="10" hidden="1">{"FCB_ALL",#N/A,FALSE,"FCB"}</definedName>
    <definedName name="cagare" localSheetId="15" hidden="1">{"FCB_ALL",#N/A,FALSE,"FCB"}</definedName>
    <definedName name="cagare" hidden="1">{"FCB_ALL",#N/A,FALSE,"FCB"}</definedName>
    <definedName name="cancel" localSheetId="10" hidden="1">{"PARTNERS CAPITAL STMT",#N/A,FALSE,"Partners Capital"}</definedName>
    <definedName name="cancel" hidden="1">{"PARTNERS CAPITAL STMT",#N/A,FALSE,"Partners Capital"}</definedName>
    <definedName name="cancel2" localSheetId="10" hidden="1">{"PNLProjDL",#N/A,FALSE,"PROJCO";"PNLParDL",#N/A,FALSE,"Parent"}</definedName>
    <definedName name="cancel2" hidden="1">{"PNLProjDL",#N/A,FALSE,"PROJCO";"PNLParDL",#N/A,FALSE,"Parent"}</definedName>
    <definedName name="cancel3" localSheetId="10" hidden="1">{"Summary",#N/A,FALSE,"MICMULT";"Income Statement",#N/A,FALSE,"MICMULT";"Cash Flows",#N/A,FALSE,"MICMULT"}</definedName>
    <definedName name="cancel3" hidden="1">{"Summary",#N/A,FALSE,"MICMULT";"Income Statement",#N/A,FALSE,"MICMULT";"Cash Flows",#N/A,FALSE,"MICMULT"}</definedName>
    <definedName name="CancelRegisterReceipt">#REF!</definedName>
    <definedName name="Cap" localSheetId="10" hidden="1">{TRUE,TRUE,-1.25,-15.5,456.75,279.75,FALSE,FALSE,TRUE,TRUE,0,1,18,1,199,6,3,4,TRUE,TRUE,3,TRUE,1,TRUE,100,"Swvu.cash.","ACwvu.cash.",1,FALSE,FALSE,0.511811023622047,0.511811023622047,0.511811023622047,0.511811023622047,1,"","",FALSE,FALSE,FALSE,FALSE,1,#N/A,1,1,#DIV/0!,FALSE,"Rwvu.cash.",#N/A,FALSE,FALSE}</definedName>
    <definedName name="Cap" localSheetId="15" hidden="1">{TRUE,TRUE,-1.25,-15.5,456.75,279.75,FALSE,FALSE,TRUE,TRUE,0,1,18,1,199,6,3,4,TRUE,TRUE,3,TRUE,1,TRUE,100,"Swvu.cash.","ACwvu.cash.",1,FALSE,FALSE,0.511811023622047,0.511811023622047,0.511811023622047,0.511811023622047,1,"","",FALSE,FALSE,FALSE,FALSE,1,#N/A,1,1,#DIV/0!,FALSE,"Rwvu.cash.",#N/A,FALSE,FALSE}</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po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Leases" localSheetId="10">#REF!</definedName>
    <definedName name="Cap_Leases">#REF!</definedName>
    <definedName name="Capex" localSheetId="10">#REF!</definedName>
    <definedName name="Capex">#REF!</definedName>
    <definedName name="cAPITAL" localSheetId="1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localSheetId="15"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Gains_exempt_PrintArea">#REF!</definedName>
    <definedName name="CapitalGains_taxable_PrintArea">#REF!</definedName>
    <definedName name="CapSpendingExcludesSanFu" localSheetId="10" hidden="1">{"detail",#N/A,FALSE,"mfg";"summary",#N/A,FALSE,"mfg"}</definedName>
    <definedName name="CapSpendingExcludesSanFu" hidden="1">{"detail",#N/A,FALSE,"mfg";"summary",#N/A,FALSE,"mfg"}</definedName>
    <definedName name="CarAllowance" localSheetId="10">#REF!</definedName>
    <definedName name="CarAllowance">#REF!</definedName>
    <definedName name="carlos"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rlos"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s" hidden="1">#REF!</definedName>
    <definedName name="Case">#REF!</definedName>
    <definedName name="casenumber">#REF!</definedName>
    <definedName name="Cases">#REF!</definedName>
    <definedName name="casess">#REF!</definedName>
    <definedName name="Cash">#REF!</definedName>
    <definedName name="cash_flow">#REF!</definedName>
    <definedName name="Cash_Proof_UBS">#REF!</definedName>
    <definedName name="Cash_Proof_URI">#REF!</definedName>
    <definedName name="CASHFLOW">#REF!</definedName>
    <definedName name="CashPR" localSheetId="10" hidden="1">{#N/A,#N/A,TRUE,"Notes";#N/A,#N/A,TRUE,"Cap Struct";#N/A,#N/A,TRUE,"OBS";#N/A,#N/A,TRUE,"bal Sheet";#N/A,#N/A,TRUE,"Inc stmt";#N/A,#N/A,TRUE,"csh flw";#N/A,#N/A,TRUE,"debt";#N/A,#N/A,TRUE,"detail 96,97";#N/A,#N/A,TRUE,"Covenants"}</definedName>
    <definedName name="CashPR" hidden="1">{#N/A,#N/A,TRUE,"Notes";#N/A,#N/A,TRUE,"Cap Struct";#N/A,#N/A,TRUE,"OBS";#N/A,#N/A,TRUE,"bal Sheet";#N/A,#N/A,TRUE,"Inc stmt";#N/A,#N/A,TRUE,"csh flw";#N/A,#N/A,TRUE,"debt";#N/A,#N/A,TRUE,"detail 96,97";#N/A,#N/A,TRUE,"Covenants"}</definedName>
    <definedName name="cashsalvage">"j41"</definedName>
    <definedName name="cat" localSheetId="10" hidden="1">{"EBITDA",#N/A,TRUE,"P&amp;L Net of Disc Ops";"output net of disc ops",#N/A,TRUE,"Revenue";"input",#N/A,TRUE,"Revenue";"output",#N/A,TRUE,"DC";"Input",#N/A,TRUE,"DC";"MTN and MCN",#N/A,TRUE,"Margin";"output detail line items",#N/A,TRUE,"SGA";"personnel by year",#N/A,TRUE,"Payroll";#N/A,#N/A,TRUE,"CapEx"}</definedName>
    <definedName name="cat" localSheetId="15" hidden="1">{"EBITDA",#N/A,TRUE,"P&amp;L Net of Disc Ops";"output net of disc ops",#N/A,TRUE,"Revenue";"input",#N/A,TRUE,"Revenue";"output",#N/A,TRUE,"DC";"Input",#N/A,TRUE,"DC";"MTN and MCN",#N/A,TRUE,"Margin";"output detail line items",#N/A,TRUE,"SGA";"personnel by year",#N/A,TRUE,"Payroll";#N/A,#N/A,TRUE,"CapEx"}</definedName>
    <definedName name="cat" hidden="1">{"EBITDA",#N/A,TRUE,"P&amp;L Net of Disc Ops";"output net of disc ops",#N/A,TRUE,"Revenue";"input",#N/A,TRUE,"Revenue";"output",#N/A,TRUE,"DC";"Input",#N/A,TRUE,"DC";"MTN and MCN",#N/A,TRUE,"Margin";"output detail line items",#N/A,TRUE,"SGA";"personnel by year",#N/A,TRUE,"Payroll";#N/A,#N/A,TRUE,"CapEx"}</definedName>
    <definedName name="Cat1_Category">#REF!</definedName>
    <definedName name="Cat2_Category">#REF!</definedName>
    <definedName name="categ">#REF!</definedName>
    <definedName name="Category">#REF!</definedName>
    <definedName name="Category_Category">#REF!</definedName>
    <definedName name="cavde" localSheetId="10" hidden="1">{"FCB_ALL",#N/A,FALSE,"FCB"}</definedName>
    <definedName name="cavde" localSheetId="15" hidden="1">{"FCB_ALL",#N/A,FALSE,"FCB"}</definedName>
    <definedName name="cavde" hidden="1">{"FCB_ALL",#N/A,FALSE,"FCB"}</definedName>
    <definedName name="cawc"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#REF!</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hidden="1">#REF!</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_opts" hidden="1">"1, 8, 1, False, 2, False,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9DDC996_opts" hidden="1">"1, 10, 1, False, 2, False, False, , 0, False, False, 2, 2"</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1D4AB240_opts" hidden="1">"1, 9, 1, False, 2, False, False, , 0, False, True, 2, 2"</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 hidden="1">"1, 4, 1, False, 2, False, False, , 0, False, True, 1, 1"</definedName>
    <definedName name="cb_sChartE221ADA_opts" hidden="1">"1, 5, 1, False, 2, False, False, , 0, False, False, 1, 1"</definedName>
    <definedName name="cb_sChartEEDEDB8_opts">"1, 1, 1, False, 2, False, False, , 0, False, True,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FDB9_opts">"1, 1, 1, False, 2, True, False, , 0,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alancesheet" localSheetId="10" hidden="1">{"bs",#N/A,FALSE,"SCF"}</definedName>
    <definedName name="cbalancesheet" hidden="1">{"bs",#N/A,FALSE,"SCF"}</definedName>
    <definedName name="cbs" localSheetId="10">#REF!</definedName>
    <definedName name="cbs">#REF!</definedName>
    <definedName name="CBWorkbookPriority" hidden="1">-973524788</definedName>
    <definedName name="CC" localSheetId="10" hidden="1">{"'Printed'!$A$1:$Z$48","'Printed'!$A$1"}</definedName>
    <definedName name="CC" localSheetId="15" hidden="1">{"'Printed'!$A$1:$Z$48","'Printed'!$A$1"}</definedName>
    <definedName name="CC" hidden="1">{"'Printed'!$A$1:$Z$48","'Printed'!$A$1"}</definedName>
    <definedName name="CC_1" localSheetId="10" hidden="1">{"'Printed'!$A$1:$Z$48","'Printed'!$A$1"}</definedName>
    <definedName name="CC_1" localSheetId="15" hidden="1">{"'Printed'!$A$1:$Z$48","'Printed'!$A$1"}</definedName>
    <definedName name="CC_1" hidden="1">{"'Printed'!$A$1:$Z$48","'Printed'!$A$1"}</definedName>
    <definedName name="ccc" localSheetId="10" hidden="1">{#N/A,#N/A,FALSE,"Calc";#N/A,#N/A,FALSE,"Sensitivity";#N/A,#N/A,FALSE,"LT Earn.Dil.";#N/A,#N/A,FALSE,"Dil. AVP"}</definedName>
    <definedName name="ccc" localSheetId="15" hidden="1">{#N/A,#N/A,FALSE,"Calc";#N/A,#N/A,FALSE,"Sensitivity";#N/A,#N/A,FALSE,"LT Earn.Dil.";#N/A,#N/A,FALSE,"Dil. AVP"}</definedName>
    <definedName name="ccc" hidden="1">{#N/A,#N/A,FALSE,"Calc";#N/A,#N/A,FALSE,"Sensitivity";#N/A,#N/A,FALSE,"LT Earn.Dil.";#N/A,#N/A,FALSE,"Dil. AVP"}</definedName>
    <definedName name="ccc.cocococoo" localSheetId="10" hidden="1">{"Commish",#N/A,FALSE,"LAWTC"}</definedName>
    <definedName name="ccc.cocococoo" hidden="1">{"Commish",#N/A,FALSE,"LAWTC"}</definedName>
    <definedName name="cccc" localSheetId="10" hidden="1">{#N/A,#N/A,FALSE,"Layout Cash Flow"}</definedName>
    <definedName name="cccc" localSheetId="15" hidden="1">{#N/A,#N/A,FALSE,"Layout Cash Flow"}</definedName>
    <definedName name="cccc" hidden="1">{#N/A,#N/A,FALSE,"Layout Cash Flow"}</definedName>
    <definedName name="cccc_1" localSheetId="10" hidden="1">{#N/A,#N/A,FALSE,"Assessment";#N/A,#N/A,FALSE,"Staffing";#N/A,#N/A,FALSE,"Hires";#N/A,#N/A,FALSE,"Assumptions"}</definedName>
    <definedName name="cccc_1" hidden="1">{#N/A,#N/A,FALSE,"Assessment";#N/A,#N/A,FALSE,"Staffing";#N/A,#N/A,FALSE,"Hires";#N/A,#N/A,FALSE,"Assumptions"}</definedName>
    <definedName name="ccccc" localSheetId="10" hidden="1">{#N/A,#N/A,FALSE,"Layout Cash Flow"}</definedName>
    <definedName name="ccccc" localSheetId="15" hidden="1">{#N/A,#N/A,FALSE,"Layout Cash Flow"}</definedName>
    <definedName name="ccccc" hidden="1">{#N/A,#N/A,FALSE,"Layout Cash Flow"}</definedName>
    <definedName name="CCCCCCC" localSheetId="10" hidden="1">{#N/A,#N/A,TRUE,"Status Report";#N/A,#N/A,TRUE,"Current Forecast";#N/A,#N/A,TRUE,"Last Forecast";#N/A,#N/A,TRUE,"BP";#N/A,#N/A,TRUE,"LY"}</definedName>
    <definedName name="CCCCCCC" hidden="1">{#N/A,#N/A,TRUE,"Status Report";#N/A,#N/A,TRUE,"Current Forecast";#N/A,#N/A,TRUE,"Last Forecast";#N/A,#N/A,TRUE,"BP";#N/A,#N/A,TRUE,"LY"}</definedName>
    <definedName name="ccf" localSheetId="10" hidden="1">{"YD PRS",#N/A,FALSE,"YTD"}</definedName>
    <definedName name="ccf" hidden="1">{"YD PRS",#N/A,FALSE,"YTD"}</definedName>
    <definedName name="CCI" localSheetId="10" hidden="1">{"P&amp;L Mo",#N/A,TRUE,"P&amp;L mo";"CF Mo",#N/A,TRUE,"FCashflow";"BS Mo",#N/A,TRUE,"BS";"CapEx Mo",#N/A,TRUE,"CapEx";"HC Mo",#N/A,TRUE,"Headcount";"KPI Mo",#N/A,TRUE,"KPI"}</definedName>
    <definedName name="CCI" hidden="1">{"P&amp;L Mo",#N/A,TRUE,"P&amp;L mo";"CF Mo",#N/A,TRUE,"FCashflow";"BS Mo",#N/A,TRUE,"BS";"CapEx Mo",#N/A,TRUE,"CapEx";"HC Mo",#N/A,TRUE,"Headcount";"KPI Mo",#N/A,TRUE,"KPI"}</definedName>
    <definedName name="CCI_1" localSheetId="10" hidden="1">{"P&amp;L Mo",#N/A,TRUE,"P&amp;L mo";"CF Mo",#N/A,TRUE,"FCashflow";"BS Mo",#N/A,TRUE,"BS";"CapEx Mo",#N/A,TRUE,"CapEx";"HC Mo",#N/A,TRUE,"Headcount";"KPI Mo",#N/A,TRUE,"KPI"}</definedName>
    <definedName name="CCI_1" hidden="1">{"P&amp;L Mo",#N/A,TRUE,"P&amp;L mo";"CF Mo",#N/A,TRUE,"FCashflow";"BS Mo",#N/A,TRUE,"BS";"CapEx Mo",#N/A,TRUE,"CapEx";"HC Mo",#N/A,TRUE,"Headcount";"KPI Mo",#N/A,TRUE,"KPI"}</definedName>
    <definedName name="CCI_2" localSheetId="10" hidden="1">{"P&amp;L Mo",#N/A,TRUE,"P&amp;L mo";"CF Mo",#N/A,TRUE,"FCashflow";"BS Mo",#N/A,TRUE,"BS";"CapEx Mo",#N/A,TRUE,"CapEx";"HC Mo",#N/A,TRUE,"Headcount";"KPI Mo",#N/A,TRUE,"KPI"}</definedName>
    <definedName name="CCI_2" hidden="1">{"P&amp;L Mo",#N/A,TRUE,"P&amp;L mo";"CF Mo",#N/A,TRUE,"FCashflow";"BS Mo",#N/A,TRUE,"BS";"CapEx Mo",#N/A,TRUE,"CapEx";"HC Mo",#N/A,TRUE,"Headcount";"KPI Mo",#N/A,TRUE,"KPI"}</definedName>
    <definedName name="CCI_3" localSheetId="10" hidden="1">{"P&amp;L Mo",#N/A,TRUE,"P&amp;L mo";"CF Mo",#N/A,TRUE,"FCashflow";"BS Mo",#N/A,TRUE,"BS";"CapEx Mo",#N/A,TRUE,"CapEx";"HC Mo",#N/A,TRUE,"Headcount";"KPI Mo",#N/A,TRUE,"KPI"}</definedName>
    <definedName name="CCI_3" hidden="1">{"P&amp;L Mo",#N/A,TRUE,"P&amp;L mo";"CF Mo",#N/A,TRUE,"FCashflow";"BS Mo",#N/A,TRUE,"BS";"CapEx Mo",#N/A,TRUE,"CapEx";"HC Mo",#N/A,TRUE,"Headcount";"KPI Mo",#N/A,TRUE,"KPI"}</definedName>
    <definedName name="CCI_4" localSheetId="10" hidden="1">{"P&amp;L Mo",#N/A,TRUE,"P&amp;L mo";"CF Mo",#N/A,TRUE,"FCashflow";"BS Mo",#N/A,TRUE,"BS";"CapEx Mo",#N/A,TRUE,"CapEx";"HC Mo",#N/A,TRUE,"Headcount";"KPI Mo",#N/A,TRUE,"KPI"}</definedName>
    <definedName name="CCI_4" hidden="1">{"P&amp;L Mo",#N/A,TRUE,"P&amp;L mo";"CF Mo",#N/A,TRUE,"FCashflow";"BS Mo",#N/A,TRUE,"BS";"CapEx Mo",#N/A,TRUE,"CapEx";"HC Mo",#N/A,TRUE,"Headcount";"KPI Mo",#N/A,TRUE,"KPI"}</definedName>
    <definedName name="CCI_5" localSheetId="10" hidden="1">{"P&amp;L Mo",#N/A,TRUE,"P&amp;L mo";"CF Mo",#N/A,TRUE,"FCashflow";"BS Mo",#N/A,TRUE,"BS";"CapEx Mo",#N/A,TRUE,"CapEx";"HC Mo",#N/A,TRUE,"Headcount";"KPI Mo",#N/A,TRUE,"KPI"}</definedName>
    <definedName name="CCI_5" hidden="1">{"P&amp;L Mo",#N/A,TRUE,"P&amp;L mo";"CF Mo",#N/A,TRUE,"FCashflow";"BS Mo",#N/A,TRUE,"BS";"CapEx Mo",#N/A,TRUE,"CapEx";"HC Mo",#N/A,TRUE,"Headcount";"KPI Mo",#N/A,TRUE,"KPI"}</definedName>
    <definedName name="CCT">#REF!</definedName>
    <definedName name="ccv"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y" localSheetId="10">#REF!</definedName>
    <definedName name="Ccy">#REF!</definedName>
    <definedName name="cd" hidden="1">#REF!</definedName>
    <definedName name="cdds" localSheetId="10" hidden="1">{"detail",#N/A,FALSE,"mfg";"summary",#N/A,FALSE,"mfg"}</definedName>
    <definedName name="cdds" hidden="1">{"detail",#N/A,FALSE,"mfg";"summary",#N/A,FALSE,"mfg"}</definedName>
    <definedName name="cdf" localSheetId="10"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s" localSheetId="10" hidden="1">{"detail",#N/A,FALSE,"mfg";"summary",#N/A,FALSE,"mfg"}</definedName>
    <definedName name="cds" hidden="1">{"detail",#N/A,FALSE,"mfg";"summary",#N/A,FALSE,"mfg"}</definedName>
    <definedName name="ce" localSheetId="10" hidden="1">{"F3 detail",#N/A,FALSE,"F1";"F3 Presentation",#N/A,FALSE,"F3 "}</definedName>
    <definedName name="ce" hidden="1">{"F3 detail",#N/A,FALSE,"F1";"F3 Presentation",#N/A,FALSE,"F3 "}</definedName>
    <definedName name="cea"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aya" localSheetId="10" hidden="1">{"PAGE 1",#N/A,FALSE,"WEST_OT"}</definedName>
    <definedName name="Celaya" hidden="1">{"PAGE 1",#N/A,FALSE,"WEST_OT"}</definedName>
    <definedName name="Cells_Day">#REF!</definedName>
    <definedName name="Cells_Required">#REF!</definedName>
    <definedName name="celltips_area">#REF!</definedName>
    <definedName name="CEO"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rt" localSheetId="10" hidden="1">{"fis.dbo.r1_datasum"}</definedName>
    <definedName name="cert" hidden="1">{"fis.dbo.r1_datasum"}</definedName>
    <definedName name="cert1" localSheetId="10" hidden="1">{"fis.dbo.r1_datasum"}</definedName>
    <definedName name="cert1" hidden="1">{"fis.dbo.r1_datasum"}</definedName>
    <definedName name="cesar" localSheetId="10" hidden="1">{#N/A,#N/A,TRUE,"2432"}</definedName>
    <definedName name="cesar" hidden="1">{#N/A,#N/A,TRUE,"2432"}</definedName>
    <definedName name="cev" localSheetId="10" hidden="1">{"Headcount Worksheet",#N/A,FALSE,"HEADCOUNT"}</definedName>
    <definedName name="cev" hidden="1">{"Headcount Worksheet",#N/A,FALSE,"HEADCOUNT"}</definedName>
    <definedName name="cew" localSheetId="10" hidden="1">{"ICD Details",#N/A,FALSE,"Current Yr";"ICD Details",#N/A,FALSE,"Budget";"ICD Details",#N/A,FALSE,"Prior Year"}</definedName>
    <definedName name="cew" hidden="1">{"ICD Details",#N/A,FALSE,"Current Yr";"ICD Details",#N/A,FALSE,"Budget";"ICD Details",#N/A,FALSE,"Prior Year"}</definedName>
    <definedName name="cf" localSheetId="10" hidden="1">{"detail",#N/A,FALSE,"mfg";"summary",#N/A,FALSE,"mfg"}</definedName>
    <definedName name="cf" hidden="1">{"detail",#N/A,FALSE,"mfg";"summary",#N/A,FALSE,"mfg"}</definedName>
    <definedName name="cf_categ" localSheetId="10">#REF!</definedName>
    <definedName name="cf_categ">#REF!</definedName>
    <definedName name="cfg" localSheetId="10" hidden="1">{"Act_vs_Budget",#N/A,FALSE,"QTRDPVAR";"Act_vs_Prior_Year",#N/A,FALSE,"QTRDPVAR"}</definedName>
    <definedName name="cfg" hidden="1">{"Act_vs_Budget",#N/A,FALSE,"QTRDPVAR";"Act_vs_Prior_Year",#N/A,FALSE,"QTRDPVAR"}</definedName>
    <definedName name="cfs" localSheetId="10" hidden="1">{"YD LOUISIANA",#N/A,FALSE,"YTD"}</definedName>
    <definedName name="cfs" hidden="1">{"YD LOUISIANA",#N/A,FALSE,"YTD"}</definedName>
    <definedName name="cgaf" localSheetId="10" hidden="1">{"FCB_ALL",#N/A,FALSE,"FCB"}</definedName>
    <definedName name="cgaf" localSheetId="15" hidden="1">{"FCB_ALL",#N/A,FALSE,"FCB"}</definedName>
    <definedName name="cgaf" hidden="1">{"FCB_ALL",#N/A,FALSE,"FCB"}</definedName>
    <definedName name="cgafde" localSheetId="10" hidden="1">{"FCB_ALL",#N/A,FALSE,"FCB"}</definedName>
    <definedName name="cgafde" localSheetId="15" hidden="1">{"FCB_ALL",#N/A,FALSE,"FCB"}</definedName>
    <definedName name="cgafde" hidden="1">{"FCB_ALL",#N/A,FALSE,"FCB"}</definedName>
    <definedName name="Change" hidden="1">#REF!</definedName>
    <definedName name="Change2" hidden="1">#REF!</definedName>
    <definedName name="Change3" hidden="1">#REF!</definedName>
    <definedName name="Change4" hidden="1">#REF!</definedName>
    <definedName name="ChangeRange" localSheetId="10" hidden="1">#REF!</definedName>
    <definedName name="ChangeRange" localSheetId="9" hidden="1">#REF!</definedName>
    <definedName name="ChangeRange" localSheetId="8" hidden="1">#REF!</definedName>
    <definedName name="ChangeRange" localSheetId="11" hidden="1">#REF!</definedName>
    <definedName name="ChangeRange" localSheetId="16" hidden="1">#REF!</definedName>
    <definedName name="ChangeRange" hidden="1">#REF!</definedName>
    <definedName name="ChangeRange_2" localSheetId="10" hidden="1">#REF!</definedName>
    <definedName name="ChangeRange_2" localSheetId="11" hidden="1">#REF!</definedName>
    <definedName name="ChangeRange_2" hidden="1">#REF!</definedName>
    <definedName name="ChangeRange2" hidden="1">#REF!</definedName>
    <definedName name="charity" localSheetId="1" hidden="1">#REF!</definedName>
    <definedName name="charity" localSheetId="10" hidden="1">#REF!</definedName>
    <definedName name="charity" localSheetId="9" hidden="1">#REF!</definedName>
    <definedName name="charity" localSheetId="16" hidden="1">#REF!</definedName>
    <definedName name="charity" hidden="1">#REF!</definedName>
    <definedName name="chart" localSheetId="10" hidden="1">{#N/A,#N/A,FALSE,"SUMMARY";#N/A,#N/A,FALSE,"mcsh";#N/A,#N/A,FALSE,"vol&amp;rev";#N/A,#N/A,FALSE,"wkgcap";#N/A,#N/A,FALSE,"DEPR&amp;DT";#N/A,#N/A,FALSE,"ASSETS";#N/A,#N/A,FALSE,"NI&amp;OTH&amp;DIV";#N/A,#N/A,FALSE,"CASHFLOW";#N/A,#N/A,FALSE,"CAPEMPL";#N/A,#N/A,FALSE,"ROCE"}</definedName>
    <definedName name="chart" localSheetId="15" hidden="1">{#N/A,#N/A,FALSE,"SUMMARY";#N/A,#N/A,FALSE,"mcsh";#N/A,#N/A,FALSE,"vol&amp;rev";#N/A,#N/A,FALSE,"wkgcap";#N/A,#N/A,FALSE,"DEPR&amp;DT";#N/A,#N/A,FALSE,"ASSETS";#N/A,#N/A,FALSE,"NI&amp;OTH&amp;DIV";#N/A,#N/A,FALSE,"CASHFLOW";#N/A,#N/A,FALSE,"CAPEMPL";#N/A,#N/A,FALSE,"ROCE"}</definedName>
    <definedName name="chart" hidden="1">{#N/A,#N/A,FALSE,"SUMMARY";#N/A,#N/A,FALSE,"mcsh";#N/A,#N/A,FALSE,"vol&amp;rev";#N/A,#N/A,FALSE,"wkgcap";#N/A,#N/A,FALSE,"DEPR&amp;DT";#N/A,#N/A,FALSE,"ASSETS";#N/A,#N/A,FALSE,"NI&amp;OTH&amp;DIV";#N/A,#N/A,FALSE,"CASHFLOW";#N/A,#N/A,FALSE,"CAPEMPL";#N/A,#N/A,FALSE,"ROCE"}</definedName>
    <definedName name="chart1" hidden="1">#REF!</definedName>
    <definedName name="chart10" hidden="1">#REF!</definedName>
    <definedName name="chart11" hidden="1">#REF!</definedName>
    <definedName name="chart12" hidden="1">#REF!</definedName>
    <definedName name="chart13" hidden="1">#REF!</definedName>
    <definedName name="chart2" hidden="1">#REF!</definedName>
    <definedName name="chart3" hidden="1">#REF!</definedName>
    <definedName name="chart4" hidden="1">#REF!</definedName>
    <definedName name="chart5" hidden="1">#REF!</definedName>
    <definedName name="chart6" hidden="1">#REF!</definedName>
    <definedName name="chart7" hidden="1">#REF!</definedName>
    <definedName name="chart8" hidden="1">#REF!</definedName>
    <definedName name="chart9" hidden="1">#REF!</definedName>
    <definedName name="ChartCreationRange" localSheetId="10">OFFSET(#REF!,0,0,COUNTA(#REF!)-10,8)</definedName>
    <definedName name="ChartCreationRange">OFFSET(#REF!,0,0,COUNTA(#REF!)-10,8)</definedName>
    <definedName name="ChartData">OFFSET(#REF!,1,0,COUNTA(#REF!)-11,5)</definedName>
    <definedName name="ChartDataRange">OFFSET(#REF!,1,0,COUNTA(#REF!),1)</definedName>
    <definedName name="chartNew" localSheetId="10" hidden="1">{#N/A,#N/A,FALSE,"SUMMARY";#N/A,#N/A,FALSE,"mcsh";#N/A,#N/A,FALSE,"vol&amp;rev";#N/A,#N/A,FALSE,"wkgcap";#N/A,#N/A,FALSE,"DEPR&amp;DT";#N/A,#N/A,FALSE,"ASSETS";#N/A,#N/A,FALSE,"NI&amp;OTH&amp;DIV";#N/A,#N/A,FALSE,"CASHFLOW";#N/A,#N/A,FALSE,"CAPEMPL";#N/A,#N/A,FALSE,"ROCE"}</definedName>
    <definedName name="chartNew" localSheetId="15"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eck_For_Account_Selection" hidden="1">#REF!</definedName>
    <definedName name="Check_For_Plan_Selection" hidden="1">#REF!</definedName>
    <definedName name="Check_Template_Type" hidden="1">#REF!</definedName>
    <definedName name="CHG">#REF!</definedName>
    <definedName name="chgcvhgvvg" localSheetId="10" hidden="1">#REF!</definedName>
    <definedName name="chgcvhgvvg" localSheetId="9" hidden="1">#REF!</definedName>
    <definedName name="chgcvhgvvg" localSheetId="8" hidden="1">#REF!</definedName>
    <definedName name="chgcvhgvvg" localSheetId="16" hidden="1">#REF!</definedName>
    <definedName name="chgcvhgvvg" hidden="1">#REF!</definedName>
    <definedName name="chgeas" localSheetId="10" hidden="1">{"FCB_ALL",#N/A,FALSE,"FCB"}</definedName>
    <definedName name="chgeas" localSheetId="15" hidden="1">{"FCB_ALL",#N/A,FALSE,"FCB"}</definedName>
    <definedName name="chgeas" hidden="1">{"FCB_ALL",#N/A,FALSE,"FCB"}</definedName>
    <definedName name="Chiva" localSheetId="10" hidden="1">{#N/A,#N/A,FALSE,"Combined LongSheet"}</definedName>
    <definedName name="Chiva" hidden="1">{#N/A,#N/A,FALSE,"Combined LongSheet"}</definedName>
    <definedName name="CHOOSE" localSheetId="10">#REF!</definedName>
    <definedName name="CHOOSE">#REF!</definedName>
    <definedName name="chosie" localSheetId="10" hidden="1">{#N/A,#N/A,FALSE,"Pharm";#N/A,#N/A,FALSE,"WWCM"}</definedName>
    <definedName name="chosie" hidden="1">{#N/A,#N/A,FALSE,"Pharm";#N/A,#N/A,FALSE,"WWCM"}</definedName>
    <definedName name="chris" localSheetId="10" hidden="1">{"'Inventory &amp; Anal-Cur Wkbk'!$A$7:$AP$71"}</definedName>
    <definedName name="chris" hidden="1">{"'Inventory &amp; Anal-Cur Wkbk'!$A$7:$AP$71"}</definedName>
    <definedName name="ci" localSheetId="10" hidden="1">{"F3 detail",#N/A,FALSE,"F3 ";"F3 Presentation",#N/A,FALSE,"F3 "}</definedName>
    <definedName name="ci" hidden="1">{"F3 detail",#N/A,FALSE,"F3 ";"F3 Presentation",#N/A,FALSE,"F3 "}</definedName>
    <definedName name="CI_major_parts">#REF!</definedName>
    <definedName name="ciao" localSheetId="10" hidden="1">{"F3 detail",#N/A,FALSE,"F1";"F3 Presentation",#N/A,FALSE,"F3 "}</definedName>
    <definedName name="ciao" hidden="1">{"F3 detail",#N/A,FALSE,"F1";"F3 Presentation",#N/A,FALSE,"F3 "}</definedName>
    <definedName name="cimsum">#REF!</definedName>
    <definedName name="CIQANR_00cd8daea3474ce68bc28d326c07cfe8" hidden="1">#REF!</definedName>
    <definedName name="CIQANR_031103f3dab54edbbfb5ee4256a3f6e3" hidden="1">#REF!</definedName>
    <definedName name="CIQANR_0aa069a2e34a46acbb98163d21d2fe8d" hidden="1">#REF!</definedName>
    <definedName name="CIQANR_0c983d79ad9d4d6298d6de86740646a2" hidden="1">#REF!</definedName>
    <definedName name="CIQANR_129a9526e2ca4fe1b8ac71c865641269" hidden="1">#REF!</definedName>
    <definedName name="CIQANR_16858157351342a6a8882de50ebf9a48" hidden="1">#REF!</definedName>
    <definedName name="CIQANR_1717ac2400af417c9f305d19a81284b3" hidden="1">#REF!</definedName>
    <definedName name="CIQANR_1891ff7e5f144720a264d65ec7a60d66" hidden="1">#REF!</definedName>
    <definedName name="CIQANR_20b60736309e467fa41e9b462ad18b94" hidden="1">#REF!</definedName>
    <definedName name="CIQANR_227b5d2bfe3c42c5a4745557905d5965" hidden="1">#REF!</definedName>
    <definedName name="CIQANR_23ba311bd51d4ed0b9b13dfd6e617426" hidden="1">#REF!</definedName>
    <definedName name="CIQANR_27700d91f5de490b93c4deb07b2a501d" hidden="1">#REF!</definedName>
    <definedName name="CIQANR_2d1bb5b4efbc4480a6edf1e6694fb007" hidden="1">#REF!</definedName>
    <definedName name="CIQANR_309eaaedab8048dd8cb4e96efd17b2e0" hidden="1">#REF!</definedName>
    <definedName name="CIQANR_3963afef73d94b73b13668d910205e2c" hidden="1">#REF!</definedName>
    <definedName name="CIQANR_3cfea9a751c6412bbb75abcd0378c07c" hidden="1">#REF!</definedName>
    <definedName name="CIQANR_4438389391574d049b32b86bb2f98a64" hidden="1">#REF!</definedName>
    <definedName name="CIQANR_450bc57b94614b54aed658cc1c3c3e13" hidden="1">#REF!</definedName>
    <definedName name="CIQANR_46bf0b2a23994edebbe39f98ee660747" hidden="1">#REF!</definedName>
    <definedName name="CIQANR_46c2021f50d74fc595c3b7f43e2f8067" hidden="1">#REF!</definedName>
    <definedName name="CIQANR_4b360147314e420f8308ba00401abc1f" hidden="1">#REF!</definedName>
    <definedName name="CIQANR_4c9408d119f84542a4bc729335a828f5" hidden="1">#REF!</definedName>
    <definedName name="CIQANR_55e00e3bf4bf49b789cf9a30d62a44dd" hidden="1">#REF!</definedName>
    <definedName name="CIQANR_5751c4b90e4e47639675fdadd1e0cf02" hidden="1">#REF!</definedName>
    <definedName name="CIQANR_5cb99e06df1642919be311bad199a844" hidden="1">#REF!</definedName>
    <definedName name="CIQANR_623dd0ede3504575b0e2d0c286632519" hidden="1">#REF!</definedName>
    <definedName name="CIQANR_67021f7e0d9c4aea8ded94e748df2835" hidden="1">#REF!</definedName>
    <definedName name="CIQANR_6d5fe5b42fbe484faeb0536d6aba2605" hidden="1">#REF!</definedName>
    <definedName name="CIQANR_6dee3249d1a34a24b0ec9d09ca6164ba" hidden="1">#REF!</definedName>
    <definedName name="CIQANR_6f2fa81f34a14ca08036d17e229e15ed" hidden="1">#REF!</definedName>
    <definedName name="CIQANR_70c5e08951364db584f8b69c629d2609" hidden="1">#REF!</definedName>
    <definedName name="CIQANR_7344ec8e85174fc6b273e93a9316f5af" hidden="1">#REF!</definedName>
    <definedName name="CIQANR_75d6565f65ee43f7ba9c29627cfff130" hidden="1">#REF!</definedName>
    <definedName name="CIQANR_761bff623aa1419f997f77cd12aace18" hidden="1">#REF!</definedName>
    <definedName name="CIQANR_781e1fecd36b49af866577ebd72aadb8" hidden="1">#REF!</definedName>
    <definedName name="CIQANR_7a8e3305ca324001b9c312f35b5d6d0e" hidden="1">#REF!</definedName>
    <definedName name="CIQANR_7cc23af205e3433798d15349acd1103e" hidden="1">#REF!</definedName>
    <definedName name="CIQANR_7f9a984373a54731bfa727d4f90defa6" hidden="1">#REF!</definedName>
    <definedName name="CIQANR_801705e33c004064beb58a2cad629943" hidden="1">#REF!</definedName>
    <definedName name="CIQANR_80f961bfe48248dda6c0922875e3a1b8" hidden="1">#REF!</definedName>
    <definedName name="CIQANR_8255a936cd5c4c00bf522d0053639069" hidden="1">#REF!</definedName>
    <definedName name="CIQANR_841a9b1bac3d4826b57dd3ddc0ce28b0" hidden="1">#REF!</definedName>
    <definedName name="CIQANR_845d7be3146245c5b8ddc0dd5bd95374" hidden="1">#REF!</definedName>
    <definedName name="CIQANR_8592e350071643c98b0f4e74f479b30e" hidden="1">#REF!</definedName>
    <definedName name="CIQANR_862d704dc0f74b10a896e38746d0a894" hidden="1">#REF!</definedName>
    <definedName name="CIQANR_89475591e0474f77851edcada27aaa8e" hidden="1">#REF!</definedName>
    <definedName name="CIQANR_8f612fbbf3524133acf12b41e9325f19" hidden="1">#REF!</definedName>
    <definedName name="CIQANR_92d3c5ca012843d7ae3835c3b9eb4137" hidden="1">#REF!</definedName>
    <definedName name="CIQANR_97c8767903764f698a23a0115e28eee9" hidden="1">#REF!</definedName>
    <definedName name="CIQANR_9a305d31e3e5476b902e9e0dbb9169ca" hidden="1">#REF!</definedName>
    <definedName name="CIQANR_9c2438b4aaeb45bea8da9abc038283a0" hidden="1">#REF!</definedName>
    <definedName name="CIQANR_9f4424859502453386c7e34bf722f685" hidden="1">#REF!</definedName>
    <definedName name="CIQANR_a82a578b6ce14b42a6b2486f1bd8c1ea" hidden="1">#REF!</definedName>
    <definedName name="CIQANR_bbaafa3b2101485a8fc6933696b12d51" hidden="1">#REF!</definedName>
    <definedName name="CIQANR_c585da509f8e4c2db604a87ca076c2bb" hidden="1">#REF!</definedName>
    <definedName name="CIQANR_ca3d92366d4b43a9ad7dddacf3decc88" hidden="1">#REF!</definedName>
    <definedName name="CIQANR_cc0db16591c34c3a967ffc9ad317544d" hidden="1">#REF!</definedName>
    <definedName name="CIQANR_ce00d16348b040cb85bf231d4a16d14c" hidden="1">#REF!</definedName>
    <definedName name="CIQANR_ce657ff4341a4a0385ba6be434695b65" hidden="1">#REF!</definedName>
    <definedName name="CIQANR_ce9a102e17e441d381d0eefbe99abfc7" hidden="1">#REF!</definedName>
    <definedName name="CIQANR_d03ff3b84544419081627d061907c10f" hidden="1">#REF!</definedName>
    <definedName name="CIQANR_d287b04afd9c410489446dd6615741b3" hidden="1">#REF!</definedName>
    <definedName name="CIQANR_d3bdc6cc856542188a9fd697db41e9c3" hidden="1">#REF!</definedName>
    <definedName name="CIQANR_d50194b4271b47a48b34b0c0278fc3e4" hidden="1">#REF!</definedName>
    <definedName name="CIQANR_d693d96731b1481592489160c3601092" hidden="1">#REF!</definedName>
    <definedName name="CIQANR_e07e7aa1b5ac4532b6073925cacc9364" hidden="1">#REF!</definedName>
    <definedName name="CIQANR_e5490703d13447d0ad7762c68015fa76" hidden="1">#REF!</definedName>
    <definedName name="CIQANR_e54aca97b2b846e89d391d00e88b3a28" hidden="1">#REF!</definedName>
    <definedName name="CIQANR_e7713b1cc69e46f08df6c5625e72a888" hidden="1">#REF!</definedName>
    <definedName name="CIQANR_fa9fd3f4e957455a9ee5a477f32ea570" hidden="1">#REF!</definedName>
    <definedName name="CIQANR_fd49d3a9fef749cab2baa09196f259c7" hidden="1">#REF!</definedName>
    <definedName name="CIQANR_fdd3793c77a34c209e0e575b5a47d7d6" hidden="1">#REF!</definedName>
    <definedName name="CIQWBGuid" localSheetId="3" hidden="1">"30101888_4.xlsx"</definedName>
    <definedName name="CIQWBGuid" localSheetId="11" hidden="1">"30101888_4.xlsx"</definedName>
    <definedName name="CIQWBGuid" hidden="1">"898d0fa4-b125-478a-85ab-9ed88c9c21ba"</definedName>
    <definedName name="CIQWBGuid_1" hidden="1">"fb1cfeb4-1712-4812-8186-2d2e951af60b"</definedName>
    <definedName name="CIQWBInfo" hidden="1">"{ ""CIQVersion"":""9.45.614.5792"" }"</definedName>
    <definedName name="Circ" localSheetId="10">#REF!</definedName>
    <definedName name="Circ">#REF!</definedName>
    <definedName name="CIRCBREAKER" localSheetId="10">#REF!</definedName>
    <definedName name="CIRCBREAKER">#REF!</definedName>
    <definedName name="City" localSheetId="10">#REF!</definedName>
    <definedName name="City">'STOC Accounting Diligence Datab'!$B$15</definedName>
    <definedName name="cjb" localSheetId="10"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jghjhj" localSheetId="10"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ioweji" localSheetId="10" hidden="1">{#N/A,#N/A,FALSE,"COVER";#N/A,#N/A,FALSE,"SUMP&amp;L";#N/A,#N/A,FALSE,"SUBSP&amp;L";#N/A,#N/A,FALSE,"SALESANAL"}</definedName>
    <definedName name="cjioweji" hidden="1">{#N/A,#N/A,FALSE,"COVER";#N/A,#N/A,FALSE,"SUMP&amp;L";#N/A,#N/A,FALSE,"SUBSP&amp;L";#N/A,#N/A,FALSE,"SALESANAL"}</definedName>
    <definedName name="cjwiie" localSheetId="10" hidden="1">{#N/A,#N/A,FALSE,"COVER";#N/A,#N/A,FALSE,"SUMP&amp;L";#N/A,#N/A,FALSE,"SUBSP&amp;L";#N/A,#N/A,FALSE,"SALESANAL"}</definedName>
    <definedName name="cjwiie" hidden="1">{#N/A,#N/A,FALSE,"COVER";#N/A,#N/A,FALSE,"SUMP&amp;L";#N/A,#N/A,FALSE,"SUBSP&amp;L";#N/A,#N/A,FALSE,"SALESANAL"}</definedName>
    <definedName name="Clasification" localSheetId="10">#REF!</definedName>
    <definedName name="Clasification">#REF!</definedName>
    <definedName name="Clearingtest" localSheetId="10" hidden="1">{"CF",#N/A,FALSE,"Cash Flow"}</definedName>
    <definedName name="Clearingtest" hidden="1">{"CF",#N/A,FALSE,"Cash Flow"}</definedName>
    <definedName name="Clearwater" localSheetId="10" hidden="1">{"COM",#N/A,FALSE,"800 10th"}</definedName>
    <definedName name="Clearwater" hidden="1">{"COM",#N/A,FALSE,"800 10th"}</definedName>
    <definedName name="Clinics" localSheetId="10">#REF!</definedName>
    <definedName name="Clinics">#REF!</definedName>
    <definedName name="ClosePrint" localSheetId="10">#REF!</definedName>
    <definedName name="ClosePrint">#REF!</definedName>
    <definedName name="CM" localSheetId="10" hidden="1">{#N/A,#N/A,TRUE,"DCF Summary";#N/A,#N/A,TRUE,"Casema";#N/A,#N/A,TRUE,"UK";#N/A,#N/A,TRUE,"RCF";#N/A,#N/A,TRUE,"Intercable CZ";#N/A,#N/A,TRUE,"Interkabel P";#N/A,#N/A,TRUE,"LBO-Total";#N/A,#N/A,TRUE,"LBO-Casema"}</definedName>
    <definedName name="CM" localSheetId="15" hidden="1">{#N/A,#N/A,TRUE,"DCF Summary";#N/A,#N/A,TRUE,"Casema";#N/A,#N/A,TRUE,"UK";#N/A,#N/A,TRUE,"RCF";#N/A,#N/A,TRUE,"Intercable CZ";#N/A,#N/A,TRUE,"Interkabel P";#N/A,#N/A,TRUE,"LBO-Total";#N/A,#N/A,TRUE,"LBO-Casema"}</definedName>
    <definedName name="CM" hidden="1">{#N/A,#N/A,TRUE,"DCF Summary";#N/A,#N/A,TRUE,"Casema";#N/A,#N/A,TRUE,"UK";#N/A,#N/A,TRUE,"RCF";#N/A,#N/A,TRUE,"Intercable CZ";#N/A,#N/A,TRUE,"Interkabel P";#N/A,#N/A,TRUE,"LBO-Total";#N/A,#N/A,TRUE,"LBO-Casema"}</definedName>
    <definedName name="cma" localSheetId="10" hidden="1">#REF!</definedName>
    <definedName name="cma" localSheetId="9" hidden="1">#REF!</definedName>
    <definedName name="cma" localSheetId="8" hidden="1">#REF!</definedName>
    <definedName name="cma" localSheetId="16" hidden="1">#REF!</definedName>
    <definedName name="cma" hidden="1">#REF!</definedName>
    <definedName name="codelist2">#REF!</definedName>
    <definedName name="COG" hidden="1">#REF!</definedName>
    <definedName name="COGS">#REF!</definedName>
    <definedName name="COGS_1">#REF!</definedName>
    <definedName name="COGS_2">#REF!</definedName>
    <definedName name="COGS_3">#REF!</definedName>
    <definedName name="COGS_4">#REF!</definedName>
    <definedName name="COGS_5">#REF!</definedName>
    <definedName name="COGSEngineering">#REF!</definedName>
    <definedName name="COGSProduct">#REF!</definedName>
    <definedName name="COGstandard" localSheetId="10" hidden="1">{#N/A,#N/A,FALSE,"Pharm";#N/A,#N/A,FALSE,"WWCM"}</definedName>
    <definedName name="COGstandard" hidden="1">{#N/A,#N/A,FALSE,"Pharm";#N/A,#N/A,FALSE,"WWCM"}</definedName>
    <definedName name="ColumnColor" localSheetId="10">#REF!</definedName>
    <definedName name="ColumnColor">#REF!</definedName>
    <definedName name="ColumnNums" localSheetId="10">#REF!</definedName>
    <definedName name="ColumnNums">#REF!</definedName>
    <definedName name="ColumnTitle1" localSheetId="10">#REF!</definedName>
    <definedName name="ColumnTitle1">#REF!</definedName>
    <definedName name="Comb_BS_1999">#REF!</definedName>
    <definedName name="Comb_CF_1999">#REF!</definedName>
    <definedName name="Comb_CF_2000">#REF!</definedName>
    <definedName name="combined" localSheetId="10" hidden="1">{#N/A,#N/A,FALSE,"Res+Comm Combined";#N/A,#N/A,FALSE,"Commercial Plan";#N/A,#N/A,FALSE,"Comm Op Expenses - Comm";#N/A,#N/A,FALSE,"Residential Plan Combined";#N/A,#N/A,FALSE,"Revenue - Residential Sales ";#N/A,#N/A,FALSE,"Revenue - Builders Program";#N/A,#N/A,FALSE,"Revenue - Volume Deals";#N/A,#N/A,FALSE,"Operating Expenses"}</definedName>
    <definedName name="combined" hidden="1">{#N/A,#N/A,FALSE,"Res+Comm Combined";#N/A,#N/A,FALSE,"Commercial Plan";#N/A,#N/A,FALSE,"Comm Op Expenses - Comm";#N/A,#N/A,FALSE,"Residential Plan Combined";#N/A,#N/A,FALSE,"Revenue - Residential Sales ";#N/A,#N/A,FALSE,"Revenue - Builders Program";#N/A,#N/A,FALSE,"Revenue - Volume Deals";#N/A,#N/A,FALSE,"Operating Expenses"}</definedName>
    <definedName name="comm" localSheetId="10" hidden="1">{"PAGE 1",#N/A,FALSE,"WEST_OT"}</definedName>
    <definedName name="comm" hidden="1">{"PAGE 1",#N/A,FALSE,"WEST_OT"}</definedName>
    <definedName name="comm2" localSheetId="10" hidden="1">{"PAGE 1",#N/A,FALSE,"WEST_OT"}</definedName>
    <definedName name="comm2" hidden="1">{"PAGE 1",#N/A,FALSE,"WEST_OT"}</definedName>
    <definedName name="comm3" localSheetId="10" hidden="1">{"PAGE 1",#N/A,FALSE,"WEST_OT"}</definedName>
    <definedName name="comm3" hidden="1">{"PAGE 1",#N/A,FALSE,"WEST_OT"}</definedName>
    <definedName name="commrev2" localSheetId="10" hidden="1">{"PAGE 1",#N/A,FALSE,"WEST_OT"}</definedName>
    <definedName name="commrev2" hidden="1">{"PAGE 1",#N/A,FALSE,"WEST_OT"}</definedName>
    <definedName name="CommunityRatedRow23Row27SIKeyStats" hidden="1">#REF!</definedName>
    <definedName name="Comp_TS_HS" localSheetId="10" hidden="1">{"'99-00 Knoxville'!$A$4:$N$19","'99-00 Knoxville'!$A$1:$N$76"}</definedName>
    <definedName name="Comp_TS_HS" hidden="1">{"'99-00 Knoxville'!$A$4:$N$19","'99-00 Knoxville'!$A$1:$N$76"}</definedName>
    <definedName name="Company">#REF!</definedName>
    <definedName name="Company_Name">#REF!</definedName>
    <definedName name="ComparatEU" localSheetId="10" hidden="1">{#N/A,#N/A,FALSE,"Hip.Bas";#N/A,#N/A,FALSE,"ventas";#N/A,#N/A,FALSE,"ingre-Año";#N/A,#N/A,FALSE,"ventas-Año";#N/A,#N/A,FALSE,"Costepro";#N/A,#N/A,FALSE,"inversion";#N/A,#N/A,FALSE,"personal";#N/A,#N/A,FALSE,"Gastos-V";#N/A,#N/A,FALSE,"Circulante";#N/A,#N/A,FALSE,"CONSOLI";#N/A,#N/A,FALSE,"Es-Fin";#N/A,#N/A,FALSE,"Margen-P"}</definedName>
    <definedName name="ComparatEU" localSheetId="15"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hidden="1">#REF!</definedName>
    <definedName name="compare" localSheetId="10" hidden="1">{#N/A,#N/A,TRUE,"COVER";#N/A,#N/A,TRUE,"BS";#N/A,#N/A,TRUE,"APR-01";#N/A,#N/A,TRUE,"CF"}</definedName>
    <definedName name="compare" hidden="1">{#N/A,#N/A,TRUE,"COVER";#N/A,#N/A,TRUE,"BS";#N/A,#N/A,TRUE,"APR-01";#N/A,#N/A,TRUE,"CF"}</definedName>
    <definedName name="compco" localSheetId="10" hidden="1">{"Page1",#N/A,FALSE,"CompCo";"Page2",#N/A,FALSE,"CompCo"}</definedName>
    <definedName name="compco" localSheetId="15" hidden="1">{"Page1",#N/A,FALSE,"CompCo";"Page2",#N/A,FALSE,"CompCo"}</definedName>
    <definedName name="compco" hidden="1">{"Page1",#N/A,FALSE,"CompCo";"Page2",#N/A,FALSE,"CompCo"}</definedName>
    <definedName name="Compco1" localSheetId="10" hidden="1">{"Page1",#N/A,FALSE,"CompCo";"Page2",#N/A,FALSE,"CompCo"}</definedName>
    <definedName name="Compco1" localSheetId="15" hidden="1">{"Page1",#N/A,FALSE,"CompCo";"Page2",#N/A,FALSE,"CompCo"}</definedName>
    <definedName name="Compco1" hidden="1">{"Page1",#N/A,FALSE,"CompCo";"Page2",#N/A,FALSE,"CompCo"}</definedName>
    <definedName name="Compco2" localSheetId="10" hidden="1">{"Page1",#N/A,FALSE,"CompCo";"Page2",#N/A,FALSE,"CompCo"}</definedName>
    <definedName name="Compco2" localSheetId="15" hidden="1">{"Page1",#N/A,FALSE,"CompCo";"Page2",#N/A,FALSE,"CompCo"}</definedName>
    <definedName name="Compco2" hidden="1">{"Page1",#N/A,FALSE,"CompCo";"Page2",#N/A,FALSE,"CompCo"}</definedName>
    <definedName name="CompList" localSheetId="10">#REF!</definedName>
    <definedName name="CompList">#REF!</definedName>
    <definedName name="CompRange1Main" hidden="1">#REF!</definedName>
    <definedName name="CompRange2Main" hidden="1">#REF!</definedName>
    <definedName name="Computers">#REF!</definedName>
    <definedName name="CompYear" hidden="1">#REF!</definedName>
    <definedName name="Condenser_P_Table">#REF!</definedName>
    <definedName name="Condenser_P_Table_Column">#REF!</definedName>
    <definedName name="Condenser_P_Table_Row">#REF!</definedName>
    <definedName name="Condition">#REF!</definedName>
    <definedName name="Confused" localSheetId="10" hidden="1">#REF!</definedName>
    <definedName name="Confused" localSheetId="9" hidden="1">#REF!</definedName>
    <definedName name="Confused" localSheetId="8" hidden="1">#REF!</definedName>
    <definedName name="Confused" localSheetId="16" hidden="1">#REF!</definedName>
    <definedName name="Confused" hidden="1">#REF!</definedName>
    <definedName name="CONS">#REF!</definedName>
    <definedName name="consBS">#REF!</definedName>
    <definedName name="Consolidated">#REF!</definedName>
    <definedName name="ConsolidatedExpenseDetail" localSheetId="10" hidden="1">{"FMV per share",#N/A,FALSE,"FMV per share";#N/A,#N/A,FALSE,"non-operating items"}</definedName>
    <definedName name="ConsolidatedExpenseDetail" localSheetId="15" hidden="1">{"FMV per share",#N/A,FALSE,"FMV per share";#N/A,#N/A,FALSE,"non-operating items"}</definedName>
    <definedName name="ConsolidatedExpenseDetail" hidden="1">{"FMV per share",#N/A,FALSE,"FMV per share";#N/A,#N/A,FALSE,"non-operating items"}</definedName>
    <definedName name="Consolidating_BS">#REF!</definedName>
    <definedName name="Consolidating_BS_Dec16">#REF!</definedName>
    <definedName name="Consolidating_BS_Dec17">#REF!</definedName>
    <definedName name="Consolidating_BS_Jun18">#REF!</definedName>
    <definedName name="Consolidating_IS">#REF!</definedName>
    <definedName name="ContentsHelp" localSheetId="10" hidden="1">#REF!</definedName>
    <definedName name="ContentsHelp" localSheetId="9" hidden="1">#REF!</definedName>
    <definedName name="ContentsHelp" localSheetId="8" hidden="1">#REF!</definedName>
    <definedName name="ContentsHelp" localSheetId="11" hidden="1">#REF!</definedName>
    <definedName name="ContentsHelp" localSheetId="16" hidden="1">#REF!</definedName>
    <definedName name="ContentsHelp" hidden="1">#REF!</definedName>
    <definedName name="Contract_Type">#REF!</definedName>
    <definedName name="Conv">#REF!</definedName>
    <definedName name="copa_sch6">OFFSET(#REF!,0,0,COUNTA(#REF!),COUNTA(#REF!))</definedName>
    <definedName name="copper" localSheetId="10" hidden="1">{#N/A,#N/A,FALSE,"COP CONS SK";#N/A,#N/A,FALSE,"COP CONS RG";#N/A,#N/A,FALSE,"COP CONS SK BC";#N/A,#N/A,FALSE,"COP CONS RG BC";#N/A,#N/A,FALSE,"ALLIANCE SK";#N/A,#N/A,FALSE,"ALLIANCE RG";#N/A,#N/A,FALSE,"CPC SK";#N/A,#N/A,FALSE,"CPC RG"}</definedName>
    <definedName name="copper" hidden="1">{#N/A,#N/A,FALSE,"COP CONS SK";#N/A,#N/A,FALSE,"COP CONS RG";#N/A,#N/A,FALSE,"COP CONS SK BC";#N/A,#N/A,FALSE,"COP CONS RG BC";#N/A,#N/A,FALSE,"ALLIANCE SK";#N/A,#N/A,FALSE,"ALLIANCE RG";#N/A,#N/A,FALSE,"CPC SK";#N/A,#N/A,FALSE,"CPC RG"}</definedName>
    <definedName name="Copy">#REF!</definedName>
    <definedName name="copy1" localSheetId="10" hidden="1">{#N/A,#N/A,FALSE,"Pharm";#N/A,#N/A,FALSE,"WWCM"}</definedName>
    <definedName name="copy1" hidden="1">{#N/A,#N/A,FALSE,"Pharm";#N/A,#N/A,FALSE,"WWCM"}</definedName>
    <definedName name="COPY2" localSheetId="10" hidden="1">{#N/A,#N/A,FALSE,"Pharm";#N/A,#N/A,FALSE,"WWCM"}</definedName>
    <definedName name="COPY2" hidden="1">{#N/A,#N/A,FALSE,"Pharm";#N/A,#N/A,FALSE,"WWCM"}</definedName>
    <definedName name="copy233" localSheetId="10" hidden="1">{#N/A,#N/A,FALSE,"Pharm";#N/A,#N/A,FALSE,"WWCM"}</definedName>
    <definedName name="copy233" hidden="1">{#N/A,#N/A,FALSE,"Pharm";#N/A,#N/A,FALSE,"WWCM"}</definedName>
    <definedName name="copy33" localSheetId="10" hidden="1">{#N/A,#N/A,FALSE,"Pharm";#N/A,#N/A,FALSE,"WWCM"}</definedName>
    <definedName name="copy33" hidden="1">{#N/A,#N/A,FALSE,"Pharm";#N/A,#N/A,FALSE,"WWCM"}</definedName>
    <definedName name="copy38" localSheetId="10" hidden="1">{#N/A,#N/A,FALSE,"Pharm";#N/A,#N/A,FALSE,"WWCM"}</definedName>
    <definedName name="copy38" hidden="1">{#N/A,#N/A,FALSE,"Pharm";#N/A,#N/A,FALSE,"WWCM"}</definedName>
    <definedName name="COpyyyy">#REF!</definedName>
    <definedName name="Corporate"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mo_activecasename" localSheetId="10">#REF!</definedName>
    <definedName name="cosmo_activecasename">#REF!</definedName>
    <definedName name="cosmo_activecasenumber" localSheetId="10">#REF!</definedName>
    <definedName name="cosmo_activecasenumber">#REF!</definedName>
    <definedName name="cosmo_activefincasenumber" localSheetId="10">#REF!</definedName>
    <definedName name="cosmo_activefincasenumber">#REF!</definedName>
    <definedName name="cosmo_circ">#REF!</definedName>
    <definedName name="cosmo_sensacqdebitda">#REF!</definedName>
    <definedName name="cosmo_sensacqmult">#REF!</definedName>
    <definedName name="cosmo_sensexitmult">#REF!</definedName>
    <definedName name="cosmo_sensorggrowth">#REF!</definedName>
    <definedName name="Cost" localSheetId="10" hidden="1">{#N/A,#N/A,FALSE,"Combined LongSheet"}</definedName>
    <definedName name="Cost" hidden="1">{#N/A,#N/A,FALSE,"Combined LongSheet"}</definedName>
    <definedName name="Cost_db">#REF!</definedName>
    <definedName name="Cost_of_Goods_Sold">#REF!</definedName>
    <definedName name="Cost_Sharing_Analysis_Dental_Range" hidden="1">#REF!</definedName>
    <definedName name="costsum" localSheetId="10" hidden="1">{"sga expense",#N/A,FALSE,"S,G&amp;A EXP"}</definedName>
    <definedName name="costsum" hidden="1">{"sga expense",#N/A,FALSE,"S,G&amp;A EXP"}</definedName>
    <definedName name="cou" localSheetId="10" hidden="1">{#N/A,#N/A,FALSE,"Projections";#N/A,#N/A,FALSE,"Multiples Valuation";#N/A,#N/A,FALSE,"LBO";#N/A,#N/A,FALSE,"Multiples_Sensitivity";#N/A,#N/A,FALSE,"Summary"}</definedName>
    <definedName name="cou" hidden="1">{#N/A,#N/A,FALSE,"Projections";#N/A,#N/A,FALSE,"Multiples Valuation";#N/A,#N/A,FALSE,"LBO";#N/A,#N/A,FALSE,"Multiples_Sensitivity";#N/A,#N/A,FALSE,"Summary"}</definedName>
    <definedName name="coun" localSheetId="10" hidden="1">{#N/A,#N/A,FALSE,"Assessment";#N/A,#N/A,FALSE,"Staffing";#N/A,#N/A,FALSE,"Hires";#N/A,#N/A,FALSE,"Assumptions"}</definedName>
    <definedName name="coun" hidden="1">{#N/A,#N/A,FALSE,"Assessment";#N/A,#N/A,FALSE,"Staffing";#N/A,#N/A,FALSE,"Hires";#N/A,#N/A,FALSE,"Assumptions"}</definedName>
    <definedName name="COUNT2" localSheetId="10" hidden="1">{#N/A,#N/A,FALSE,"Assessment";#N/A,#N/A,FALSE,"Staffing";#N/A,#N/A,FALSE,"Hires";#N/A,#N/A,FALSE,"Assumptions"}</definedName>
    <definedName name="COUNT2" hidden="1">{#N/A,#N/A,FALSE,"Assessment";#N/A,#N/A,FALSE,"Staffing";#N/A,#N/A,FALSE,"Hires";#N/A,#N/A,FALSE,"Assumptions"}</definedName>
    <definedName name="COUNT2_1" localSheetId="10" hidden="1">{#N/A,#N/A,FALSE,"Assessment";#N/A,#N/A,FALSE,"Staffing";#N/A,#N/A,FALSE,"Hires";#N/A,#N/A,FALSE,"Assumptions"}</definedName>
    <definedName name="COUNT2_1" hidden="1">{#N/A,#N/A,FALSE,"Assessment";#N/A,#N/A,FALSE,"Staffing";#N/A,#N/A,FALSE,"Hires";#N/A,#N/A,FALSE,"Assumptions"}</definedName>
    <definedName name="Country" localSheetId="10">#REF!</definedName>
    <definedName name="Country">#REF!</definedName>
    <definedName name="Covenants" localSheetId="10"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pv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ave_PL_1999" localSheetId="10">#REF!</definedName>
    <definedName name="Crave_PL_1999">#REF!</definedName>
    <definedName name="Crave_PL_2000" localSheetId="10">#REF!</definedName>
    <definedName name="Crave_PL_2000">#REF!</definedName>
    <definedName name="CreateTable" localSheetId="10" hidden="1">#REF!</definedName>
    <definedName name="CreateTable" localSheetId="9" hidden="1">#REF!</definedName>
    <definedName name="CreateTable" localSheetId="8" hidden="1">#REF!</definedName>
    <definedName name="CreateTable" localSheetId="11" hidden="1">#REF!</definedName>
    <definedName name="CreateTable" localSheetId="16" hidden="1">#REF!</definedName>
    <definedName name="CreateTable" hidden="1">#REF!</definedName>
    <definedName name="Credit" localSheetId="10" hidden="1">{"page1",#N/A,FALSE,"A";"page2",#N/A,FALSE,"A"}</definedName>
    <definedName name="Credit" hidden="1">{"page1",#N/A,FALSE,"A";"page2",#N/A,FALSE,"A"}</definedName>
    <definedName name="creditmigrat" localSheetId="10" hidden="1">{"Combined Ratios",#N/A,FALSE,"Financials"}</definedName>
    <definedName name="creditmigrat" localSheetId="15" hidden="1">{"Combined Ratios",#N/A,FALSE,"Financials"}</definedName>
    <definedName name="creditmigrat" hidden="1">{"Combined Ratios",#N/A,FALSE,"Financials"}</definedName>
    <definedName name="creditmigrat_1" localSheetId="10" hidden="1">{"Combined Ratios",#N/A,FALSE,"Financials"}</definedName>
    <definedName name="creditmigrat_1" localSheetId="15" hidden="1">{"Combined Ratios",#N/A,FALSE,"Financials"}</definedName>
    <definedName name="creditmigrat_1" hidden="1">{"Combined Ratios",#N/A,FALSE,"Financials"}</definedName>
    <definedName name="_xlnm.Criteria" localSheetId="10">#REF!</definedName>
    <definedName name="_xlnm.Criteria">#REF!</definedName>
    <definedName name="CS"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a" localSheetId="10"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DesignMode">1</definedName>
    <definedName name="csdfsa" hidden="1">"c4427"</definedName>
    <definedName name="cse" localSheetId="10">#REF!</definedName>
    <definedName name="cse">#REF!</definedName>
    <definedName name="CSG" localSheetId="10" hidden="1">{"cap_structure",#N/A,FALSE,"Graph-Mkt Cap";"price",#N/A,FALSE,"Graph-Price";"ebit",#N/A,FALSE,"Graph-EBITDA";"ebitda",#N/A,FALSE,"Graph-EBITDA"}</definedName>
    <definedName name="CSG" hidden="1">{"cap_structure",#N/A,FALSE,"Graph-Mkt Cap";"price",#N/A,FALSE,"Graph-Price";"ebit",#N/A,FALSE,"Graph-EBITDA";"ebitda",#N/A,FALSE,"Graph-EBITDA"}</definedName>
    <definedName name="CT" localSheetId="10"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tb" localSheetId="10" hidden="1">{#N/A,#N/A,FALSE,"FRONTPG";#N/A,#N/A,FALSE,"STATUSREC";#N/A,#N/A,FALSE,"INELIG";#N/A,#N/A,FALSE,"ARACTIV";#N/A,#N/A,FALSE,"ARANAL";#N/A,#N/A,FALSE,"INVANAL";#N/A,#N/A,FALSE,"BALSHT";#N/A,#N/A,FALSE,"INCSTMT";#N/A,#N/A,FALSE,"CASHFLOW";#N/A,#N/A,FALSE,"TREND";#N/A,#N/A,FALSE,"LIAB"}</definedName>
    <definedName name="ctb" hidden="1">{#N/A,#N/A,FALSE,"FRONTPG";#N/A,#N/A,FALSE,"STATUSREC";#N/A,#N/A,FALSE,"INELIG";#N/A,#N/A,FALSE,"ARACTIV";#N/A,#N/A,FALSE,"ARANAL";#N/A,#N/A,FALSE,"INVANAL";#N/A,#N/A,FALSE,"BALSHT";#N/A,#N/A,FALSE,"INCSTMT";#N/A,#N/A,FALSE,"CASHFLOW";#N/A,#N/A,FALSE,"TREND";#N/A,#N/A,FALSE,"LIAB"}</definedName>
    <definedName name="ctylist">#REF!</definedName>
    <definedName name="CurFY">#REF!</definedName>
    <definedName name="CurMth">#REF!</definedName>
    <definedName name="CurMth2">#REF!</definedName>
    <definedName name="CurQtr">#REF!</definedName>
    <definedName name="Currency">#REF!</definedName>
    <definedName name="Current_Period" hidden="1">#REF!</definedName>
    <definedName name="Current_Year">#REF!</definedName>
    <definedName name="CurrYear" hidden="1">#REF!</definedName>
    <definedName name="cursource" hidden="1">"SQLServer"</definedName>
    <definedName name="CurYTD">#REF!</definedName>
    <definedName name="CUSTOMER" localSheetId="10" hidden="1">{#N/A,#N/A,FALSE,"Summary";#N/A,#N/A,FALSE,"Manpower";#N/A,#N/A,FALSE,"Richmond";#N/A,#N/A,FALSE,"Itasca";#N/A,#N/A,FALSE,"Cambridge";#N/A,#N/A,FALSE,"Development";#N/A,#N/A,FALSE,"Customer Eng'g";#N/A,#N/A,FALSE,"Richmond R&amp;D Projects";#N/A,#N/A,FALSE,"Itasca R&amp;D Projects";#N/A,#N/A,FALSE,"Cambridge R&amp;D Projects"}</definedName>
    <definedName name="CUSTOMER" hidden="1">{#N/A,#N/A,FALSE,"Summary";#N/A,#N/A,FALSE,"Manpower";#N/A,#N/A,FALSE,"Richmond";#N/A,#N/A,FALSE,"Itasca";#N/A,#N/A,FALSE,"Cambridge";#N/A,#N/A,FALSE,"Development";#N/A,#N/A,FALSE,"Customer Eng'g";#N/A,#N/A,FALSE,"Richmond R&amp;D Projects";#N/A,#N/A,FALSE,"Itasca R&amp;D Projects";#N/A,#N/A,FALSE,"Cambridge R&amp;D Projects"}</definedName>
    <definedName name="CUSTOMER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 hidden="1">{#N/A,#N/A,FALSE,"Summary";#N/A,#N/A,FALSE,"Manpower";#N/A,#N/A,FALSE,"Richmond";#N/A,#N/A,FALSE,"Itasca";#N/A,#N/A,FALSE,"Cambridge";#N/A,#N/A,FALSE,"Development";#N/A,#N/A,FALSE,"Customer Eng'g";#N/A,#N/A,FALSE,"Richmond R&amp;D Projects";#N/A,#N/A,FALSE,"Itasca R&amp;D Projects";#N/A,#N/A,FALSE,"Cambridge R&amp;D Projects"}</definedName>
    <definedName name="CUSTOMER_1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 hidden="1">{#N/A,#N/A,FALSE,"Summary";#N/A,#N/A,FALSE,"Manpower";#N/A,#N/A,FALSE,"Richmond";#N/A,#N/A,FALSE,"Itasca";#N/A,#N/A,FALSE,"Cambridge";#N/A,#N/A,FALSE,"Development";#N/A,#N/A,FALSE,"Customer Eng'g";#N/A,#N/A,FALSE,"Richmond R&amp;D Projects";#N/A,#N/A,FALSE,"Itasca R&amp;D Projects";#N/A,#N/A,FALSE,"Cambridge R&amp;D Projects"}</definedName>
    <definedName name="CUSTOMER_1_1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1" hidden="1">{#N/A,#N/A,FALSE,"Summary";#N/A,#N/A,FALSE,"Manpower";#N/A,#N/A,FALSE,"Richmond";#N/A,#N/A,FALSE,"Itasca";#N/A,#N/A,FALSE,"Cambridge";#N/A,#N/A,FALSE,"Development";#N/A,#N/A,FALSE,"Customer Eng'g";#N/A,#N/A,FALSE,"Richmond R&amp;D Projects";#N/A,#N/A,FALSE,"Itasca R&amp;D Projects";#N/A,#N/A,FALSE,"Cambridge R&amp;D Projects"}</definedName>
    <definedName name="CUSTOMER_1_1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2" hidden="1">{#N/A,#N/A,FALSE,"Summary";#N/A,#N/A,FALSE,"Manpower";#N/A,#N/A,FALSE,"Richmond";#N/A,#N/A,FALSE,"Itasca";#N/A,#N/A,FALSE,"Cambridge";#N/A,#N/A,FALSE,"Development";#N/A,#N/A,FALSE,"Customer Eng'g";#N/A,#N/A,FALSE,"Richmond R&amp;D Projects";#N/A,#N/A,FALSE,"Itasca R&amp;D Projects";#N/A,#N/A,FALSE,"Cambridge R&amp;D Projects"}</definedName>
    <definedName name="CUSTOMER_1_1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3" hidden="1">{#N/A,#N/A,FALSE,"Summary";#N/A,#N/A,FALSE,"Manpower";#N/A,#N/A,FALSE,"Richmond";#N/A,#N/A,FALSE,"Itasca";#N/A,#N/A,FALSE,"Cambridge";#N/A,#N/A,FALSE,"Development";#N/A,#N/A,FALSE,"Customer Eng'g";#N/A,#N/A,FALSE,"Richmond R&amp;D Projects";#N/A,#N/A,FALSE,"Itasca R&amp;D Projects";#N/A,#N/A,FALSE,"Cambridge R&amp;D Projects"}</definedName>
    <definedName name="CUSTOMER_1_1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4" hidden="1">{#N/A,#N/A,FALSE,"Summary";#N/A,#N/A,FALSE,"Manpower";#N/A,#N/A,FALSE,"Richmond";#N/A,#N/A,FALSE,"Itasca";#N/A,#N/A,FALSE,"Cambridge";#N/A,#N/A,FALSE,"Development";#N/A,#N/A,FALSE,"Customer Eng'g";#N/A,#N/A,FALSE,"Richmond R&amp;D Projects";#N/A,#N/A,FALSE,"Itasca R&amp;D Projects";#N/A,#N/A,FALSE,"Cambridge R&amp;D Projects"}</definedName>
    <definedName name="CUSTOMER_1_1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1_5" hidden="1">{#N/A,#N/A,FALSE,"Summary";#N/A,#N/A,FALSE,"Manpower";#N/A,#N/A,FALSE,"Richmond";#N/A,#N/A,FALSE,"Itasca";#N/A,#N/A,FALSE,"Cambridge";#N/A,#N/A,FALSE,"Development";#N/A,#N/A,FALSE,"Customer Eng'g";#N/A,#N/A,FALSE,"Richmond R&amp;D Projects";#N/A,#N/A,FALSE,"Itasca R&amp;D Projects";#N/A,#N/A,FALSE,"Cambridge R&amp;D Projects"}</definedName>
    <definedName name="CUSTOMER_1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2" hidden="1">{#N/A,#N/A,FALSE,"Summary";#N/A,#N/A,FALSE,"Manpower";#N/A,#N/A,FALSE,"Richmond";#N/A,#N/A,FALSE,"Itasca";#N/A,#N/A,FALSE,"Cambridge";#N/A,#N/A,FALSE,"Development";#N/A,#N/A,FALSE,"Customer Eng'g";#N/A,#N/A,FALSE,"Richmond R&amp;D Projects";#N/A,#N/A,FALSE,"Itasca R&amp;D Projects";#N/A,#N/A,FALSE,"Cambridge R&amp;D Projects"}</definedName>
    <definedName name="CUSTOMER_1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3" hidden="1">{#N/A,#N/A,FALSE,"Summary";#N/A,#N/A,FALSE,"Manpower";#N/A,#N/A,FALSE,"Richmond";#N/A,#N/A,FALSE,"Itasca";#N/A,#N/A,FALSE,"Cambridge";#N/A,#N/A,FALSE,"Development";#N/A,#N/A,FALSE,"Customer Eng'g";#N/A,#N/A,FALSE,"Richmond R&amp;D Projects";#N/A,#N/A,FALSE,"Itasca R&amp;D Projects";#N/A,#N/A,FALSE,"Cambridge R&amp;D Projects"}</definedName>
    <definedName name="CUSTOMER_1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4" hidden="1">{#N/A,#N/A,FALSE,"Summary";#N/A,#N/A,FALSE,"Manpower";#N/A,#N/A,FALSE,"Richmond";#N/A,#N/A,FALSE,"Itasca";#N/A,#N/A,FALSE,"Cambridge";#N/A,#N/A,FALSE,"Development";#N/A,#N/A,FALSE,"Customer Eng'g";#N/A,#N/A,FALSE,"Richmond R&amp;D Projects";#N/A,#N/A,FALSE,"Itasca R&amp;D Projects";#N/A,#N/A,FALSE,"Cambridge R&amp;D Projects"}</definedName>
    <definedName name="CUSTOMER_1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1_5" hidden="1">{#N/A,#N/A,FALSE,"Summary";#N/A,#N/A,FALSE,"Manpower";#N/A,#N/A,FALSE,"Richmond";#N/A,#N/A,FALSE,"Itasca";#N/A,#N/A,FALSE,"Cambridge";#N/A,#N/A,FALSE,"Development";#N/A,#N/A,FALSE,"Customer Eng'g";#N/A,#N/A,FALSE,"Richmond R&amp;D Projects";#N/A,#N/A,FALSE,"Itasca R&amp;D Projects";#N/A,#N/A,FALSE,"Cambridge R&amp;D Projects"}</definedName>
    <definedName name="CUSTOMER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 hidden="1">{#N/A,#N/A,FALSE,"Summary";#N/A,#N/A,FALSE,"Manpower";#N/A,#N/A,FALSE,"Richmond";#N/A,#N/A,FALSE,"Itasca";#N/A,#N/A,FALSE,"Cambridge";#N/A,#N/A,FALSE,"Development";#N/A,#N/A,FALSE,"Customer Eng'g";#N/A,#N/A,FALSE,"Richmond R&amp;D Projects";#N/A,#N/A,FALSE,"Itasca R&amp;D Projects";#N/A,#N/A,FALSE,"Cambridge R&amp;D Projects"}</definedName>
    <definedName name="CUSTOMER_2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1" hidden="1">{#N/A,#N/A,FALSE,"Summary";#N/A,#N/A,FALSE,"Manpower";#N/A,#N/A,FALSE,"Richmond";#N/A,#N/A,FALSE,"Itasca";#N/A,#N/A,FALSE,"Cambridge";#N/A,#N/A,FALSE,"Development";#N/A,#N/A,FALSE,"Customer Eng'g";#N/A,#N/A,FALSE,"Richmond R&amp;D Projects";#N/A,#N/A,FALSE,"Itasca R&amp;D Projects";#N/A,#N/A,FALSE,"Cambridge R&amp;D Projects"}</definedName>
    <definedName name="CUSTOMER_2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2" hidden="1">{#N/A,#N/A,FALSE,"Summary";#N/A,#N/A,FALSE,"Manpower";#N/A,#N/A,FALSE,"Richmond";#N/A,#N/A,FALSE,"Itasca";#N/A,#N/A,FALSE,"Cambridge";#N/A,#N/A,FALSE,"Development";#N/A,#N/A,FALSE,"Customer Eng'g";#N/A,#N/A,FALSE,"Richmond R&amp;D Projects";#N/A,#N/A,FALSE,"Itasca R&amp;D Projects";#N/A,#N/A,FALSE,"Cambridge R&amp;D Projects"}</definedName>
    <definedName name="CUSTOMER_2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3" hidden="1">{#N/A,#N/A,FALSE,"Summary";#N/A,#N/A,FALSE,"Manpower";#N/A,#N/A,FALSE,"Richmond";#N/A,#N/A,FALSE,"Itasca";#N/A,#N/A,FALSE,"Cambridge";#N/A,#N/A,FALSE,"Development";#N/A,#N/A,FALSE,"Customer Eng'g";#N/A,#N/A,FALSE,"Richmond R&amp;D Projects";#N/A,#N/A,FALSE,"Itasca R&amp;D Projects";#N/A,#N/A,FALSE,"Cambridge R&amp;D Projects"}</definedName>
    <definedName name="CUSTOMER_2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4" hidden="1">{#N/A,#N/A,FALSE,"Summary";#N/A,#N/A,FALSE,"Manpower";#N/A,#N/A,FALSE,"Richmond";#N/A,#N/A,FALSE,"Itasca";#N/A,#N/A,FALSE,"Cambridge";#N/A,#N/A,FALSE,"Development";#N/A,#N/A,FALSE,"Customer Eng'g";#N/A,#N/A,FALSE,"Richmond R&amp;D Projects";#N/A,#N/A,FALSE,"Itasca R&amp;D Projects";#N/A,#N/A,FALSE,"Cambridge R&amp;D Projects"}</definedName>
    <definedName name="CUSTOMER_2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2_5" hidden="1">{#N/A,#N/A,FALSE,"Summary";#N/A,#N/A,FALSE,"Manpower";#N/A,#N/A,FALSE,"Richmond";#N/A,#N/A,FALSE,"Itasca";#N/A,#N/A,FALSE,"Cambridge";#N/A,#N/A,FALSE,"Development";#N/A,#N/A,FALSE,"Customer Eng'g";#N/A,#N/A,FALSE,"Richmond R&amp;D Projects";#N/A,#N/A,FALSE,"Itasca R&amp;D Projects";#N/A,#N/A,FALSE,"Cambridge R&amp;D Projects"}</definedName>
    <definedName name="CUSTOMER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 hidden="1">{#N/A,#N/A,FALSE,"Summary";#N/A,#N/A,FALSE,"Manpower";#N/A,#N/A,FALSE,"Richmond";#N/A,#N/A,FALSE,"Itasca";#N/A,#N/A,FALSE,"Cambridge";#N/A,#N/A,FALSE,"Development";#N/A,#N/A,FALSE,"Customer Eng'g";#N/A,#N/A,FALSE,"Richmond R&amp;D Projects";#N/A,#N/A,FALSE,"Itasca R&amp;D Projects";#N/A,#N/A,FALSE,"Cambridge R&amp;D Projects"}</definedName>
    <definedName name="CUSTOMER_3_1"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1" hidden="1">{#N/A,#N/A,FALSE,"Summary";#N/A,#N/A,FALSE,"Manpower";#N/A,#N/A,FALSE,"Richmond";#N/A,#N/A,FALSE,"Itasca";#N/A,#N/A,FALSE,"Cambridge";#N/A,#N/A,FALSE,"Development";#N/A,#N/A,FALSE,"Customer Eng'g";#N/A,#N/A,FALSE,"Richmond R&amp;D Projects";#N/A,#N/A,FALSE,"Itasca R&amp;D Projects";#N/A,#N/A,FALSE,"Cambridge R&amp;D Projects"}</definedName>
    <definedName name="CUSTOMER_3_2"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2" hidden="1">{#N/A,#N/A,FALSE,"Summary";#N/A,#N/A,FALSE,"Manpower";#N/A,#N/A,FALSE,"Richmond";#N/A,#N/A,FALSE,"Itasca";#N/A,#N/A,FALSE,"Cambridge";#N/A,#N/A,FALSE,"Development";#N/A,#N/A,FALSE,"Customer Eng'g";#N/A,#N/A,FALSE,"Richmond R&amp;D Projects";#N/A,#N/A,FALSE,"Itasca R&amp;D Projects";#N/A,#N/A,FALSE,"Cambridge R&amp;D Projects"}</definedName>
    <definedName name="CUSTOMER_3_3"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3" hidden="1">{#N/A,#N/A,FALSE,"Summary";#N/A,#N/A,FALSE,"Manpower";#N/A,#N/A,FALSE,"Richmond";#N/A,#N/A,FALSE,"Itasca";#N/A,#N/A,FALSE,"Cambridge";#N/A,#N/A,FALSE,"Development";#N/A,#N/A,FALSE,"Customer Eng'g";#N/A,#N/A,FALSE,"Richmond R&amp;D Projects";#N/A,#N/A,FALSE,"Itasca R&amp;D Projects";#N/A,#N/A,FALSE,"Cambridge R&amp;D Projects"}</definedName>
    <definedName name="CUSTOMER_3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4" hidden="1">{#N/A,#N/A,FALSE,"Summary";#N/A,#N/A,FALSE,"Manpower";#N/A,#N/A,FALSE,"Richmond";#N/A,#N/A,FALSE,"Itasca";#N/A,#N/A,FALSE,"Cambridge";#N/A,#N/A,FALSE,"Development";#N/A,#N/A,FALSE,"Customer Eng'g";#N/A,#N/A,FALSE,"Richmond R&amp;D Projects";#N/A,#N/A,FALSE,"Itasca R&amp;D Projects";#N/A,#N/A,FALSE,"Cambridge R&amp;D Projects"}</definedName>
    <definedName name="CUSTOMER_3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3_5" hidden="1">{#N/A,#N/A,FALSE,"Summary";#N/A,#N/A,FALSE,"Manpower";#N/A,#N/A,FALSE,"Richmond";#N/A,#N/A,FALSE,"Itasca";#N/A,#N/A,FALSE,"Cambridge";#N/A,#N/A,FALSE,"Development";#N/A,#N/A,FALSE,"Customer Eng'g";#N/A,#N/A,FALSE,"Richmond R&amp;D Projects";#N/A,#N/A,FALSE,"Itasca R&amp;D Projects";#N/A,#N/A,FALSE,"Cambridge R&amp;D Projects"}</definedName>
    <definedName name="CUSTOMER_4"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4" hidden="1">{#N/A,#N/A,FALSE,"Summary";#N/A,#N/A,FALSE,"Manpower";#N/A,#N/A,FALSE,"Richmond";#N/A,#N/A,FALSE,"Itasca";#N/A,#N/A,FALSE,"Cambridge";#N/A,#N/A,FALSE,"Development";#N/A,#N/A,FALSE,"Customer Eng'g";#N/A,#N/A,FALSE,"Richmond R&amp;D Projects";#N/A,#N/A,FALSE,"Itasca R&amp;D Projects";#N/A,#N/A,FALSE,"Cambridge R&amp;D Projects"}</definedName>
    <definedName name="CUSTOMER_5" localSheetId="10" hidden="1">{#N/A,#N/A,FALSE,"Summary";#N/A,#N/A,FALSE,"Manpower";#N/A,#N/A,FALSE,"Richmond";#N/A,#N/A,FALSE,"Itasca";#N/A,#N/A,FALSE,"Cambridge";#N/A,#N/A,FALSE,"Development";#N/A,#N/A,FALSE,"Customer Eng'g";#N/A,#N/A,FALSE,"Richmond R&amp;D Projects";#N/A,#N/A,FALSE,"Itasca R&amp;D Projects";#N/A,#N/A,FALSE,"Cambridge R&amp;D Projects"}</definedName>
    <definedName name="CUSTOMER_5" hidden="1">{#N/A,#N/A,FALSE,"Summary";#N/A,#N/A,FALSE,"Manpower";#N/A,#N/A,FALSE,"Richmond";#N/A,#N/A,FALSE,"Itasca";#N/A,#N/A,FALSE,"Cambridge";#N/A,#N/A,FALSE,"Development";#N/A,#N/A,FALSE,"Customer Eng'g";#N/A,#N/A,FALSE,"Richmond R&amp;D Projects";#N/A,#N/A,FALSE,"Itasca R&amp;D Projects";#N/A,#N/A,FALSE,"Cambridge R&amp;D Projects"}</definedName>
    <definedName name="Customer_Names" localSheetId="10">#REF!</definedName>
    <definedName name="Customer_Names">#REF!</definedName>
    <definedName name="Customers" localSheetId="10" hidden="1">{#N/A,#N/A,FALSE,"1996";#N/A,#N/A,FALSE,"1995";#N/A,#N/A,FALSE,"1994"}</definedName>
    <definedName name="Customers" localSheetId="15" hidden="1">{#N/A,#N/A,FALSE,"1996";#N/A,#N/A,FALSE,"1995";#N/A,#N/A,FALSE,"1994"}</definedName>
    <definedName name="Customers" hidden="1">{#N/A,#N/A,FALSE,"1996";#N/A,#N/A,FALSE,"1995";#N/A,#N/A,FALSE,"1994"}</definedName>
    <definedName name="cv"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ade" localSheetId="10" hidden="1">{"FCB_ALL",#N/A,FALSE,"FCB"}</definedName>
    <definedName name="cvade" localSheetId="15" hidden="1">{"FCB_ALL",#N/A,FALSE,"FCB"}</definedName>
    <definedName name="cvade" hidden="1">{"FCB_ALL",#N/A,FALSE,"FCB"}</definedName>
    <definedName name="cvb" localSheetId="10" hidden="1">{#N/A,#N/A,FALSE,"TABLE_1 YTD";#N/A,#N/A,FALSE,"TABLE_1A QTD";#N/A,#N/A,FALSE,"NORMAL_SPREAD_QTD";#N/A,#N/A,FALSE,"NORMAL_SPREAD_YTD";#N/A,#N/A,FALSE,"TAX_EQV";#N/A,#N/A,FALSE,"TAX EQUIV_INPUT";#N/A,#N/A,FALSE,"NET FROM FER";#N/A,#N/A,FALSE,"COVER"}</definedName>
    <definedName name="cvb" localSheetId="15" hidden="1">{#N/A,#N/A,FALSE,"TABLE_1 YTD";#N/A,#N/A,FALSE,"TABLE_1A QTD";#N/A,#N/A,FALSE,"NORMAL_SPREAD_QTD";#N/A,#N/A,FALSE,"NORMAL_SPREAD_YTD";#N/A,#N/A,FALSE,"TAX_EQV";#N/A,#N/A,FALSE,"TAX EQUIV_INPUT";#N/A,#N/A,FALSE,"NET FROM FER";#N/A,#N/A,FALSE,"COVER"}</definedName>
    <definedName name="cvb" hidden="1">{#N/A,#N/A,FALSE,"TABLE_1 YTD";#N/A,#N/A,FALSE,"TABLE_1A QTD";#N/A,#N/A,FALSE,"NORMAL_SPREAD_QTD";#N/A,#N/A,FALSE,"NORMAL_SPREAD_YTD";#N/A,#N/A,FALSE,"TAX_EQV";#N/A,#N/A,FALSE,"TAX EQUIV_INPUT";#N/A,#N/A,FALSE,"NET FROM FER";#N/A,#N/A,FALSE,"COVER"}</definedName>
    <definedName name="cvbcsvbsdfb" localSheetId="10" hidden="1">{"manpower",#N/A,FALSE,"MANPOWER_PAYROLL"}</definedName>
    <definedName name="cvbcsvbsdfb" hidden="1">{"manpower",#N/A,FALSE,"MANPOWER_PAYROLL"}</definedName>
    <definedName name="cvbn" localSheetId="10"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c" localSheetId="10" hidden="1">{#N/A,#N/A,FALSE,"KA CH  (2)"}</definedName>
    <definedName name="cvc" hidden="1">{#N/A,#N/A,FALSE,"KA CH  (2)"}</definedName>
    <definedName name="cvcv" localSheetId="10" hidden="1">{"AS REP",#N/A,FALSE,"EEFSNAP2";"PROP",#N/A,FALSE,"EEFSNAP2";"RISKS",#N/A,FALSE,"EEFSNAP2";"VIEW ALL",#N/A,FALSE,"EEFSNAP2"}</definedName>
    <definedName name="cvcv" hidden="1">{"AS REP",#N/A,FALSE,"EEFSNAP2";"PROP",#N/A,FALSE,"EEFSNAP2";"RISKS",#N/A,FALSE,"EEFSNAP2";"VIEW ALL",#N/A,FALSE,"EEFSNAP2"}</definedName>
    <definedName name="cvg" localSheetId="10" hidden="1">{"rev_history_revenueDetail",#N/A,FALSE,"historical rev us";"rev_history_minutesDetail",#N/A,FALSE,"historical rev us"}</definedName>
    <definedName name="cvg" hidden="1">{"rev_history_revenueDetail",#N/A,FALSE,"historical rev us";"rev_history_minutesDetail",#N/A,FALSE,"historical rev us"}</definedName>
    <definedName name="cvg.dcf" localSheetId="10"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W" localSheetId="10" hidden="1">{"Month End Performance",#N/A,FALSE,"Report";"Site Talk Times",#N/A,FALSE,"Report"}</definedName>
    <definedName name="CW" hidden="1">{"Month End Performance",#N/A,FALSE,"Report";"Site Talk Times",#N/A,FALSE,"Report"}</definedName>
    <definedName name="Cwvu.ALL." hidden="1">#REF!,#REF!</definedName>
    <definedName name="Cwvu.CapersView." localSheetId="10" hidden="1">#REF!</definedName>
    <definedName name="Cwvu.CapersView." localSheetId="9" hidden="1">#REF!</definedName>
    <definedName name="Cwvu.CapersView." localSheetId="8" hidden="1">#REF!</definedName>
    <definedName name="Cwvu.CapersView." localSheetId="16" hidden="1">#REF!</definedName>
    <definedName name="Cwvu.CapersView." hidden="1">#REF!</definedName>
    <definedName name="Cwvu.GREY_ALL." localSheetId="10" hidden="1">#REF!</definedName>
    <definedName name="Cwvu.GREY_ALL." localSheetId="9" hidden="1">#REF!</definedName>
    <definedName name="Cwvu.GREY_ALL." localSheetId="8" hidden="1">#REF!</definedName>
    <definedName name="Cwvu.GREY_ALL." localSheetId="16" hidden="1">#REF!</definedName>
    <definedName name="Cwvu.GREY_ALL." hidden="1">#REF!</definedName>
    <definedName name="Cwvu.Japan_Capers_Ed_Pub." localSheetId="10" hidden="1">#REF!</definedName>
    <definedName name="Cwvu.Japan_Capers_Ed_Pub." localSheetId="9" hidden="1">#REF!</definedName>
    <definedName name="Cwvu.Japan_Capers_Ed_Pub." localSheetId="8" hidden="1">#REF!</definedName>
    <definedName name="Cwvu.Japan_Capers_Ed_Pub." localSheetId="16" hidden="1">#REF!</definedName>
    <definedName name="Cwvu.Japan_Capers_Ed_Pub." hidden="1">#REF!</definedName>
    <definedName name="Cwvu.KJP_CC." localSheetId="10" hidden="1">#REF!,#REF!,#REF!,#REF!,#REF!,#REF!,#REF!,#REF!,#REF!,#REF!,#REF!,#REF!,#REF!,#REF!,#REF!,#REF!,#REF!,#REF!,#REF!,#REF!</definedName>
    <definedName name="Cwvu.KJP_CC." localSheetId="9" hidden="1">#REF!,#REF!,#REF!,#REF!,#REF!,#REF!,#REF!,#REF!,#REF!,#REF!,#REF!,#REF!,#REF!,#REF!,#REF!,#REF!,#REF!,#REF!,#REF!,#REF!</definedName>
    <definedName name="Cwvu.KJP_CC." localSheetId="8" hidden="1">#REF!,#REF!,#REF!,#REF!,#REF!,#REF!,#REF!,#REF!,#REF!,#REF!,#REF!,#REF!,#REF!,#REF!,#REF!,#REF!,#REF!,#REF!,#REF!,#REF!</definedName>
    <definedName name="Cwvu.KJP_CC." localSheetId="16" hidden="1">#REF!,#REF!,#REF!,#REF!,#REF!,#REF!,#REF!,#REF!,#REF!,#REF!,#REF!,#REF!,#REF!,#REF!,#REF!,#REF!,#REF!,#REF!,#REF!,#REF!</definedName>
    <definedName name="Cwvu.KJP_CC." hidden="1">#REF!,#REF!,#REF!,#REF!,#REF!,#REF!,#REF!,#REF!,#REF!,#REF!,#REF!,#REF!,#REF!,#REF!,#REF!,#REF!,#REF!,#REF!,#REF!,#REF!</definedName>
    <definedName name="Cwvu.PRT." hidden="1">#REF!,#REF!,#REF!,#REF!,#REF!</definedName>
    <definedName name="cxaa" localSheetId="10"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xnbxcb" localSheetId="10" hidden="1">{"sga expense",#N/A,FALSE,"S,G&amp;A EXP"}</definedName>
    <definedName name="cxnbxcb" hidden="1">{"sga expense",#N/A,FALSE,"S,G&amp;A EXP"}</definedName>
    <definedName name="cxv"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v" localSheetId="10" hidden="1">#REF!</definedName>
    <definedName name="cxzv" localSheetId="9" hidden="1">#REF!</definedName>
    <definedName name="cxzv" localSheetId="8" hidden="1">#REF!</definedName>
    <definedName name="cxzv" localSheetId="16" hidden="1">#REF!</definedName>
    <definedName name="cxzv" hidden="1">#REF!</definedName>
    <definedName name="CY_Common_Equity">#REF!</definedName>
    <definedName name="CY_Depreciation">#REF!</definedName>
    <definedName name="CY_Intangible_Assets">#REF!</definedName>
    <definedName name="CY_Interest_Expense">#REF!</definedName>
    <definedName name="CY_LT_Debt">#REF!</definedName>
    <definedName name="CY_Market_Value_of_Equity">#REF!</definedName>
    <definedName name="CY_Marketable_Sec">#REF!</definedName>
    <definedName name="CY_Other">#REF!</definedName>
    <definedName name="CY_Selling">#REF!</definedName>
    <definedName name="CY_Tangible_Net_Worth">#REF!</definedName>
    <definedName name="cyclage"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clage"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z" localSheetId="10" hidden="1">{"pro_view",#N/A,FALSE,"EEFSNAP2";"rep_view",#N/A,FALSE,"EEFSNAP2"}</definedName>
    <definedName name="cz" hidden="1">{"pro_view",#N/A,FALSE,"EEFSNAP2";"rep_view",#N/A,FALSE,"EEFSNAP2"}</definedName>
    <definedName name="czf" localSheetId="10" hidden="1">{"AS REP",#N/A,FALSE,"EEFSNAP2";"PROP",#N/A,FALSE,"EEFSNAP2";"RISKS",#N/A,FALSE,"EEFSNAP2";"VIEW ALL",#N/A,FALSE,"EEFSNAP2"}</definedName>
    <definedName name="czf" hidden="1">{"AS REP",#N/A,FALSE,"EEFSNAP2";"PROP",#N/A,FALSE,"EEFSNAP2";"RISKS",#N/A,FALSE,"EEFSNAP2";"VIEW ALL",#N/A,FALSE,"EEFSNAP2"}</definedName>
    <definedName name="d">1000</definedName>
    <definedName name="D_1" localSheetId="10" hidden="1">{#N/A,#N/A,FALSE,"AD_Purch";#N/A,#N/A,FALSE,"Projections";#N/A,#N/A,FALSE,"DCF";#N/A,#N/A,FALSE,"Mkt Val"}</definedName>
    <definedName name="D_1" hidden="1">{#N/A,#N/A,FALSE,"AD_Purch";#N/A,#N/A,FALSE,"Projections";#N/A,#N/A,FALSE,"DCF";#N/A,#N/A,FALSE,"Mkt Val"}</definedName>
    <definedName name="D_1000">#REF!</definedName>
    <definedName name="D_A">#REF!</definedName>
    <definedName name="DA_Accumulator_Range" hidden="1">#REF!</definedName>
    <definedName name="DA_Dental_Range" hidden="1">#REF!</definedName>
    <definedName name="daasd" localSheetId="10" hidden="1">{#N/A,#N/A,FALSE,"Assumptions";#N/A,#N/A,FALSE,"Proforma IS";#N/A,#N/A,FALSE,"Cash Flows RLP";#N/A,#N/A,FALSE,"IRR";#N/A,#N/A,FALSE,"New Depr Sch-150% DB";#N/A,#N/A,FALSE,"Comments"}</definedName>
    <definedName name="daasd" hidden="1">{#N/A,#N/A,FALSE,"Assumptions";#N/A,#N/A,FALSE,"Proforma IS";#N/A,#N/A,FALSE,"Cash Flows RLP";#N/A,#N/A,FALSE,"IRR";#N/A,#N/A,FALSE,"New Depr Sch-150% DB";#N/A,#N/A,FALSE,"Comments"}</definedName>
    <definedName name="DAD" localSheetId="10" hidden="1">{#N/A,#N/A,FALSE,"REPORT"}</definedName>
    <definedName name="DAD" hidden="1">{#N/A,#N/A,FALSE,"REPORT"}</definedName>
    <definedName name="dadadas"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dadadas"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DADF" localSheetId="10" hidden="1">{#N/A,#N/A,FALSE,"REPORT"}</definedName>
    <definedName name="DADF" hidden="1">{#N/A,#N/A,FALSE,"REPORT"}</definedName>
    <definedName name="dadsad" localSheetId="10" hidden="1">{"'PXR_6500'!$A$1:$I$124"}</definedName>
    <definedName name="dadsad" hidden="1">{"'PXR_6500'!$A$1:$I$124"}</definedName>
    <definedName name="daeklj" localSheetId="10" hidden="1">{"FCB_ALL",#N/A,FALSE,"FCB"}</definedName>
    <definedName name="daeklj" localSheetId="15" hidden="1">{"FCB_ALL",#N/A,FALSE,"FCB"}</definedName>
    <definedName name="daeklj" hidden="1">{"FCB_ALL",#N/A,FALSE,"FCB"}</definedName>
    <definedName name="daewkl" localSheetId="10" hidden="1">{"FCB_ALL",#N/A,FALSE,"FCB";"GREY_ALL",#N/A,FALSE,"GREY"}</definedName>
    <definedName name="daewkl" localSheetId="15" hidden="1">{"FCB_ALL",#N/A,FALSE,"FCB";"GREY_ALL",#N/A,FALSE,"GREY"}</definedName>
    <definedName name="daewkl" hidden="1">{"FCB_ALL",#N/A,FALSE,"FCB";"GREY_ALL",#N/A,FALSE,"GREY"}</definedName>
    <definedName name="daf" localSheetId="10" hidden="1">{#N/A,#N/A,FALSE,"1";#N/A,#N/A,FALSE,"2";#N/A,#N/A,FALSE,"16 - 17";#N/A,#N/A,FALSE,"18 - 19";#N/A,#N/A,FALSE,"26";#N/A,#N/A,FALSE,"27";#N/A,#N/A,FALSE,"28"}</definedName>
    <definedName name="daf" hidden="1">{#N/A,#N/A,FALSE,"1";#N/A,#N/A,FALSE,"2";#N/A,#N/A,FALSE,"16 - 17";#N/A,#N/A,FALSE,"18 - 19";#N/A,#N/A,FALSE,"26";#N/A,#N/A,FALSE,"27";#N/A,#N/A,FALSE,"28"}</definedName>
    <definedName name="dafd" localSheetId="10" hidden="1">{"bs",#N/A,FALSE,"SCF"}</definedName>
    <definedName name="dafd" hidden="1">{"bs",#N/A,FALSE,"SCF"}</definedName>
    <definedName name="dafdsaf" localSheetId="10"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saf1" localSheetId="10"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kfkjafgkeaj" localSheetId="10" hidden="1">{#N/A,#N/A,FALSE,"Pharm";#N/A,#N/A,FALSE,"WWCM"}</definedName>
    <definedName name="dakfkjafgkeaj" hidden="1">{#N/A,#N/A,FALSE,"Pharm";#N/A,#N/A,FALSE,"WWCM"}</definedName>
    <definedName name="dan" localSheetId="10" hidden="1">{#N/A,#N/A,FALSE,"COVER";#N/A,#N/A,FALSE,"SUMP&amp;L";#N/A,#N/A,FALSE,"SUBSP&amp;L";#N/A,#N/A,FALSE,"SALESANAL"}</definedName>
    <definedName name="dan" hidden="1">{#N/A,#N/A,FALSE,"COVER";#N/A,#N/A,FALSE,"SUMP&amp;L";#N/A,#N/A,FALSE,"SUBSP&amp;L";#N/A,#N/A,FALSE,"SALESANAL"}</definedName>
    <definedName name="das" localSheetId="10" hidden="1">{"FCB_ALL",#N/A,FALSE,"FCB";"GREY_ALL",#N/A,FALSE,"GREY"}</definedName>
    <definedName name="das" localSheetId="15" hidden="1">{"FCB_ALL",#N/A,FALSE,"FCB";"GREY_ALL",#N/A,FALSE,"GREY"}</definedName>
    <definedName name="das" hidden="1">{"FCB_ALL",#N/A,FALSE,"FCB";"GREY_ALL",#N/A,FALSE,"GREY"}</definedName>
    <definedName name="dasgfdag" localSheetId="10" hidden="1">{"FCB_ALL",#N/A,FALSE,"FCB"}</definedName>
    <definedName name="dasgfdag" localSheetId="15" hidden="1">{"FCB_ALL",#N/A,FALSE,"FCB"}</definedName>
    <definedName name="dasgfdag" hidden="1">{"FCB_ALL",#N/A,FALSE,"FCB"}</definedName>
    <definedName name="dasklej" localSheetId="10" hidden="1">{"FCB_ALL",#N/A,FALSE,"FCB"}</definedName>
    <definedName name="dasklej" localSheetId="15" hidden="1">{"FCB_ALL",#N/A,FALSE,"FCB"}</definedName>
    <definedName name="dasklej" hidden="1">{"FCB_ALL",#N/A,FALSE,"FCB"}</definedName>
    <definedName name="dasrfafe" hidden="1">#REF!</definedName>
    <definedName name="Dat"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 localSheetId="10" hidden="1">{#N/A,#N/A,FALSE,"Sales"}</definedName>
    <definedName name="Data" localSheetId="15" hidden="1">{#N/A,#N/A,FALSE,"Sales"}</definedName>
    <definedName name="Data" hidden="1">{#N/A,#N/A,FALSE,"Sales"}</definedName>
    <definedName name="Data.Dump" hidden="1">OFFSET(#REF!,1,0)</definedName>
    <definedName name="DATA_01" localSheetId="10" hidden="1">#REF!</definedName>
    <definedName name="DATA_01" hidden="1">#REF!</definedName>
    <definedName name="DATA_02" hidden="1">#REF!</definedName>
    <definedName name="DATA_03" localSheetId="10" hidden="1">#REF!</definedName>
    <definedName name="DATA_03" localSheetId="9" hidden="1">#REF!</definedName>
    <definedName name="DATA_03" localSheetId="8" hidden="1">#REF!</definedName>
    <definedName name="DATA_03" localSheetId="16" hidden="1">#REF!</definedName>
    <definedName name="DATA_03" hidden="1">#REF!</definedName>
    <definedName name="DATA_04" hidden="1">#REF!</definedName>
    <definedName name="DATA_05" hidden="1">#REF!</definedName>
    <definedName name="DATA_06" hidden="1">#REF!</definedName>
    <definedName name="DATA_07" localSheetId="10" hidden="1">#REF!</definedName>
    <definedName name="DATA_07" localSheetId="9" hidden="1">#REF!</definedName>
    <definedName name="DATA_07" localSheetId="8" hidden="1">#REF!</definedName>
    <definedName name="DATA_07" localSheetId="16" hidden="1">#REF!</definedName>
    <definedName name="DATA_07" hidden="1">#REF!</definedName>
    <definedName name="DATA_08" localSheetId="10" hidden="1">#REF!</definedName>
    <definedName name="DATA_08" localSheetId="9" hidden="1">#REF!</definedName>
    <definedName name="DATA_08" localSheetId="8" hidden="1">#REF!</definedName>
    <definedName name="DATA_08" localSheetId="16" hidden="1">#REF!</definedName>
    <definedName name="DATA_08" hidden="1">#REF!</definedName>
    <definedName name="DATA_BS_01" hidden="1">#REF!</definedName>
    <definedName name="Data_summary"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localSheetId="10" hidden="1">{#N/A,#N/A,FALSE,"Sales"}</definedName>
    <definedName name="data1" localSheetId="15" hidden="1">{#N/A,#N/A,FALSE,"Sales"}</definedName>
    <definedName name="data1" hidden="1">{#N/A,#N/A,FALSE,"Sales"}</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base.File" hidden="1">#REF!</definedName>
    <definedName name="Datas_Autre" hidden="1">#REF!</definedName>
    <definedName name="DATAS_COUNT" hidden="1">#REF!</definedName>
    <definedName name="DataTable">#REF!</definedName>
    <definedName name="DataTable_C188M197">#REF!</definedName>
    <definedName name="Date">#REF!</definedName>
    <definedName name="Date_of_Review">#REF!</definedName>
    <definedName name="Date1">#REF!</definedName>
    <definedName name="DateRangeCompMain" hidden="1">#REF!</definedName>
    <definedName name="DateRangePrice" hidden="1">OFFSET(#REF!,5,0,COUNTA(#REF!)-COUNTA(#REF!),1)</definedName>
    <definedName name="DateRangePriceMain" hidden="1">#REF!</definedName>
    <definedName name="Dates">#N/A</definedName>
    <definedName name="dave" localSheetId="10" hidden="1">{"'Form'!$A$2:$J$81"}</definedName>
    <definedName name="dave" localSheetId="15" hidden="1">{"'Form'!$A$2:$J$81"}</definedName>
    <definedName name="dave" hidden="1">{"'Form'!$A$2:$J$81"}</definedName>
    <definedName name="Dawn" localSheetId="10" hidden="1">{#N/A,#N/A,FALSE,"COVER";#N/A,#N/A,FALSE,"SUMP&amp;L";#N/A,#N/A,FALSE,"SUBSP&amp;L";#N/A,#N/A,FALSE,"SALESANAL"}</definedName>
    <definedName name="Dawn" hidden="1">{#N/A,#N/A,FALSE,"COVER";#N/A,#N/A,FALSE,"SUMP&amp;L";#N/A,#N/A,FALSE,"SUBSP&amp;L";#N/A,#N/A,FALSE,"SALESANAL"}</definedName>
    <definedName name="Days" localSheetId="10">#REF!</definedName>
    <definedName name="Days">#REF!</definedName>
    <definedName name="Days_in_Receivables">#REF!,#REF!</definedName>
    <definedName name="db" localSheetId="10" hidden="1">{#N/A,#N/A,FALSE,"COVER";#N/A,#N/A,FALSE,"SUMP&amp;L";#N/A,#N/A,FALSE,"SUBSP&amp;L";#N/A,#N/A,FALSE,"SALESANAL"}</definedName>
    <definedName name="db" hidden="1">{#N/A,#N/A,FALSE,"COVER";#N/A,#N/A,FALSE,"SUMP&amp;L";#N/A,#N/A,FALSE,"SUBSP&amp;L";#N/A,#N/A,FALSE,"SALESANAL"}</definedName>
    <definedName name="dbase_char_set" hidden="1">1</definedName>
    <definedName name="dbase_compatibility" hidden="1">1</definedName>
    <definedName name="dbase_dflt" hidden="1">TRUE</definedName>
    <definedName name="dbed" localSheetId="10" hidden="1">{"histincome",#N/A,FALSE,"hyfins";"closing balance",#N/A,FALSE,"hyfins"}</definedName>
    <definedName name="dbed" localSheetId="15" hidden="1">{"histincome",#N/A,FALSE,"hyfins";"closing balance",#N/A,FALSE,"hyfins"}</definedName>
    <definedName name="dbed" hidden="1">{"histincome",#N/A,FALSE,"hyfins";"closing balance",#N/A,FALSE,"hyfins"}</definedName>
    <definedName name="DBEST" localSheetId="10" hidden="1">#REF!</definedName>
    <definedName name="DBEST" localSheetId="9" hidden="1">#REF!</definedName>
    <definedName name="DBEST" localSheetId="8" hidden="1">#REF!</definedName>
    <definedName name="DBEST" localSheetId="16" hidden="1">#REF!</definedName>
    <definedName name="DBEST" hidden="1">#REF!</definedName>
    <definedName name="DBF" localSheetId="10" hidden="1">{#N/A,#N/A,FALSE,"DCF Summary";#N/A,#N/A,FALSE,"Casema";#N/A,#N/A,FALSE,"Casema NoTel";#N/A,#N/A,FALSE,"UK";#N/A,#N/A,FALSE,"RCF";#N/A,#N/A,FALSE,"Intercable CZ";#N/A,#N/A,FALSE,"Interkabel P"}</definedName>
    <definedName name="DBF" localSheetId="15" hidden="1">{#N/A,#N/A,FALSE,"DCF Summary";#N/A,#N/A,FALSE,"Casema";#N/A,#N/A,FALSE,"Casema NoTel";#N/A,#N/A,FALSE,"UK";#N/A,#N/A,FALSE,"RCF";#N/A,#N/A,FALSE,"Intercable CZ";#N/A,#N/A,FALSE,"Interkabel P"}</definedName>
    <definedName name="DBF" hidden="1">{#N/A,#N/A,FALSE,"DCF Summary";#N/A,#N/A,FALSE,"Casema";#N/A,#N/A,FALSE,"Casema NoTel";#N/A,#N/A,FALSE,"UK";#N/A,#N/A,FALSE,"RCF";#N/A,#N/A,FALSE,"Intercable CZ";#N/A,#N/A,FALSE,"Interkabel P"}</definedName>
    <definedName name="dbf_1" localSheetId="10" hidden="1">{#N/A,#N/A,FALSE,"Trans-Sum";#N/A,#N/A,FALSE,"Accr-Dilu2";#N/A,#N/A,FALSE,"Contribution";#N/A,#N/A,FALSE,"Combined";#N/A,#N/A,FALSE,"ASTF";#N/A,#N/A,FALSE,"BRA";#N/A,#N/A,FALSE,"Bra_C";#N/A,#N/A,FALSE,"AcqMults";#N/A,#N/A,FALSE,"CompMults";#N/A,#N/A,FALSE,"DCF";#N/A,#N/A,FALSE,"WACC";#N/A,#N/A,FALSE,"LBO";#N/A,#N/A,FALSE,"Summary";#N/A,#N/A,FALSE,"StructSum"}</definedName>
    <definedName name="dbf_1" hidden="1">{#N/A,#N/A,FALSE,"Trans-Sum";#N/A,#N/A,FALSE,"Accr-Dilu2";#N/A,#N/A,FALSE,"Contribution";#N/A,#N/A,FALSE,"Combined";#N/A,#N/A,FALSE,"ASTF";#N/A,#N/A,FALSE,"BRA";#N/A,#N/A,FALSE,"Bra_C";#N/A,#N/A,FALSE,"AcqMults";#N/A,#N/A,FALSE,"CompMults";#N/A,#N/A,FALSE,"DCF";#N/A,#N/A,FALSE,"WACC";#N/A,#N/A,FALSE,"LBO";#N/A,#N/A,FALSE,"Summary";#N/A,#N/A,FALSE,"StructSum"}</definedName>
    <definedName name="DBOCT" localSheetId="10" hidden="1">#REF!</definedName>
    <definedName name="DBOCT" localSheetId="9" hidden="1">#REF!</definedName>
    <definedName name="DBOCT" localSheetId="8" hidden="1">#REF!</definedName>
    <definedName name="DBOCT" localSheetId="16" hidden="1">#REF!</definedName>
    <definedName name="DBOCT" hidden="1">#REF!</definedName>
    <definedName name="dbvfadvdafva" hidden="1">#REF!</definedName>
    <definedName name="DCF" localSheetId="10" hidden="1">{#N/A,#N/A,FALSE,"DCF Summary";#N/A,#N/A,FALSE,"Casema";#N/A,#N/A,FALSE,"Casema NoTel";#N/A,#N/A,FALSE,"UK";#N/A,#N/A,FALSE,"RCF";#N/A,#N/A,FALSE,"Intercable CZ";#N/A,#N/A,FALSE,"Interkabel P"}</definedName>
    <definedName name="DCF" localSheetId="15"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1" localSheetId="10" hidden="1">{#N/A,#N/A,FALSE,"Projections";#N/A,#N/A,FALSE,"Multiples Valuation";#N/A,#N/A,FALSE,"LBO";#N/A,#N/A,FALSE,"Multiples_Sensitivity";#N/A,#N/A,FALSE,"Summary"}</definedName>
    <definedName name="DCF_1" hidden="1">{#N/A,#N/A,FALSE,"Projections";#N/A,#N/A,FALSE,"Multiples Valuation";#N/A,#N/A,FALSE,"LBO";#N/A,#N/A,FALSE,"Multiples_Sensitivity";#N/A,#N/A,FALSE,"Summary"}</definedName>
    <definedName name="dcfg" localSheetId="10" hidden="1">{"'Actual'!$A$1:$F$25"}</definedName>
    <definedName name="dcfg" hidden="1">{"'Actual'!$A$1:$F$25"}</definedName>
    <definedName name="DCV" localSheetId="10" hidden="1">{#N/A,#N/A,FALSE,"DCF Summary";#N/A,#N/A,FALSE,"Casema";#N/A,#N/A,FALSE,"Casema NoTel";#N/A,#N/A,FALSE,"UK";#N/A,#N/A,FALSE,"RCF";#N/A,#N/A,FALSE,"Intercable CZ";#N/A,#N/A,FALSE,"Interkabel P"}</definedName>
    <definedName name="DCV" localSheetId="15" hidden="1">{#N/A,#N/A,FALSE,"DCF Summary";#N/A,#N/A,FALSE,"Casema";#N/A,#N/A,FALSE,"Casema NoTel";#N/A,#N/A,FALSE,"UK";#N/A,#N/A,FALSE,"RCF";#N/A,#N/A,FALSE,"Intercable CZ";#N/A,#N/A,FALSE,"Interkabel P"}</definedName>
    <definedName name="DCV" hidden="1">{#N/A,#N/A,FALSE,"DCF Summary";#N/A,#N/A,FALSE,"Casema";#N/A,#N/A,FALSE,"Casema NoTel";#N/A,#N/A,FALSE,"UK";#N/A,#N/A,FALSE,"RCF";#N/A,#N/A,FALSE,"Intercable CZ";#N/A,#N/A,FALSE,"Interkabel P"}</definedName>
    <definedName name="DD"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d_1" localSheetId="10" hidden="1">{#N/A,#N/A,FALSE,"AD_Purch";#N/A,#N/A,FALSE,"Projections";#N/A,#N/A,FALSE,"DCF";#N/A,#N/A,FALSE,"Mkt Val"}</definedName>
    <definedName name="dd_1" hidden="1">{#N/A,#N/A,FALSE,"AD_Purch";#N/A,#N/A,FALSE,"Projections";#N/A,#N/A,FALSE,"DCF";#N/A,#N/A,FALSE,"Mkt Val"}</definedName>
    <definedName name="ddd" localSheetId="10" hidden="1">{"histincome",#N/A,FALSE,"hyfins";"closing balance",#N/A,FALSE,"hyfins"}</definedName>
    <definedName name="ddd" localSheetId="15" hidden="1">{"histincome",#N/A,FALSE,"hyfins";"closing balance",#N/A,FALSE,"hyfins"}</definedName>
    <definedName name="ddd" hidden="1">{"histincome",#N/A,FALSE,"hyfins";"closing balance",#N/A,FALSE,"hyfins"}</definedName>
    <definedName name="ddd_1" localSheetId="10" hidden="1">{#N/A,#N/A,FALSE,"TS";#N/A,#N/A,FALSE,"Combo";#N/A,#N/A,FALSE,"FAIR";#N/A,#N/A,FALSE,"RBC";#N/A,#N/A,FALSE,"xxxx";#N/A,#N/A,FALSE,"A_D";#N/A,#N/A,FALSE,"WACC";#N/A,#N/A,FALSE,"DCF";#N/A,#N/A,FALSE,"LBO";#N/A,#N/A,FALSE,"AcqMults";#N/A,#N/A,FALSE,"CompMults"}</definedName>
    <definedName name="ddd_1" hidden="1">{#N/A,#N/A,FALSE,"TS";#N/A,#N/A,FALSE,"Combo";#N/A,#N/A,FALSE,"FAIR";#N/A,#N/A,FALSE,"RBC";#N/A,#N/A,FALSE,"xxxx";#N/A,#N/A,FALSE,"A_D";#N/A,#N/A,FALSE,"WACC";#N/A,#N/A,FALSE,"DCF";#N/A,#N/A,FALSE,"LBO";#N/A,#N/A,FALSE,"AcqMults";#N/A,#N/A,FALSE,"CompMults"}</definedName>
    <definedName name="dddaz" localSheetId="10" hidden="1">{#N/A,#N/A,FALSE,"Pharm";#N/A,#N/A,FALSE,"WWCM"}</definedName>
    <definedName name="dddaz" hidden="1">{#N/A,#N/A,FALSE,"Pharm";#N/A,#N/A,FALSE,"WWCM"}</definedName>
    <definedName name="dddd" localSheetId="10" hidden="1">{"Ratios",#N/A,FALSE,"Ratios"}</definedName>
    <definedName name="dddd" localSheetId="15" hidden="1">{"Ratios",#N/A,FALSE,"Ratios"}</definedName>
    <definedName name="dddd" hidden="1">{"Ratios",#N/A,FALSE,"Ratios"}</definedName>
    <definedName name="ddddd">#REF!</definedName>
    <definedName name="dddddd" localSheetId="10" hidden="1">{#N/A,#N/A,FALSE,"Pharm";#N/A,#N/A,FALSE,"WWCM"}</definedName>
    <definedName name="dddddd" hidden="1">{#N/A,#N/A,FALSE,"Pharm";#N/A,#N/A,FALSE,"WWCM"}</definedName>
    <definedName name="ddddddd" localSheetId="10" hidden="1">{"Income Statement",#N/A,FALSE,"Income Statement";"Balance Sheet",#N/A,FALSE,"Balance Sheet";"Cash Flow",#N/A,FALSE,"Cash Flow";"Ratios",#N/A,FALSE,"Ratios"}</definedName>
    <definedName name="ddddddd" localSheetId="15" hidden="1">{"Income Statement",#N/A,FALSE,"Income Statement";"Balance Sheet",#N/A,FALSE,"Balance Sheet";"Cash Flow",#N/A,FALSE,"Cash Flow";"Ratios",#N/A,FALSE,"Ratios"}</definedName>
    <definedName name="ddddddd" hidden="1">{"Income Statement",#N/A,FALSE,"Income Statement";"Balance Sheet",#N/A,FALSE,"Balance Sheet";"Cash Flow",#N/A,FALSE,"Cash Flow";"Ratios",#N/A,FALSE,"Ratios"}</definedName>
    <definedName name="ddddddddd"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d" hidden="1">#REF!</definedName>
    <definedName name="dddddddddddddd" hidden="1">#REF!</definedName>
    <definedName name="dddddddddddddddddd" hidden="1">#N/A</definedName>
    <definedName name="ddde"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localSheetId="10" hidden="1">{#N/A,#N/A,FALSE,"Finanzbedarsrechnung"}</definedName>
    <definedName name="ddee" localSheetId="15" hidden="1">{#N/A,#N/A,FALSE,"Finanzbedarsrechnung"}</definedName>
    <definedName name="ddee" hidden="1">{#N/A,#N/A,FALSE,"Finanzbedarsrechnung"}</definedName>
    <definedName name="ddf" localSheetId="10" hidden="1">{#N/A,#N/A,FALSE,"KA CH  (2)"}</definedName>
    <definedName name="ddf" hidden="1">{#N/A,#N/A,FALSE,"KA CH  (2)"}</definedName>
    <definedName name="ddx" localSheetId="10"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dxf" localSheetId="10" hidden="1">{"NOPCAPEVA",#N/A,FALSE,"Nopat";"FCFCSTAR",#N/A,FALSE,"FCFVAL";"EVAVL",#N/A,FALSE,"EVAVAL";"LEASE",#N/A,FALSE,"OpLease"}</definedName>
    <definedName name="ddxf" hidden="1">{"NOPCAPEVA",#N/A,FALSE,"Nopat";"FCFCSTAR",#N/A,FALSE,"FCFVAL";"EVAVL",#N/A,FALSE,"EVAVAL";"LEASE",#N/A,FALSE,"OpLease"}</definedName>
    <definedName name="de" localSheetId="10" hidden="1">{"Opsys",#N/A,FALSE,"NPV_OPsys";"NT",#N/A,FALSE,"NPV_NT";"DevP",#N/A,FALSE,"NPV_DevPdt";"Office",#N/A,FALSE,"NPV_Office"}</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10" hidden="1">{#N/A,#N/A,FALSE,"Assessment";#N/A,#N/A,FALSE,"Staffing";#N/A,#N/A,FALSE,"Hires";#N/A,#N/A,FALSE,"Assumptions"}</definedName>
    <definedName name="de_1" hidden="1">{#N/A,#N/A,FALSE,"Assessment";#N/A,#N/A,FALSE,"Staffing";#N/A,#N/A,FALSE,"Hires";#N/A,#N/A,FALSE,"Assumptions"}</definedName>
    <definedName name="de_1_1" localSheetId="10" hidden="1">{"Material",#N/A,TRUE,"Summary";"Mfg",#N/A,TRUE,"Summary";"mfgbymo",#N/A,TRUE,"By Month";"Mtlbymo",#N/A,TRUE,"By Month"}</definedName>
    <definedName name="de_1_1" hidden="1">{"Material",#N/A,TRUE,"Summary";"Mfg",#N/A,TRUE,"Summary";"mfgbymo",#N/A,TRUE,"By Month";"Mtlbymo",#N/A,TRUE,"By Month"}</definedName>
    <definedName name="de_2" localSheetId="10" hidden="1">{"Material",#N/A,TRUE,"Summary";"Mfg",#N/A,TRUE,"Summary";"mfgbymo",#N/A,TRUE,"By Month";"Mtlbymo",#N/A,TRUE,"By Month"}</definedName>
    <definedName name="de_2" hidden="1">{"Material",#N/A,TRUE,"Summary";"Mfg",#N/A,TRUE,"Summary";"mfgbymo",#N/A,TRUE,"By Month";"Mtlbymo",#N/A,TRUE,"By Month"}</definedName>
    <definedName name="Debbie" localSheetId="10" hidden="1">{"FY03_Assets",#N/A,FALSE,"Fin Stmt Budget";"FY03_Liabilities",#N/A,FALSE,"Fin Stmt Budget";"FY03_Inc_Stmt",#N/A,FALSE,"Fin Stmt Budget";"FY03_SOCF",#N/A,FALSE,"Fin Stmt Budget"}</definedName>
    <definedName name="Debbie" localSheetId="15" hidden="1">{"FY03_Assets",#N/A,FALSE,"Fin Stmt Budget";"FY03_Liabilities",#N/A,FALSE,"Fin Stmt Budget";"FY03_Inc_Stmt",#N/A,FALSE,"Fin Stmt Budget";"FY03_SOCF",#N/A,FALSE,"Fin Stmt Budget"}</definedName>
    <definedName name="Debbie" hidden="1">{"FY03_Assets",#N/A,FALSE,"Fin Stmt Budget";"FY03_Liabilities",#N/A,FALSE,"Fin Stmt Budget";"FY03_Inc_Stmt",#N/A,FALSE,"Fin Stmt Budget";"FY03_SOCF",#N/A,FALSE,"Fin Stmt Budget"}</definedName>
    <definedName name="debt_000" localSheetId="10" hidden="1">{"NP-New Acquisition",#N/A,FALSE,"NOTE PAYMENTS";"NP-Strategic Loan",#N/A,FALSE,"NOTE PAYMENTS";"NP-Tech Loan",#N/A,FALSE,"NOTE PAYMENTS";"NP-Existing Debt",#N/A,FALSE,"NOTE PAYMENTS";"NP-Curr Maturity",#N/A,FALSE,"NOTE PAYMENTS";"NP-Interest Exp",#N/A,FALSE,"NOTE PAYMENTS"}</definedName>
    <definedName name="debt_000" hidden="1">{"NP-New Acquisition",#N/A,FALSE,"NOTE PAYMENTS";"NP-Strategic Loan",#N/A,FALSE,"NOTE PAYMENTS";"NP-Tech Loan",#N/A,FALSE,"NOTE PAYMENTS";"NP-Existing Debt",#N/A,FALSE,"NOTE PAYMENTS";"NP-Curr Maturity",#N/A,FALSE,"NOTE PAYMENTS";"NP-Interest Exp",#N/A,FALSE,"NOTE PAYMENTS"}</definedName>
    <definedName name="debt_1" localSheetId="10" hidden="1">{"NP-New Acquisition",#N/A,FALSE,"NOTE PAYMENTS";"NP-Strategic Loan",#N/A,FALSE,"NOTE PAYMENTS";"NP-Tech Loan",#N/A,FALSE,"NOTE PAYMENTS";"NP-Existing Debt",#N/A,FALSE,"NOTE PAYMENTS";"NP-Curr Maturity",#N/A,FALSE,"NOTE PAYMENTS";"NP-Interest Exp",#N/A,FALSE,"NOTE PAYMENTS"}</definedName>
    <definedName name="debt_1" hidden="1">{"NP-New Acquisition",#N/A,FALSE,"NOTE PAYMENTS";"NP-Strategic Loan",#N/A,FALSE,"NOTE PAYMENTS";"NP-Tech Loan",#N/A,FALSE,"NOTE PAYMENTS";"NP-Existing Debt",#N/A,FALSE,"NOTE PAYMENTS";"NP-Curr Maturity",#N/A,FALSE,"NOTE PAYMENTS";"NP-Interest Exp",#N/A,FALSE,"NOTE PAYMENTS"}</definedName>
    <definedName name="debt_10" localSheetId="10" hidden="1">{"NP-New Acquisition",#N/A,FALSE,"NOTE PAYMENTS";"NP-Strategic Loan",#N/A,FALSE,"NOTE PAYMENTS";"NP-Tech Loan",#N/A,FALSE,"NOTE PAYMENTS";"NP-Existing Debt",#N/A,FALSE,"NOTE PAYMENTS";"NP-Curr Maturity",#N/A,FALSE,"NOTE PAYMENTS";"NP-Interest Exp",#N/A,FALSE,"NOTE PAYMENTS"}</definedName>
    <definedName name="debt_10" hidden="1">{"NP-New Acquisition",#N/A,FALSE,"NOTE PAYMENTS";"NP-Strategic Loan",#N/A,FALSE,"NOTE PAYMENTS";"NP-Tech Loan",#N/A,FALSE,"NOTE PAYMENTS";"NP-Existing Debt",#N/A,FALSE,"NOTE PAYMENTS";"NP-Curr Maturity",#N/A,FALSE,"NOTE PAYMENTS";"NP-Interest Exp",#N/A,FALSE,"NOTE PAYMENTS"}</definedName>
    <definedName name="debt_111" localSheetId="10" hidden="1">{"NP-New Acquisition",#N/A,FALSE,"NOTE PAYMENTS";"NP-Strategic Loan",#N/A,FALSE,"NOTE PAYMENTS";"NP-Tech Loan",#N/A,FALSE,"NOTE PAYMENTS";"NP-Existing Debt",#N/A,FALSE,"NOTE PAYMENTS";"NP-Curr Maturity",#N/A,FALSE,"NOTE PAYMENTS";"NP-Interest Exp",#N/A,FALSE,"NOTE PAYMENTS"}</definedName>
    <definedName name="debt_111" hidden="1">{"NP-New Acquisition",#N/A,FALSE,"NOTE PAYMENTS";"NP-Strategic Loan",#N/A,FALSE,"NOTE PAYMENTS";"NP-Tech Loan",#N/A,FALSE,"NOTE PAYMENTS";"NP-Existing Debt",#N/A,FALSE,"NOTE PAYMENTS";"NP-Curr Maturity",#N/A,FALSE,"NOTE PAYMENTS";"NP-Interest Exp",#N/A,FALSE,"NOTE PAYMENTS"}</definedName>
    <definedName name="debt_2" localSheetId="10" hidden="1">{"NP-New Acquisition",#N/A,FALSE,"NOTE PAYMENTS";"NP-Strategic Loan",#N/A,FALSE,"NOTE PAYMENTS";"NP-Tech Loan",#N/A,FALSE,"NOTE PAYMENTS";"NP-Existing Debt",#N/A,FALSE,"NOTE PAYMENTS";"NP-Curr Maturity",#N/A,FALSE,"NOTE PAYMENTS";"NP-Interest Exp",#N/A,FALSE,"NOTE PAYMENTS"}</definedName>
    <definedName name="debt_2" hidden="1">{"NP-New Acquisition",#N/A,FALSE,"NOTE PAYMENTS";"NP-Strategic Loan",#N/A,FALSE,"NOTE PAYMENTS";"NP-Tech Loan",#N/A,FALSE,"NOTE PAYMENTS";"NP-Existing Debt",#N/A,FALSE,"NOTE PAYMENTS";"NP-Curr Maturity",#N/A,FALSE,"NOTE PAYMENTS";"NP-Interest Exp",#N/A,FALSE,"NOTE PAYMENTS"}</definedName>
    <definedName name="debt_21" localSheetId="10" hidden="1">{"NP-New Acquisition",#N/A,FALSE,"NOTE PAYMENTS";"NP-Strategic Loan",#N/A,FALSE,"NOTE PAYMENTS";"NP-Tech Loan",#N/A,FALSE,"NOTE PAYMENTS";"NP-Existing Debt",#N/A,FALSE,"NOTE PAYMENTS";"NP-Curr Maturity",#N/A,FALSE,"NOTE PAYMENTS";"NP-Interest Exp",#N/A,FALSE,"NOTE PAYMENTS"}</definedName>
    <definedName name="debt_21" hidden="1">{"NP-New Acquisition",#N/A,FALSE,"NOTE PAYMENTS";"NP-Strategic Loan",#N/A,FALSE,"NOTE PAYMENTS";"NP-Tech Loan",#N/A,FALSE,"NOTE PAYMENTS";"NP-Existing Debt",#N/A,FALSE,"NOTE PAYMENTS";"NP-Curr Maturity",#N/A,FALSE,"NOTE PAYMENTS";"NP-Interest Exp",#N/A,FALSE,"NOTE PAYMENTS"}</definedName>
    <definedName name="debt_25" localSheetId="10" hidden="1">{"NP-New Acquisition",#N/A,FALSE,"NOTE PAYMENTS";"NP-Strategic Loan",#N/A,FALSE,"NOTE PAYMENTS";"NP-Tech Loan",#N/A,FALSE,"NOTE PAYMENTS";"NP-Existing Debt",#N/A,FALSE,"NOTE PAYMENTS";"NP-Curr Maturity",#N/A,FALSE,"NOTE PAYMENTS";"NP-Interest Exp",#N/A,FALSE,"NOTE PAYMENTS"}</definedName>
    <definedName name="debt_25" hidden="1">{"NP-New Acquisition",#N/A,FALSE,"NOTE PAYMENTS";"NP-Strategic Loan",#N/A,FALSE,"NOTE PAYMENTS";"NP-Tech Loan",#N/A,FALSE,"NOTE PAYMENTS";"NP-Existing Debt",#N/A,FALSE,"NOTE PAYMENTS";"NP-Curr Maturity",#N/A,FALSE,"NOTE PAYMENTS";"NP-Interest Exp",#N/A,FALSE,"NOTE PAYMENTS"}</definedName>
    <definedName name="debt_26" localSheetId="10" hidden="1">{"NP-New Acquisition",#N/A,FALSE,"NOTE PAYMENTS";"NP-Strategic Loan",#N/A,FALSE,"NOTE PAYMENTS";"NP-Tech Loan",#N/A,FALSE,"NOTE PAYMENTS";"NP-Existing Debt",#N/A,FALSE,"NOTE PAYMENTS";"NP-Curr Maturity",#N/A,FALSE,"NOTE PAYMENTS";"NP-Interest Exp",#N/A,FALSE,"NOTE PAYMENTS"}</definedName>
    <definedName name="debt_26" hidden="1">{"NP-New Acquisition",#N/A,FALSE,"NOTE PAYMENTS";"NP-Strategic Loan",#N/A,FALSE,"NOTE PAYMENTS";"NP-Tech Loan",#N/A,FALSE,"NOTE PAYMENTS";"NP-Existing Debt",#N/A,FALSE,"NOTE PAYMENTS";"NP-Curr Maturity",#N/A,FALSE,"NOTE PAYMENTS";"NP-Interest Exp",#N/A,FALSE,"NOTE PAYMENTS"}</definedName>
    <definedName name="debt_27" localSheetId="10" hidden="1">{"NP-New Acquisition",#N/A,FALSE,"NOTE PAYMENTS";"NP-Strategic Loan",#N/A,FALSE,"NOTE PAYMENTS";"NP-Tech Loan",#N/A,FALSE,"NOTE PAYMENTS";"NP-Existing Debt",#N/A,FALSE,"NOTE PAYMENTS";"NP-Curr Maturity",#N/A,FALSE,"NOTE PAYMENTS";"NP-Interest Exp",#N/A,FALSE,"NOTE PAYMENTS"}</definedName>
    <definedName name="debt_27" hidden="1">{"NP-New Acquisition",#N/A,FALSE,"NOTE PAYMENTS";"NP-Strategic Loan",#N/A,FALSE,"NOTE PAYMENTS";"NP-Tech Loan",#N/A,FALSE,"NOTE PAYMENTS";"NP-Existing Debt",#N/A,FALSE,"NOTE PAYMENTS";"NP-Curr Maturity",#N/A,FALSE,"NOTE PAYMENTS";"NP-Interest Exp",#N/A,FALSE,"NOTE PAYMENTS"}</definedName>
    <definedName name="debt_35" localSheetId="10" hidden="1">{"NP-New Acquisition",#N/A,FALSE,"NOTE PAYMENTS";"NP-Strategic Loan",#N/A,FALSE,"NOTE PAYMENTS";"NP-Tech Loan",#N/A,FALSE,"NOTE PAYMENTS";"NP-Existing Debt",#N/A,FALSE,"NOTE PAYMENTS";"NP-Curr Maturity",#N/A,FALSE,"NOTE PAYMENTS";"NP-Interest Exp",#N/A,FALSE,"NOTE PAYMENTS"}</definedName>
    <definedName name="debt_35" hidden="1">{"NP-New Acquisition",#N/A,FALSE,"NOTE PAYMENTS";"NP-Strategic Loan",#N/A,FALSE,"NOTE PAYMENTS";"NP-Tech Loan",#N/A,FALSE,"NOTE PAYMENTS";"NP-Existing Debt",#N/A,FALSE,"NOTE PAYMENTS";"NP-Curr Maturity",#N/A,FALSE,"NOTE PAYMENTS";"NP-Interest Exp",#N/A,FALSE,"NOTE PAYMENTS"}</definedName>
    <definedName name="debt_5" localSheetId="10" hidden="1">{"NP-New Acquisition",#N/A,FALSE,"NOTE PAYMENTS";"NP-Strategic Loan",#N/A,FALSE,"NOTE PAYMENTS";"NP-Tech Loan",#N/A,FALSE,"NOTE PAYMENTS";"NP-Existing Debt",#N/A,FALSE,"NOTE PAYMENTS";"NP-Curr Maturity",#N/A,FALSE,"NOTE PAYMENTS";"NP-Interest Exp",#N/A,FALSE,"NOTE PAYMENTS"}</definedName>
    <definedName name="debt_5" hidden="1">{"NP-New Acquisition",#N/A,FALSE,"NOTE PAYMENTS";"NP-Strategic Loan",#N/A,FALSE,"NOTE PAYMENTS";"NP-Tech Loan",#N/A,FALSE,"NOTE PAYMENTS";"NP-Existing Debt",#N/A,FALSE,"NOTE PAYMENTS";"NP-Curr Maturity",#N/A,FALSE,"NOTE PAYMENTS";"NP-Interest Exp",#N/A,FALSE,"NOTE PAYMENTS"}</definedName>
    <definedName name="Debt_6" localSheetId="10" hidden="1">{"NP-New Acquisition",#N/A,FALSE,"NOTE PAYMENTS";"NP-Strategic Loan",#N/A,FALSE,"NOTE PAYMENTS";"NP-Tech Loan",#N/A,FALSE,"NOTE PAYMENTS";"NP-Existing Debt",#N/A,FALSE,"NOTE PAYMENTS";"NP-Curr Maturity",#N/A,FALSE,"NOTE PAYMENTS";"NP-Interest Exp",#N/A,FALSE,"NOTE PAYMENTS"}</definedName>
    <definedName name="Debt_6" hidden="1">{"NP-New Acquisition",#N/A,FALSE,"NOTE PAYMENTS";"NP-Strategic Loan",#N/A,FALSE,"NOTE PAYMENTS";"NP-Tech Loan",#N/A,FALSE,"NOTE PAYMENTS";"NP-Existing Debt",#N/A,FALSE,"NOTE PAYMENTS";"NP-Curr Maturity",#N/A,FALSE,"NOTE PAYMENTS";"NP-Interest Exp",#N/A,FALSE,"NOTE PAYMENTS"}</definedName>
    <definedName name="debt_66" localSheetId="10" hidden="1">{"NP-New Acquisition",#N/A,FALSE,"NOTE PAYMENTS";"NP-Strategic Loan",#N/A,FALSE,"NOTE PAYMENTS";"NP-Tech Loan",#N/A,FALSE,"NOTE PAYMENTS";"NP-Existing Debt",#N/A,FALSE,"NOTE PAYMENTS";"NP-Curr Maturity",#N/A,FALSE,"NOTE PAYMENTS";"NP-Interest Exp",#N/A,FALSE,"NOTE PAYMENTS"}</definedName>
    <definedName name="debt_66" hidden="1">{"NP-New Acquisition",#N/A,FALSE,"NOTE PAYMENTS";"NP-Strategic Loan",#N/A,FALSE,"NOTE PAYMENTS";"NP-Tech Loan",#N/A,FALSE,"NOTE PAYMENTS";"NP-Existing Debt",#N/A,FALSE,"NOTE PAYMENTS";"NP-Curr Maturity",#N/A,FALSE,"NOTE PAYMENTS";"NP-Interest Exp",#N/A,FALSE,"NOTE PAYMENTS"}</definedName>
    <definedName name="debt_6666" localSheetId="10" hidden="1">{"NP-New Acquisition",#N/A,FALSE,"NOTE PAYMENTS";"NP-Strategic Loan",#N/A,FALSE,"NOTE PAYMENTS";"NP-Tech Loan",#N/A,FALSE,"NOTE PAYMENTS";"NP-Existing Debt",#N/A,FALSE,"NOTE PAYMENTS";"NP-Curr Maturity",#N/A,FALSE,"NOTE PAYMENTS";"NP-Interest Exp",#N/A,FALSE,"NOTE PAYMENTS"}</definedName>
    <definedName name="debt_6666" hidden="1">{"NP-New Acquisition",#N/A,FALSE,"NOTE PAYMENTS";"NP-Strategic Loan",#N/A,FALSE,"NOTE PAYMENTS";"NP-Tech Loan",#N/A,FALSE,"NOTE PAYMENTS";"NP-Existing Debt",#N/A,FALSE,"NOTE PAYMENTS";"NP-Curr Maturity",#N/A,FALSE,"NOTE PAYMENTS";"NP-Interest Exp",#N/A,FALSE,"NOTE PAYMENTS"}</definedName>
    <definedName name="debt_7" localSheetId="10" hidden="1">{"NP-New Acquisition",#N/A,FALSE,"NOTE PAYMENTS";"NP-Strategic Loan",#N/A,FALSE,"NOTE PAYMENTS";"NP-Tech Loan",#N/A,FALSE,"NOTE PAYMENTS";"NP-Existing Debt",#N/A,FALSE,"NOTE PAYMENTS";"NP-Curr Maturity",#N/A,FALSE,"NOTE PAYMENTS";"NP-Interest Exp",#N/A,FALSE,"NOTE PAYMENTS"}</definedName>
    <definedName name="debt_7" hidden="1">{"NP-New Acquisition",#N/A,FALSE,"NOTE PAYMENTS";"NP-Strategic Loan",#N/A,FALSE,"NOTE PAYMENTS";"NP-Tech Loan",#N/A,FALSE,"NOTE PAYMENTS";"NP-Existing Debt",#N/A,FALSE,"NOTE PAYMENTS";"NP-Curr Maturity",#N/A,FALSE,"NOTE PAYMENTS";"NP-Interest Exp",#N/A,FALSE,"NOTE PAYMENTS"}</definedName>
    <definedName name="debt_8" localSheetId="10" hidden="1">{"NP-New Acquisition",#N/A,FALSE,"NOTE PAYMENTS";"NP-Strategic Loan",#N/A,FALSE,"NOTE PAYMENTS";"NP-Tech Loan",#N/A,FALSE,"NOTE PAYMENTS";"NP-Existing Debt",#N/A,FALSE,"NOTE PAYMENTS";"NP-Curr Maturity",#N/A,FALSE,"NOTE PAYMENTS";"NP-Interest Exp",#N/A,FALSE,"NOTE PAYMENTS"}</definedName>
    <definedName name="debt_8" hidden="1">{"NP-New Acquisition",#N/A,FALSE,"NOTE PAYMENTS";"NP-Strategic Loan",#N/A,FALSE,"NOTE PAYMENTS";"NP-Tech Loan",#N/A,FALSE,"NOTE PAYMENTS";"NP-Existing Debt",#N/A,FALSE,"NOTE PAYMENTS";"NP-Curr Maturity",#N/A,FALSE,"NOTE PAYMENTS";"NP-Interest Exp",#N/A,FALSE,"NOTE PAYMENTS"}</definedName>
    <definedName name="Debt_Exp_to_Sales">#REF!,#REF!</definedName>
    <definedName name="debt_interest">#REF!</definedName>
    <definedName name="debt_ratio">#REF!</definedName>
    <definedName name="Debt_Summ">#REF!</definedName>
    <definedName name="Debt_Summart">#REF!</definedName>
    <definedName name="Debt_Summary">#REF!</definedName>
    <definedName name="debt000" localSheetId="10" hidden="1">{"NP-New Acquisition",#N/A,FALSE,"NOTE PAYMENTS";"NP-Strategic Loan",#N/A,FALSE,"NOTE PAYMENTS";"NP-Tech Loan",#N/A,FALSE,"NOTE PAYMENTS";"NP-Existing Debt",#N/A,FALSE,"NOTE PAYMENTS";"NP-Curr Maturity",#N/A,FALSE,"NOTE PAYMENTS";"NP-Interest Exp",#N/A,FALSE,"NOTE PAYMENTS"}</definedName>
    <definedName name="debt000" hidden="1">{"NP-New Acquisition",#N/A,FALSE,"NOTE PAYMENTS";"NP-Strategic Loan",#N/A,FALSE,"NOTE PAYMENTS";"NP-Tech Loan",#N/A,FALSE,"NOTE PAYMENTS";"NP-Existing Debt",#N/A,FALSE,"NOTE PAYMENTS";"NP-Curr Maturity",#N/A,FALSE,"NOTE PAYMENTS";"NP-Interest Exp",#N/A,FALSE,"NOTE PAYMENTS"}</definedName>
    <definedName name="debt10" localSheetId="10" hidden="1">{"NP-New Acquisition",#N/A,FALSE,"NOTE PAYMENTS";"NP-Strategic Loan",#N/A,FALSE,"NOTE PAYMENTS";"NP-Tech Loan",#N/A,FALSE,"NOTE PAYMENTS";"NP-Existing Debt",#N/A,FALSE,"NOTE PAYMENTS";"NP-Curr Maturity",#N/A,FALSE,"NOTE PAYMENTS";"NP-Interest Exp",#N/A,FALSE,"NOTE PAYMENTS"}</definedName>
    <definedName name="debt10" hidden="1">{"NP-New Acquisition",#N/A,FALSE,"NOTE PAYMENTS";"NP-Strategic Loan",#N/A,FALSE,"NOTE PAYMENTS";"NP-Tech Loan",#N/A,FALSE,"NOTE PAYMENTS";"NP-Existing Debt",#N/A,FALSE,"NOTE PAYMENTS";"NP-Curr Maturity",#N/A,FALSE,"NOTE PAYMENTS";"NP-Interest Exp",#N/A,FALSE,"NOTE PAYMENTS"}</definedName>
    <definedName name="debt11" localSheetId="10" hidden="1">{"NP-New Acquisition",#N/A,FALSE,"NOTE PAYMENTS";"NP-Strategic Loan",#N/A,FALSE,"NOTE PAYMENTS";"NP-Tech Loan",#N/A,FALSE,"NOTE PAYMENTS";"NP-Existing Debt",#N/A,FALSE,"NOTE PAYMENTS";"NP-Curr Maturity",#N/A,FALSE,"NOTE PAYMENTS";"NP-Interest Exp",#N/A,FALSE,"NOTE PAYMENTS"}</definedName>
    <definedName name="debt11" hidden="1">{"NP-New Acquisition",#N/A,FALSE,"NOTE PAYMENTS";"NP-Strategic Loan",#N/A,FALSE,"NOTE PAYMENTS";"NP-Tech Loan",#N/A,FALSE,"NOTE PAYMENTS";"NP-Existing Debt",#N/A,FALSE,"NOTE PAYMENTS";"NP-Curr Maturity",#N/A,FALSE,"NOTE PAYMENTS";"NP-Interest Exp",#N/A,FALSE,"NOTE PAYMENTS"}</definedName>
    <definedName name="debt21" localSheetId="10" hidden="1">{"NP-New Acquisition",#N/A,FALSE,"NOTE PAYMENTS";"NP-Strategic Loan",#N/A,FALSE,"NOTE PAYMENTS";"NP-Tech Loan",#N/A,FALSE,"NOTE PAYMENTS";"NP-Existing Debt",#N/A,FALSE,"NOTE PAYMENTS";"NP-Curr Maturity",#N/A,FALSE,"NOTE PAYMENTS";"NP-Interest Exp",#N/A,FALSE,"NOTE PAYMENTS"}</definedName>
    <definedName name="debt21" hidden="1">{"NP-New Acquisition",#N/A,FALSE,"NOTE PAYMENTS";"NP-Strategic Loan",#N/A,FALSE,"NOTE PAYMENTS";"NP-Tech Loan",#N/A,FALSE,"NOTE PAYMENTS";"NP-Existing Debt",#N/A,FALSE,"NOTE PAYMENTS";"NP-Curr Maturity",#N/A,FALSE,"NOTE PAYMENTS";"NP-Interest Exp",#N/A,FALSE,"NOTE PAYMENTS"}</definedName>
    <definedName name="debt25" localSheetId="10" hidden="1">{"NP-New Acquisition",#N/A,FALSE,"NOTE PAYMENTS";"NP-Strategic Loan",#N/A,FALSE,"NOTE PAYMENTS";"NP-Tech Loan",#N/A,FALSE,"NOTE PAYMENTS";"NP-Existing Debt",#N/A,FALSE,"NOTE PAYMENTS";"NP-Curr Maturity",#N/A,FALSE,"NOTE PAYMENTS";"NP-Interest Exp",#N/A,FALSE,"NOTE PAYMENTS"}</definedName>
    <definedName name="debt25" hidden="1">{"NP-New Acquisition",#N/A,FALSE,"NOTE PAYMENTS";"NP-Strategic Loan",#N/A,FALSE,"NOTE PAYMENTS";"NP-Tech Loan",#N/A,FALSE,"NOTE PAYMENTS";"NP-Existing Debt",#N/A,FALSE,"NOTE PAYMENTS";"NP-Curr Maturity",#N/A,FALSE,"NOTE PAYMENTS";"NP-Interest Exp",#N/A,FALSE,"NOTE PAYMENTS"}</definedName>
    <definedName name="debt26" localSheetId="10" hidden="1">{"NP-New Acquisition",#N/A,FALSE,"NOTE PAYMENTS";"NP-Strategic Loan",#N/A,FALSE,"NOTE PAYMENTS";"NP-Tech Loan",#N/A,FALSE,"NOTE PAYMENTS";"NP-Existing Debt",#N/A,FALSE,"NOTE PAYMENTS";"NP-Curr Maturity",#N/A,FALSE,"NOTE PAYMENTS";"NP-Interest Exp",#N/A,FALSE,"NOTE PAYMENTS"}</definedName>
    <definedName name="debt26" hidden="1">{"NP-New Acquisition",#N/A,FALSE,"NOTE PAYMENTS";"NP-Strategic Loan",#N/A,FALSE,"NOTE PAYMENTS";"NP-Tech Loan",#N/A,FALSE,"NOTE PAYMENTS";"NP-Existing Debt",#N/A,FALSE,"NOTE PAYMENTS";"NP-Curr Maturity",#N/A,FALSE,"NOTE PAYMENTS";"NP-Interest Exp",#N/A,FALSE,"NOTE PAYMENTS"}</definedName>
    <definedName name="debt27" localSheetId="10" hidden="1">{"NP-New Acquisition",#N/A,FALSE,"NOTE PAYMENTS";"NP-Strategic Loan",#N/A,FALSE,"NOTE PAYMENTS";"NP-Tech Loan",#N/A,FALSE,"NOTE PAYMENTS";"NP-Existing Debt",#N/A,FALSE,"NOTE PAYMENTS";"NP-Curr Maturity",#N/A,FALSE,"NOTE PAYMENTS";"NP-Interest Exp",#N/A,FALSE,"NOTE PAYMENTS"}</definedName>
    <definedName name="debt27" hidden="1">{"NP-New Acquisition",#N/A,FALSE,"NOTE PAYMENTS";"NP-Strategic Loan",#N/A,FALSE,"NOTE PAYMENTS";"NP-Tech Loan",#N/A,FALSE,"NOTE PAYMENTS";"NP-Existing Debt",#N/A,FALSE,"NOTE PAYMENTS";"NP-Curr Maturity",#N/A,FALSE,"NOTE PAYMENTS";"NP-Interest Exp",#N/A,FALSE,"NOTE PAYMENTS"}</definedName>
    <definedName name="debt28" localSheetId="10" hidden="1">{"NP-New Acquisition",#N/A,FALSE,"NOTE PAYMENTS";"NP-Strategic Loan",#N/A,FALSE,"NOTE PAYMENTS";"NP-Tech Loan",#N/A,FALSE,"NOTE PAYMENTS";"NP-Existing Debt",#N/A,FALSE,"NOTE PAYMENTS";"NP-Curr Maturity",#N/A,FALSE,"NOTE PAYMENTS";"NP-Interest Exp",#N/A,FALSE,"NOTE PAYMENTS"}</definedName>
    <definedName name="debt28" hidden="1">{"NP-New Acquisition",#N/A,FALSE,"NOTE PAYMENTS";"NP-Strategic Loan",#N/A,FALSE,"NOTE PAYMENTS";"NP-Tech Loan",#N/A,FALSE,"NOTE PAYMENTS";"NP-Existing Debt",#N/A,FALSE,"NOTE PAYMENTS";"NP-Curr Maturity",#N/A,FALSE,"NOTE PAYMENTS";"NP-Interest Exp",#N/A,FALSE,"NOTE PAYMENTS"}</definedName>
    <definedName name="debt35" localSheetId="10" hidden="1">{"NP-New Acquisition",#N/A,FALSE,"NOTE PAYMENTS";"NP-Strategic Loan",#N/A,FALSE,"NOTE PAYMENTS";"NP-Tech Loan",#N/A,FALSE,"NOTE PAYMENTS";"NP-Existing Debt",#N/A,FALSE,"NOTE PAYMENTS";"NP-Curr Maturity",#N/A,FALSE,"NOTE PAYMENTS";"NP-Interest Exp",#N/A,FALSE,"NOTE PAYMENTS"}</definedName>
    <definedName name="debt35" hidden="1">{"NP-New Acquisition",#N/A,FALSE,"NOTE PAYMENTS";"NP-Strategic Loan",#N/A,FALSE,"NOTE PAYMENTS";"NP-Tech Loan",#N/A,FALSE,"NOTE PAYMENTS";"NP-Existing Debt",#N/A,FALSE,"NOTE PAYMENTS";"NP-Curr Maturity",#N/A,FALSE,"NOTE PAYMENTS";"NP-Interest Exp",#N/A,FALSE,"NOTE PAYMENTS"}</definedName>
    <definedName name="debt36" localSheetId="10" hidden="1">{"NP-New Acquisition",#N/A,FALSE,"NOTE PAYMENTS";"NP-Strategic Loan",#N/A,FALSE,"NOTE PAYMENTS";"NP-Tech Loan",#N/A,FALSE,"NOTE PAYMENTS";"NP-Existing Debt",#N/A,FALSE,"NOTE PAYMENTS";"NP-Curr Maturity",#N/A,FALSE,"NOTE PAYMENTS";"NP-Interest Exp",#N/A,FALSE,"NOTE PAYMENTS"}</definedName>
    <definedName name="debt36" hidden="1">{"NP-New Acquisition",#N/A,FALSE,"NOTE PAYMENTS";"NP-Strategic Loan",#N/A,FALSE,"NOTE PAYMENTS";"NP-Tech Loan",#N/A,FALSE,"NOTE PAYMENTS";"NP-Existing Debt",#N/A,FALSE,"NOTE PAYMENTS";"NP-Curr Maturity",#N/A,FALSE,"NOTE PAYMENTS";"NP-Interest Exp",#N/A,FALSE,"NOTE PAYMENTS"}</definedName>
    <definedName name="debt5" localSheetId="10" hidden="1">{"NP-New Acquisition",#N/A,FALSE,"NOTE PAYMENTS";"NP-Strategic Loan",#N/A,FALSE,"NOTE PAYMENTS";"NP-Tech Loan",#N/A,FALSE,"NOTE PAYMENTS";"NP-Existing Debt",#N/A,FALSE,"NOTE PAYMENTS";"NP-Curr Maturity",#N/A,FALSE,"NOTE PAYMENTS";"NP-Interest Exp",#N/A,FALSE,"NOTE PAYMENTS"}</definedName>
    <definedName name="debt5" hidden="1">{"NP-New Acquisition",#N/A,FALSE,"NOTE PAYMENTS";"NP-Strategic Loan",#N/A,FALSE,"NOTE PAYMENTS";"NP-Tech Loan",#N/A,FALSE,"NOTE PAYMENTS";"NP-Existing Debt",#N/A,FALSE,"NOTE PAYMENTS";"NP-Curr Maturity",#N/A,FALSE,"NOTE PAYMENTS";"NP-Interest Exp",#N/A,FALSE,"NOTE PAYMENTS"}</definedName>
    <definedName name="debt6" localSheetId="10" hidden="1">{"NP-New Acquisition",#N/A,FALSE,"NOTE PAYMENTS";"NP-Strategic Loan",#N/A,FALSE,"NOTE PAYMENTS";"NP-Tech Loan",#N/A,FALSE,"NOTE PAYMENTS";"NP-Existing Debt",#N/A,FALSE,"NOTE PAYMENTS";"NP-Curr Maturity",#N/A,FALSE,"NOTE PAYMENTS";"NP-Interest Exp",#N/A,FALSE,"NOTE PAYMENTS"}</definedName>
    <definedName name="debt6" hidden="1">{"NP-New Acquisition",#N/A,FALSE,"NOTE PAYMENTS";"NP-Strategic Loan",#N/A,FALSE,"NOTE PAYMENTS";"NP-Tech Loan",#N/A,FALSE,"NOTE PAYMENTS";"NP-Existing Debt",#N/A,FALSE,"NOTE PAYMENTS";"NP-Curr Maturity",#N/A,FALSE,"NOTE PAYMENTS";"NP-Interest Exp",#N/A,FALSE,"NOTE PAYMENTS"}</definedName>
    <definedName name="debt66" localSheetId="10" hidden="1">{"NP-New Acquisition",#N/A,FALSE,"NOTE PAYMENTS";"NP-Strategic Loan",#N/A,FALSE,"NOTE PAYMENTS";"NP-Tech Loan",#N/A,FALSE,"NOTE PAYMENTS";"NP-Existing Debt",#N/A,FALSE,"NOTE PAYMENTS";"NP-Curr Maturity",#N/A,FALSE,"NOTE PAYMENTS";"NP-Interest Exp",#N/A,FALSE,"NOTE PAYMENTS"}</definedName>
    <definedName name="debt66" hidden="1">{"NP-New Acquisition",#N/A,FALSE,"NOTE PAYMENTS";"NP-Strategic Loan",#N/A,FALSE,"NOTE PAYMENTS";"NP-Tech Loan",#N/A,FALSE,"NOTE PAYMENTS";"NP-Existing Debt",#N/A,FALSE,"NOTE PAYMENTS";"NP-Curr Maturity",#N/A,FALSE,"NOTE PAYMENTS";"NP-Interest Exp",#N/A,FALSE,"NOTE PAYMENTS"}</definedName>
    <definedName name="debt7" localSheetId="10" hidden="1">{"NP-New Acquisition",#N/A,FALSE,"NOTE PAYMENTS";"NP-Strategic Loan",#N/A,FALSE,"NOTE PAYMENTS";"NP-Tech Loan",#N/A,FALSE,"NOTE PAYMENTS";"NP-Existing Debt",#N/A,FALSE,"NOTE PAYMENTS";"NP-Curr Maturity",#N/A,FALSE,"NOTE PAYMENTS";"NP-Interest Exp",#N/A,FALSE,"NOTE PAYMENTS"}</definedName>
    <definedName name="debt7" hidden="1">{"NP-New Acquisition",#N/A,FALSE,"NOTE PAYMENTS";"NP-Strategic Loan",#N/A,FALSE,"NOTE PAYMENTS";"NP-Tech Loan",#N/A,FALSE,"NOTE PAYMENTS";"NP-Existing Debt",#N/A,FALSE,"NOTE PAYMENTS";"NP-Curr Maturity",#N/A,FALSE,"NOTE PAYMENTS";"NP-Interest Exp",#N/A,FALSE,"NOTE PAYMENTS"}</definedName>
    <definedName name="debt8" localSheetId="10" hidden="1">{"NP-New Acquisition",#N/A,FALSE,"NOTE PAYMENTS";"NP-Strategic Loan",#N/A,FALSE,"NOTE PAYMENTS";"NP-Tech Loan",#N/A,FALSE,"NOTE PAYMENTS";"NP-Existing Debt",#N/A,FALSE,"NOTE PAYMENTS";"NP-Curr Maturity",#N/A,FALSE,"NOTE PAYMENTS";"NP-Interest Exp",#N/A,FALSE,"NOTE PAYMENTS"}</definedName>
    <definedName name="debt8" hidden="1">{"NP-New Acquisition",#N/A,FALSE,"NOTE PAYMENTS";"NP-Strategic Loan",#N/A,FALSE,"NOTE PAYMENTS";"NP-Tech Loan",#N/A,FALSE,"NOTE PAYMENTS";"NP-Existing Debt",#N/A,FALSE,"NOTE PAYMENTS";"NP-Curr Maturity",#N/A,FALSE,"NOTE PAYMENTS";"NP-Interest Exp",#N/A,FALSE,"NOTE PAYMENTS"}</definedName>
    <definedName name="DebtSchedule" localSheetId="10">#REF!</definedName>
    <definedName name="DebtSchedule">#REF!</definedName>
    <definedName name="DebtService1" localSheetId="10" hidden="1">{"Outflow 1",#N/A,FALSE,"Outflows-Inflows";"Outflow 2",#N/A,FALSE,"Outflows-Inflows";"Inflow 1",#N/A,FALSE,"Outflows-Inflows";"Inflow 2",#N/A,FALSE,"Outflows-Inflows"}</definedName>
    <definedName name="DebtService1" hidden="1">{"Outflow 1",#N/A,FALSE,"Outflows-Inflows";"Outflow 2",#N/A,FALSE,"Outflows-Inflows";"Inflow 1",#N/A,FALSE,"Outflows-Inflows";"Inflow 2",#N/A,FALSE,"Outflows-Inflows"}</definedName>
    <definedName name="december" localSheetId="10" hidden="1">{#N/A,#N/A,TRUE,"Condensed IS";#N/A,#N/A,TRUE,"Condensed BS";#N/A,#N/A,TRUE,"Outlook";#N/A,#N/A,TRUE,"Condensed CF";#N/A,#N/A,TRUE,"Condensed CF - qtr"}</definedName>
    <definedName name="december" hidden="1">{#N/A,#N/A,TRUE,"Condensed IS";#N/A,#N/A,TRUE,"Condensed BS";#N/A,#N/A,TRUE,"Outlook";#N/A,#N/A,TRUE,"Condensed CF";#N/A,#N/A,TRUE,"Condensed CF - qtr"}</definedName>
    <definedName name="dede" localSheetId="10" hidden="1">{#N/A,#N/A,FALSE,"Pharm";#N/A,#N/A,FALSE,"WWCM"}</definedName>
    <definedName name="dede" hidden="1">{#N/A,#N/A,FALSE,"Pharm";#N/A,#N/A,FALSE,"WWCM"}</definedName>
    <definedName name="DEDED" localSheetId="10" hidden="1">{#N/A,#N/A,FALSE,"Card";#N/A,#N/A,FALSE,"Prav";#N/A,#N/A,FALSE,"Irbe";#N/A,#N/A,FALSE,"Plavix";#N/A,#N/A,FALSE,"Capt";#N/A,#N/A,FALSE,"Fosi"}</definedName>
    <definedName name="DEDED" hidden="1">{#N/A,#N/A,FALSE,"Card";#N/A,#N/A,FALSE,"Prav";#N/A,#N/A,FALSE,"Irbe";#N/A,#N/A,FALSE,"Plavix";#N/A,#N/A,FALSE,"Capt";#N/A,#N/A,FALSE,"Fosi"}</definedName>
    <definedName name="DEDEDZE" localSheetId="10" hidden="1">{#N/A,#N/A,FALSE,"Pharm";#N/A,#N/A,FALSE,"WWCM"}</definedName>
    <definedName name="DEDEDZE" hidden="1">{#N/A,#N/A,FALSE,"Pharm";#N/A,#N/A,FALSE,"WWCM"}</definedName>
    <definedName name="DEDZD" localSheetId="10" hidden="1">{#N/A,#N/A,FALSE,"Pharm";#N/A,#N/A,FALSE,"WWCM"}</definedName>
    <definedName name="DEDZD" hidden="1">{#N/A,#N/A,FALSE,"Pharm";#N/A,#N/A,FALSE,"WWCM"}</definedName>
    <definedName name="DEE" localSheetId="10" hidden="1">{#N/A,#N/A,FALSE,"Pharm";#N/A,#N/A,FALSE,"WWCM"}</definedName>
    <definedName name="DEE" hidden="1">{#N/A,#N/A,FALSE,"Pharm";#N/A,#N/A,FALSE,"WWCM"}</definedName>
    <definedName name="def" localSheetId="10" hidden="1">{#N/A,#N/A,TRUE,"index";#N/A,#N/A,TRUE,"Summary";#N/A,#N/A,TRUE,"Continuing Business";#N/A,#N/A,TRUE,"Disposals";#N/A,#N/A,TRUE,"Acquisitions";#N/A,#N/A,TRUE,"Actual &amp; Plan Reconciliation"}</definedName>
    <definedName name="def" hidden="1">{#N/A,#N/A,TRUE,"index";#N/A,#N/A,TRUE,"Summary";#N/A,#N/A,TRUE,"Continuing Business";#N/A,#N/A,TRUE,"Disposals";#N/A,#N/A,TRUE,"Acquisitions";#N/A,#N/A,TRUE,"Actual &amp; Plan Reconciliation"}</definedName>
    <definedName name="del" localSheetId="10" hidden="1">{"PL1",#N/A,TRUE,"MOFS";"BS1",#N/A,TRUE,"MOFS";"CF",#N/A,TRUE,"MOFS"}</definedName>
    <definedName name="del" hidden="1">{"PL1",#N/A,TRUE,"MOFS";"BS1",#N/A,TRUE,"MOFS";"CF",#N/A,TRUE,"MOFS"}</definedName>
    <definedName name="delete" localSheetId="10" hidden="1">#REF!</definedName>
    <definedName name="delete" hidden="1">#REF!</definedName>
    <definedName name="delete_this" hidden="1">#REF!</definedName>
    <definedName name="delete_this_2" hidden="1">#REF!</definedName>
    <definedName name="delete_this_3" hidden="1">#REF!</definedName>
    <definedName name="delete_this_4" hidden="1">#REF!</definedName>
    <definedName name="delete_this_5" hidden="1">#REF!</definedName>
    <definedName name="delete_this_6" hidden="1">#REF!</definedName>
    <definedName name="delete_this_8" hidden="1">#REF!</definedName>
    <definedName name="delete_this_9" hidden="1">#REF!</definedName>
    <definedName name="delete1" localSheetId="10" hidden="1">{"bs",#N/A,FALSE,"SCF"}</definedName>
    <definedName name="delete1" hidden="1">{"bs",#N/A,FALSE,"SCF"}</definedName>
    <definedName name="delete2" localSheetId="10" hidden="1">{"BALANCE SHEET ACCTS",#N/A,TRUE,"Working Trial Balance";"INCOME STMT ACCTS",#N/A,TRUE,"Working Trial Balance"}</definedName>
    <definedName name="delete2" hidden="1">{"BALANCE SHEET ACCTS",#N/A,TRUE,"Working Trial Balance";"INCOME STMT ACCTS",#N/A,TRUE,"Working Trial Balance"}</definedName>
    <definedName name="DeleteRange" localSheetId="10" hidden="1">#REF!</definedName>
    <definedName name="DeleteRange" localSheetId="9" hidden="1">#REF!</definedName>
    <definedName name="DeleteRange" localSheetId="8" hidden="1">#REF!</definedName>
    <definedName name="DeleteRange" localSheetId="11" hidden="1">#REF!</definedName>
    <definedName name="DeleteRange" localSheetId="16" hidden="1">#REF!</definedName>
    <definedName name="DeleteRange" hidden="1">#REF!</definedName>
    <definedName name="DeleteTable" localSheetId="10" hidden="1">#REF!</definedName>
    <definedName name="DeleteTable" localSheetId="9" hidden="1">#REF!</definedName>
    <definedName name="DeleteTable" localSheetId="8" hidden="1">#REF!</definedName>
    <definedName name="DeleteTable" localSheetId="11" hidden="1">#REF!</definedName>
    <definedName name="DeleteTable" localSheetId="16" hidden="1">#REF!</definedName>
    <definedName name="DeleteTable" hidden="1">#REF!</definedName>
    <definedName name="DeltaColor">#REF!</definedName>
    <definedName name="dem_points">#REF!</definedName>
    <definedName name="dem_w1">#REF!</definedName>
    <definedName name="dem_w2">#REF!</definedName>
    <definedName name="dem_w3">#REF!</definedName>
    <definedName name="dem_w4">#REF!</definedName>
    <definedName name="dem_w5">#REF!</definedName>
    <definedName name="Demographics_Dental_Range" hidden="1">#REF!</definedName>
    <definedName name="Demographics_Medical_Range" hidden="1">#REF!</definedName>
    <definedName name="Dep">#REF!</definedName>
    <definedName name="Depart_Detailed">#REF!</definedName>
    <definedName name="Departments">#REF!</definedName>
    <definedName name="Depreciation">#REF!</definedName>
    <definedName name="deptlist">#REF!</definedName>
    <definedName name="derek.variance" localSheetId="10" hidden="1">{"VARIANCE_Q3",#N/A,FALSE,"BS";"VARIANCE_Q2",#N/A,FALSE,"BS";"VARIANCE_Q1",#N/A,FALSE,"BS";"VARIANCE_FY96",#N/A,FALSE,"BS"}</definedName>
    <definedName name="derek.variance" hidden="1">{"VARIANCE_Q3",#N/A,FALSE,"BS";"VARIANCE_Q2",#N/A,FALSE,"BS";"VARIANCE_Q1",#N/A,FALSE,"BS";"VARIANCE_FY96",#N/A,FALSE,"BS"}</definedName>
    <definedName name="DES" localSheetId="10" hidden="1">{"pt",#N/A,TRUE,"MOFS";"bs",#N/A,TRUE,"MOFS";"cfpt1",#N/A,TRUE,"MOFS";"cfpt2",#N/A,TRUE,"MOFS"}</definedName>
    <definedName name="DES" hidden="1">{"pt",#N/A,TRUE,"MOFS";"bs",#N/A,TRUE,"MOFS";"cfpt1",#N/A,TRUE,"MOFS";"cfpt2",#N/A,TRUE,"MOFS"}</definedName>
    <definedName name="Desantis" localSheetId="10" hidden="1">{#N/A,#N/A,TRUE,"E&amp;Y Cash Flow"}</definedName>
    <definedName name="Desantis" hidden="1">{#N/A,#N/A,TRUE,"E&amp;Y Cash Flow"}</definedName>
    <definedName name="DESC">OFFSET(#REF!,0,0,COUNTA(#REF!),1)</definedName>
    <definedName name="despues" localSheetId="10" hidden="1">{"COM",#N/A,FALSE,"800 10th"}</definedName>
    <definedName name="despues" hidden="1">{"COM",#N/A,FALSE,"800 10th"}</definedName>
    <definedName name="Details" localSheetId="10">#REF!</definedName>
    <definedName name="Details">#REF!</definedName>
    <definedName name="dev_tech" localSheetId="10" hidden="1">#REF!</definedName>
    <definedName name="dev_tech" localSheetId="9" hidden="1">#REF!</definedName>
    <definedName name="dev_tech" localSheetId="8" hidden="1">#REF!</definedName>
    <definedName name="dev_tech" localSheetId="16" hidden="1">#REF!</definedName>
    <definedName name="dev_tech" hidden="1">#REF!</definedName>
    <definedName name="devc" localSheetId="10" hidden="1">{"TOTTEXAS",#N/A,FALSE,"CM"}</definedName>
    <definedName name="devc" hidden="1">{"TOTTEXAS",#N/A,FALSE,"CM"}</definedName>
    <definedName name="DEZLFEZKLHF" localSheetId="10" hidden="1">{#N/A,#N/A,FALSE,"Pharm";#N/A,#N/A,FALSE,"WWCM"}</definedName>
    <definedName name="DEZLFEZKLHF" hidden="1">{#N/A,#N/A,FALSE,"Pharm";#N/A,#N/A,FALSE,"WWCM"}</definedName>
    <definedName name="df" localSheetId="10" hidden="1">{#N/A,#N/A,TRUE,"A";#N/A,#N/A,TRUE,"B";#N/A,#N/A,TRUE,"C";#N/A,#N/A,TRUE,"D";#N/A,#N/A,TRUE,"E"}</definedName>
    <definedName name="df" localSheetId="15" hidden="1">{#N/A,#N/A,TRUE,"A";#N/A,#N/A,TRUE,"B";#N/A,#N/A,TRUE,"C";#N/A,#N/A,TRUE,"D";#N/A,#N/A,TRUE,"E"}</definedName>
    <definedName name="df" hidden="1">{#N/A,#N/A,TRUE,"A";#N/A,#N/A,TRUE,"B";#N/A,#N/A,TRUE,"C";#N/A,#N/A,TRUE,"D";#N/A,#N/A,TRUE,"E"}</definedName>
    <definedName name="df_1"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1" hidden="1">{"cover",#N/A,TRUE,"Cover";"toc7",#N/A,TRUE,"TOC";"over",#N/A,TRUE,"Overview";"ts2",#N/A,TRUE,"Det_Trans_Sum";"ei3",#N/A,TRUE,"Earnings Impact";"ad3",#N/A,TRUE,"accretion dilution";"pfis3",#N/A,TRUE,"Pro Forma Income Statement";"profba",#N/A,TRUE,"Pro Forma Balance Sheet";"acq3",#N/A,TRUE,"Acquirer";"tar3",#N/A,TRUE,"Target"}</definedName>
    <definedName name="df_1_1"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1_1" hidden="1">{"cover",#N/A,TRUE,"Cover";"toc7",#N/A,TRUE,"TOC";"over",#N/A,TRUE,"Overview";"ts2",#N/A,TRUE,"Det_Trans_Sum";"ei3",#N/A,TRUE,"Earnings Impact";"ad3",#N/A,TRUE,"accretion dilution";"pfis3",#N/A,TRUE,"Pro Forma Income Statement";"profba",#N/A,TRUE,"Pro Forma Balance Sheet";"acq3",#N/A,TRUE,"Acquirer";"tar3",#N/A,TRUE,"Target"}</definedName>
    <definedName name="df_2" localSheetId="10" hidden="1">{"cover",#N/A,TRUE,"Cover";"toc7",#N/A,TRUE,"TOC";"over",#N/A,TRUE,"Overview";"ts2",#N/A,TRUE,"Det_Trans_Sum";"ei3",#N/A,TRUE,"Earnings Impact";"ad3",#N/A,TRUE,"accretion dilution";"pfis3",#N/A,TRUE,"Pro Forma Income Statement";"profba",#N/A,TRUE,"Pro Forma Balance Sheet";"acq3",#N/A,TRUE,"Acquirer";"tar3",#N/A,TRUE,"Target"}</definedName>
    <definedName name="df_2" hidden="1">{"cover",#N/A,TRUE,"Cover";"toc7",#N/A,TRUE,"TOC";"over",#N/A,TRUE,"Overview";"ts2",#N/A,TRUE,"Det_Trans_Sum";"ei3",#N/A,TRUE,"Earnings Impact";"ad3",#N/A,TRUE,"accretion dilution";"pfis3",#N/A,TRUE,"Pro Forma Income Statement";"profba",#N/A,TRUE,"Pro Forma Balance Sheet";"acq3",#N/A,TRUE,"Acquirer";"tar3",#N/A,TRUE,"Target"}</definedName>
    <definedName name="dfa" localSheetId="10" hidden="1">{"Annual_Income",#N/A,FALSE,"Report Page";"Balance_Cash_Flow",#N/A,FALSE,"Report Page";"Quarterly_Income",#N/A,FALSE,"Report Page"}</definedName>
    <definedName name="dfa" localSheetId="15" hidden="1">{"Annual_Income",#N/A,FALSE,"Report Page";"Balance_Cash_Flow",#N/A,FALSE,"Report Page";"Quarterly_Income",#N/A,FALSE,"Report Page"}</definedName>
    <definedName name="dfa" hidden="1">{"Annual_Income",#N/A,FALSE,"Report Page";"Balance_Cash_Flow",#N/A,FALSE,"Report Page";"Quarterly_Income",#N/A,FALSE,"Report Page"}</definedName>
    <definedName name="dfad" localSheetId="10" hidden="1">{#N/A,"1",FALSE,"FORM";#N/A,"2",FALSE,"FORM";#N/A,"3",FALSE,"FORM"}</definedName>
    <definedName name="dfad" hidden="1">{#N/A,"1",FALSE,"FORM";#N/A,"2",FALSE,"FORM";#N/A,"3",FALSE,"FORM"}</definedName>
    <definedName name="dfadsth" localSheetId="10" hidden="1">{"AnnInc",#N/A,TRUE,"Inc";"QtrInc1",#N/A,TRUE,"Inc";"Balance",#N/A,TRUE,"Bal";"Cflow",#N/A,TRUE,"Cash"}</definedName>
    <definedName name="dfadsth" hidden="1">{"AnnInc",#N/A,TRUE,"Inc";"QtrInc1",#N/A,TRUE,"Inc";"Balance",#N/A,TRUE,"Bal";"Cflow",#N/A,TRUE,"Cash"}</definedName>
    <definedName name="dfas" localSheetId="10" hidden="1">{#N/A,#N/A,FALSE,"COP CONS SK";#N/A,#N/A,FALSE,"COP CONS RG";#N/A,#N/A,FALSE,"COP CONS SK BC";#N/A,#N/A,FALSE,"COP CONS RG BC";#N/A,#N/A,FALSE,"ALLIANCE SK";#N/A,#N/A,FALSE,"ALLIANCE RG";#N/A,#N/A,FALSE,"CPC SK";#N/A,#N/A,FALSE,"CPC RG"}</definedName>
    <definedName name="dfas" hidden="1">{#N/A,#N/A,FALSE,"COP CONS SK";#N/A,#N/A,FALSE,"COP CONS RG";#N/A,#N/A,FALSE,"COP CONS SK BC";#N/A,#N/A,FALSE,"COP CONS RG BC";#N/A,#N/A,FALSE,"ALLIANCE SK";#N/A,#N/A,FALSE,"ALLIANCE RG";#N/A,#N/A,FALSE,"CPC SK";#N/A,#N/A,FALSE,"CPC RG"}</definedName>
    <definedName name="dfasdf" localSheetId="10" hidden="1">#REF!</definedName>
    <definedName name="dfasdf" hidden="1">#REF!</definedName>
    <definedName name="dfd" localSheetId="10" hidden="1">{"BS",#N/A,FALSE,"USA"}</definedName>
    <definedName name="dfd" localSheetId="15" hidden="1">{"BS",#N/A,FALSE,"USA"}</definedName>
    <definedName name="dfd" hidden="1">{"BS",#N/A,FALSE,"USA"}</definedName>
    <definedName name="dfd_1" localSheetId="10" hidden="1">{"FCB_ALL",#N/A,FALSE,"FCB";"GREY_ALL",#N/A,FALSE,"GREY"}</definedName>
    <definedName name="dfd_1" hidden="1">{"FCB_ALL",#N/A,FALSE,"FCB";"GREY_ALL",#N/A,FALSE,"GREY"}</definedName>
    <definedName name="dfd_2" localSheetId="10" hidden="1">{"FCB_ALL",#N/A,FALSE,"FCB";"GREY_ALL",#N/A,FALSE,"GREY"}</definedName>
    <definedName name="dfd_2" hidden="1">{"FCB_ALL",#N/A,FALSE,"FCB";"GREY_ALL",#N/A,FALSE,"GREY"}</definedName>
    <definedName name="dfd_3" localSheetId="10" hidden="1">{"FCB_ALL",#N/A,FALSE,"FCB";"GREY_ALL",#N/A,FALSE,"GREY"}</definedName>
    <definedName name="dfd_3" hidden="1">{"FCB_ALL",#N/A,FALSE,"FCB";"GREY_ALL",#N/A,FALSE,"GREY"}</definedName>
    <definedName name="dfd_4" localSheetId="10" hidden="1">{"FCB_ALL",#N/A,FALSE,"FCB";"GREY_ALL",#N/A,FALSE,"GREY"}</definedName>
    <definedName name="dfd_4" hidden="1">{"FCB_ALL",#N/A,FALSE,"FCB";"GREY_ALL",#N/A,FALSE,"GREY"}</definedName>
    <definedName name="dfd_5" localSheetId="10" hidden="1">{"FCB_ALL",#N/A,FALSE,"FCB";"GREY_ALL",#N/A,FALSE,"GREY"}</definedName>
    <definedName name="dfd_5" hidden="1">{"FCB_ALL",#N/A,FALSE,"FCB";"GREY_ALL",#N/A,FALSE,"GREY"}</definedName>
    <definedName name="dfdas" localSheetId="10" hidden="1">{"FCB_ALL",#N/A,FALSE,"FCB";"GREY_ALL",#N/A,FALSE,"GREY"}</definedName>
    <definedName name="dfdas" localSheetId="15" hidden="1">{"FCB_ALL",#N/A,FALSE,"FCB";"GREY_ALL",#N/A,FALSE,"GREY"}</definedName>
    <definedName name="dfdas" hidden="1">{"FCB_ALL",#N/A,FALSE,"FCB";"GREY_ALL",#N/A,FALSE,"GREY"}</definedName>
    <definedName name="dfdas_1" localSheetId="10" hidden="1">{"FCB_ALL",#N/A,FALSE,"FCB";"GREY_ALL",#N/A,FALSE,"GREY"}</definedName>
    <definedName name="dfdas_1" hidden="1">{"FCB_ALL",#N/A,FALSE,"FCB";"GREY_ALL",#N/A,FALSE,"GREY"}</definedName>
    <definedName name="dfdas_2" localSheetId="10" hidden="1">{"FCB_ALL",#N/A,FALSE,"FCB";"GREY_ALL",#N/A,FALSE,"GREY"}</definedName>
    <definedName name="dfdas_2" hidden="1">{"FCB_ALL",#N/A,FALSE,"FCB";"GREY_ALL",#N/A,FALSE,"GREY"}</definedName>
    <definedName name="dfdas_3" localSheetId="10" hidden="1">{"FCB_ALL",#N/A,FALSE,"FCB";"GREY_ALL",#N/A,FALSE,"GREY"}</definedName>
    <definedName name="dfdas_3" hidden="1">{"FCB_ALL",#N/A,FALSE,"FCB";"GREY_ALL",#N/A,FALSE,"GREY"}</definedName>
    <definedName name="dfdas_4" localSheetId="10" hidden="1">{"FCB_ALL",#N/A,FALSE,"FCB";"GREY_ALL",#N/A,FALSE,"GREY"}</definedName>
    <definedName name="dfdas_4" hidden="1">{"FCB_ALL",#N/A,FALSE,"FCB";"GREY_ALL",#N/A,FALSE,"GREY"}</definedName>
    <definedName name="dfdas_5" localSheetId="10" hidden="1">{"FCB_ALL",#N/A,FALSE,"FCB";"GREY_ALL",#N/A,FALSE,"GREY"}</definedName>
    <definedName name="dfdas_5" hidden="1">{"FCB_ALL",#N/A,FALSE,"FCB";"GREY_ALL",#N/A,FALSE,"GREY"}</definedName>
    <definedName name="dfdas1" localSheetId="10" hidden="1">{"FCB_ALL",#N/A,FALSE,"FCB";"GREY_ALL",#N/A,FALSE,"GREY"}</definedName>
    <definedName name="dfdas1" localSheetId="15" hidden="1">{"FCB_ALL",#N/A,FALSE,"FCB";"GREY_ALL",#N/A,FALSE,"GREY"}</definedName>
    <definedName name="dfdas1" hidden="1">{"FCB_ALL",#N/A,FALSE,"FCB";"GREY_ALL",#N/A,FALSE,"GREY"}</definedName>
    <definedName name="DFDD" localSheetId="10" hidden="1">{#N/A,#N/A,FALSE,"REPORT"}</definedName>
    <definedName name="DFDD" hidden="1">{#N/A,#N/A,FALSE,"REPORT"}</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0" hidden="1">{"FCB_ALL",#N/A,FALSE,"FCB";"GREY_ALL",#N/A,FALSE,"GREY"}</definedName>
    <definedName name="dfdfd" localSheetId="15" hidden="1">{"FCB_ALL",#N/A,FALSE,"FCB";"GREY_ALL",#N/A,FALSE,"GREY"}</definedName>
    <definedName name="dfdfd" hidden="1">{"FCB_ALL",#N/A,FALSE,"FCB";"GREY_ALL",#N/A,FALSE,"GREY"}</definedName>
    <definedName name="dfdfd_1" localSheetId="10" hidden="1">{"FCB_ALL",#N/A,FALSE,"FCB";"GREY_ALL",#N/A,FALSE,"GREY"}</definedName>
    <definedName name="dfdfd_1" hidden="1">{"FCB_ALL",#N/A,FALSE,"FCB";"GREY_ALL",#N/A,FALSE,"GREY"}</definedName>
    <definedName name="dfdfd_2" localSheetId="10" hidden="1">{"FCB_ALL",#N/A,FALSE,"FCB";"GREY_ALL",#N/A,FALSE,"GREY"}</definedName>
    <definedName name="dfdfd_2" hidden="1">{"FCB_ALL",#N/A,FALSE,"FCB";"GREY_ALL",#N/A,FALSE,"GREY"}</definedName>
    <definedName name="dfdfd_3" localSheetId="10" hidden="1">{"FCB_ALL",#N/A,FALSE,"FCB";"GREY_ALL",#N/A,FALSE,"GREY"}</definedName>
    <definedName name="dfdfd_3" hidden="1">{"FCB_ALL",#N/A,FALSE,"FCB";"GREY_ALL",#N/A,FALSE,"GREY"}</definedName>
    <definedName name="dfdfd_4" localSheetId="10" hidden="1">{"FCB_ALL",#N/A,FALSE,"FCB";"GREY_ALL",#N/A,FALSE,"GREY"}</definedName>
    <definedName name="dfdfd_4" hidden="1">{"FCB_ALL",#N/A,FALSE,"FCB";"GREY_ALL",#N/A,FALSE,"GREY"}</definedName>
    <definedName name="dfdfd_5" localSheetId="10" hidden="1">{"FCB_ALL",#N/A,FALSE,"FCB";"GREY_ALL",#N/A,FALSE,"GREY"}</definedName>
    <definedName name="dfdfd_5" hidden="1">{"FCB_ALL",#N/A,FALSE,"FCB";"GREY_ALL",#N/A,FALSE,"GREY"}</definedName>
    <definedName name="dfdfdd" localSheetId="10" hidden="1">{"FCB_ALL",#N/A,FALSE,"FCB";"GREY_ALL",#N/A,FALSE,"GREY"}</definedName>
    <definedName name="dfdfdd" localSheetId="15" hidden="1">{"FCB_ALL",#N/A,FALSE,"FCB";"GREY_ALL",#N/A,FALSE,"GREY"}</definedName>
    <definedName name="dfdfdd" hidden="1">{"FCB_ALL",#N/A,FALSE,"FCB";"GREY_ALL",#N/A,FALSE,"GREY"}</definedName>
    <definedName name="dfdfdfd" localSheetId="10" hidden="1">{"FCB_ALL",#N/A,FALSE,"FCB"}</definedName>
    <definedName name="dfdfdfd" localSheetId="15" hidden="1">{"FCB_ALL",#N/A,FALSE,"FCB"}</definedName>
    <definedName name="dfdfdfd" hidden="1">{"FCB_ALL",#N/A,FALSE,"FCB"}</definedName>
    <definedName name="dfdfdfd_1" localSheetId="10" hidden="1">{"FCB_ALL",#N/A,FALSE,"FCB"}</definedName>
    <definedName name="dfdfdfd_1" hidden="1">{"FCB_ALL",#N/A,FALSE,"FCB"}</definedName>
    <definedName name="dfdfdfd_2" localSheetId="10" hidden="1">{"FCB_ALL",#N/A,FALSE,"FCB"}</definedName>
    <definedName name="dfdfdfd_2" hidden="1">{"FCB_ALL",#N/A,FALSE,"FCB"}</definedName>
    <definedName name="dfdfdfd_3" localSheetId="10" hidden="1">{"FCB_ALL",#N/A,FALSE,"FCB"}</definedName>
    <definedName name="dfdfdfd_3" hidden="1">{"FCB_ALL",#N/A,FALSE,"FCB"}</definedName>
    <definedName name="dfdfdfd_4" localSheetId="10" hidden="1">{"FCB_ALL",#N/A,FALSE,"FCB"}</definedName>
    <definedName name="dfdfdfd_4" hidden="1">{"FCB_ALL",#N/A,FALSE,"FCB"}</definedName>
    <definedName name="dfdfdfd_5" localSheetId="10" hidden="1">{"FCB_ALL",#N/A,FALSE,"FCB"}</definedName>
    <definedName name="dfdfdfd_5" hidden="1">{"FCB_ALL",#N/A,FALSE,"FCB"}</definedName>
    <definedName name="dfdfdfd1" localSheetId="10" hidden="1">{"FCB_ALL",#N/A,FALSE,"FCB"}</definedName>
    <definedName name="dfdfdfd1" localSheetId="15" hidden="1">{"FCB_ALL",#N/A,FALSE,"FCB"}</definedName>
    <definedName name="dfdfdfd1" hidden="1">{"FCB_ALL",#N/A,FALSE,"FCB"}</definedName>
    <definedName name="dfdfdfldsj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edf" localSheetId="10" hidden="1">{"first",#N/A,FALSE,"FLEXPAC2";"second",#N/A,FALSE,"FLEXPAC2"}</definedName>
    <definedName name="dfdfedf" hidden="1">{"first",#N/A,FALSE,"FLEXPAC2";"second",#N/A,FALSE,"FLEXPAC2"}</definedName>
    <definedName name="dfdsf" localSheetId="10" hidden="1">{"FCB_ALL",#N/A,FALSE,"FCB";"GREY_ALL",#N/A,FALSE,"GREY"}</definedName>
    <definedName name="dfdsf" localSheetId="15" hidden="1">{"FCB_ALL",#N/A,FALSE,"FCB";"GREY_ALL",#N/A,FALSE,"GREY"}</definedName>
    <definedName name="dfdsf" hidden="1">{"FCB_ALL",#N/A,FALSE,"FCB";"GREY_ALL",#N/A,FALSE,"GREY"}</definedName>
    <definedName name="dff" localSheetId="10"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G" localSheetId="10" hidden="1">{#N/A,#N/A,FALSE,"Assumptions";#N/A,#N/A,FALSE,"N-IS-Sum";#N/A,#N/A,FALSE,"N-St-Sum";#N/A,#N/A,FALSE,"Inc Stmt";#N/A,#N/A,FALSE,"Stats"}</definedName>
    <definedName name="DFG" hidden="1">{#N/A,#N/A,FALSE,"Assumptions";#N/A,#N/A,FALSE,"N-IS-Sum";#N/A,#N/A,FALSE,"N-St-Sum";#N/A,#N/A,FALSE,"Inc Stmt";#N/A,#N/A,FALSE,"Stats"}</definedName>
    <definedName name="dfgdfg"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10"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gd" localSheetId="10" hidden="1">{"FCB_ALL",#N/A,FALSE,"FCB"}</definedName>
    <definedName name="dfgdgd" localSheetId="15" hidden="1">{"FCB_ALL",#N/A,FALSE,"FCB"}</definedName>
    <definedName name="dfgdgd" hidden="1">{"FCB_ALL",#N/A,FALSE,"FCB"}</definedName>
    <definedName name="dfgdxfv" localSheetId="10" hidden="1">{"FCB_ALL",#N/A,FALSE,"FCB"}</definedName>
    <definedName name="dfgdxfv" localSheetId="15" hidden="1">{"FCB_ALL",#N/A,FALSE,"FCB"}</definedName>
    <definedName name="dfgdxfv" hidden="1">{"FCB_ALL",#N/A,FALSE,"FCB"}</definedName>
    <definedName name="dfgfdbg"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dfgfdbg" hidden="1">{"cover",#N/A,TRUE,"Cover";"toc6",#N/A,TRUE,"TOC";"over",#N/A,TRUE,"Overview";"ts2",#N/A,TRUE,"Det_Trans_Sum";"ei3c",#N/A,TRUE,"Earnings Impact";"ad3",#N/A,TRUE,"accretion dilution";"hg3",#N/A,TRUE,"Has-Gets";"pfis",#N/A,TRUE,"Pro Forma Income Statement";"ca3",#N/A,TRUE,"Contribution_Analysis";"acq3c",#N/A,TRUE,"Acquirer";"tar3c",#N/A,TRUE,"Target"}</definedName>
    <definedName name="dfgfdg" localSheetId="10"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10"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10"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10"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 localSheetId="10" hidden="1">{#N/A,"PURCHM",FALSE,"Business Analysis";#N/A,"SPADD",FALSE,"Business Analysis"}</definedName>
    <definedName name="dfgh" hidden="1">{#N/A,"PURCHM",FALSE,"Business Analysis";#N/A,"SPADD",FALSE,"Business Analysis"}</definedName>
    <definedName name="dfghdfhdg" localSheetId="10" hidden="1">{#N/A,#N/A,FALSE,"Umsatz 99";#N/A,#N/A,FALSE,"ER 99 "}</definedName>
    <definedName name="dfghdfhdg" hidden="1">{#N/A,#N/A,FALSE,"Umsatz 99";#N/A,#N/A,FALSE,"ER 99 "}</definedName>
    <definedName name="dfgsdf" localSheetId="10" hidden="1">{"FCB_ALL",#N/A,FALSE,"FCB"}</definedName>
    <definedName name="dfgsdf" localSheetId="15" hidden="1">{"FCB_ALL",#N/A,FALSE,"FCB"}</definedName>
    <definedName name="dfgsdf" hidden="1">{"FCB_ALL",#N/A,FALSE,"FCB"}</definedName>
    <definedName name="dfj" localSheetId="10"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k" localSheetId="10"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l" localSheetId="10" hidden="1">{"bs",#N/A,FALSE,"SCF"}</definedName>
    <definedName name="dfjl" hidden="1">{"bs",#N/A,FALSE,"SCF"}</definedName>
    <definedName name="dfjsldf" localSheetId="10"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0" hidden="1">{#N/A,#N/A,FALSE,"Pharm";#N/A,#N/A,FALSE,"WWCM"}</definedName>
    <definedName name="dfr" hidden="1">{#N/A,#N/A,FALSE,"Pharm";#N/A,#N/A,FALSE,"WWCM"}</definedName>
    <definedName name="dfre"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E" localSheetId="10" hidden="1">{"Material",#N/A,TRUE,"Summary";"Mfg",#N/A,TRUE,"Summary";"mfgbymo",#N/A,TRUE,"By Month";"Mtlbymo",#N/A,TRUE,"By Month"}</definedName>
    <definedName name="DFREE" hidden="1">{"Material",#N/A,TRUE,"Summary";"Mfg",#N/A,TRUE,"Summary";"mfgbymo",#N/A,TRUE,"By Month";"Mtlbymo",#N/A,TRUE,"By Month"}</definedName>
    <definedName name="DFREE_1" localSheetId="10" hidden="1">{"Material",#N/A,TRUE,"Summary";"Mfg",#N/A,TRUE,"Summary";"mfgbymo",#N/A,TRUE,"By Month";"Mtlbymo",#N/A,TRUE,"By Month"}</definedName>
    <definedName name="DFREE_1" hidden="1">{"Material",#N/A,TRUE,"Summary";"Mfg",#N/A,TRUE,"Summary";"mfgbymo",#N/A,TRUE,"By Month";"Mtlbymo",#N/A,TRUE,"By Month"}</definedName>
    <definedName name="DFREE_1_1" localSheetId="10" hidden="1">{"Material",#N/A,TRUE,"Summary";"Mfg",#N/A,TRUE,"Summary";"mfgbymo",#N/A,TRUE,"By Month";"Mtlbymo",#N/A,TRUE,"By Month"}</definedName>
    <definedName name="DFREE_1_1" hidden="1">{"Material",#N/A,TRUE,"Summary";"Mfg",#N/A,TRUE,"Summary";"mfgbymo",#N/A,TRUE,"By Month";"Mtlbymo",#N/A,TRUE,"By Month"}</definedName>
    <definedName name="DFREE_2" localSheetId="10" hidden="1">{"Material",#N/A,TRUE,"Summary";"Mfg",#N/A,TRUE,"Summary";"mfgbymo",#N/A,TRUE,"By Month";"Mtlbymo",#N/A,TRUE,"By Month"}</definedName>
    <definedName name="DFREE_2" hidden="1">{"Material",#N/A,TRUE,"Summary";"Mfg",#N/A,TRUE,"Summary";"mfgbymo",#N/A,TRUE,"By Month";"Mtlbymo",#N/A,TRUE,"By Month"}</definedName>
    <definedName name="dfsa" hidden="1">#REF!</definedName>
    <definedName name="dfsafdsa" hidden="1">#REF!</definedName>
    <definedName name="dfsd"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sf" localSheetId="10"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dfsr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dfvsdfv" hidden="1">#REF!</definedName>
    <definedName name="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bdsfgrsd" localSheetId="10" hidden="1">{"profit statement",#N/A,FALSE,"P&amp;L STATEMENT"}</definedName>
    <definedName name="dgbdsfgrsd" hidden="1">{"profit statement",#N/A,FALSE,"P&amp;L STATEMENT"}</definedName>
    <definedName name="dgdg" localSheetId="10" hidden="1">{#N/A,#N/A,FALSE,"Calc";#N/A,#N/A,FALSE,"Sensitivity";#N/A,#N/A,FALSE,"LT Earn.Dil.";#N/A,#N/A,FALSE,"Dil. AVP"}</definedName>
    <definedName name="dgdg" localSheetId="15" hidden="1">{#N/A,#N/A,FALSE,"Calc";#N/A,#N/A,FALSE,"Sensitivity";#N/A,#N/A,FALSE,"LT Earn.Dil.";#N/A,#N/A,FALSE,"Dil. AVP"}</definedName>
    <definedName name="dgdg" hidden="1">{#N/A,#N/A,FALSE,"Calc";#N/A,#N/A,FALSE,"Sensitivity";#N/A,#N/A,FALSE,"LT Earn.Dil.";#N/A,#N/A,FALSE,"Dil. AVP"}</definedName>
    <definedName name="dgdgss" localSheetId="10" hidden="1">{"consolidated",#N/A,FALSE,"Sheet1";"cms",#N/A,FALSE,"Sheet1";"fse",#N/A,FALSE,"Sheet1"}</definedName>
    <definedName name="dgdgss" localSheetId="15" hidden="1">{"consolidated",#N/A,FALSE,"Sheet1";"cms",#N/A,FALSE,"Sheet1";"fse",#N/A,FALSE,"Sheet1"}</definedName>
    <definedName name="dgdgss" hidden="1">{"consolidated",#N/A,FALSE,"Sheet1";"cms",#N/A,FALSE,"Sheet1";"fse",#N/A,FALSE,"Sheet1"}</definedName>
    <definedName name="dgf" localSheetId="10" hidden="1">{#N/A,#N/A,FALSE,"Projections";#N/A,#N/A,FALSE,"Multiples Valuation";#N/A,#N/A,FALSE,"LBO";#N/A,#N/A,FALSE,"Multiples_Sensitivity";#N/A,#N/A,FALSE,"Summary"}</definedName>
    <definedName name="dgf" localSheetId="15" hidden="1">{#N/A,#N/A,FALSE,"Projections";#N/A,#N/A,FALSE,"Multiples Valuation";#N/A,#N/A,FALSE,"LBO";#N/A,#N/A,FALSE,"Multiples_Sensitivity";#N/A,#N/A,FALSE,"Summary"}</definedName>
    <definedName name="dgf" hidden="1">{#N/A,#N/A,FALSE,"Projections";#N/A,#N/A,FALSE,"Multiples Valuation";#N/A,#N/A,FALSE,"LBO";#N/A,#N/A,FALSE,"Multiples_Sensitivity";#N/A,#N/A,FALSE,"Summary"}</definedName>
    <definedName name="dgfhdjhj" hidden="1">#REF!</definedName>
    <definedName name="dgfhgf" localSheetId="10" hidden="1">{#N/A,#N/A,FALSE,"ORIX CSC"}</definedName>
    <definedName name="dgfhgf" hidden="1">{#N/A,#N/A,FALSE,"ORIX CSC"}</definedName>
    <definedName name="dghgh" localSheetId="10"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tdf" localSheetId="10" hidden="1">{"FCB_ALL",#N/A,FALSE,"FCB"}</definedName>
    <definedName name="dgtdf" localSheetId="15" hidden="1">{"FCB_ALL",#N/A,FALSE,"FCB"}</definedName>
    <definedName name="dgtdf" hidden="1">{"FCB_ALL",#N/A,FALSE,"FCB"}</definedName>
    <definedName name="dhdh" localSheetId="10" hidden="1">{#N/A,#N/A,TRUE,"Table1";#N/A,#N/A,TRUE,"Table2";#N/A,#N/A,TRUE,"Table3";#N/A,#N/A,TRUE,"Table4";#N/A,#N/A,TRUE,"Table5";#N/A,#N/A,TRUE,"Table6";#N/A,#N/A,TRUE,"Table7";#N/A,#N/A,TRUE,"Table8";#N/A,#N/A,TRUE,"Table9";#N/A,#N/A,TRUE,"Table10";#N/A,#N/A,TRUE,"Table11";#N/A,#N/A,TRUE,"Table12";#N/A,#N/A,TRUE,"Table13";#N/A,#N/A,TRUE,"Table14"}</definedName>
    <definedName name="dhdh" hidden="1">{#N/A,#N/A,TRUE,"Table1";#N/A,#N/A,TRUE,"Table2";#N/A,#N/A,TRUE,"Table3";#N/A,#N/A,TRUE,"Table4";#N/A,#N/A,TRUE,"Table5";#N/A,#N/A,TRUE,"Table6";#N/A,#N/A,TRUE,"Table7";#N/A,#N/A,TRUE,"Table8";#N/A,#N/A,TRUE,"Table9";#N/A,#N/A,TRUE,"Table10";#N/A,#N/A,TRUE,"Table11";#N/A,#N/A,TRUE,"Table12";#N/A,#N/A,TRUE,"Table13";#N/A,#N/A,TRUE,"Table14"}</definedName>
    <definedName name="dhgdh" localSheetId="10" hidden="1">{"mgmt forecast",#N/A,FALSE,"Mgmt Forecast";"dcf table",#N/A,FALSE,"Mgmt Forecast";"sensitivity",#N/A,FALSE,"Mgmt Forecast";"table inputs",#N/A,FALSE,"Mgmt Forecast";"calculations",#N/A,FALSE,"Mgmt Forecast"}</definedName>
    <definedName name="dhgdh" hidden="1">{"mgmt forecast",#N/A,FALSE,"Mgmt Forecast";"dcf table",#N/A,FALSE,"Mgmt Forecast";"sensitivity",#N/A,FALSE,"Mgmt Forecast";"table inputs",#N/A,FALSE,"Mgmt Forecast";"calculations",#N/A,FALSE,"Mgmt Forecast"}</definedName>
    <definedName name="Difference">#REF!</definedName>
    <definedName name="Differences" localSheetId="10" hidden="1">{"Operating Data",#N/A,TRUE,"Sheet1";"Valuation Matrix",#N/A,TRUE,"Sheet1";"Sales Analysis",#N/A,TRUE,"Sheet1";"Closed Remodelled New",#N/A,TRUE,"Sheet1";"Competitive and FSP",#N/A,TRUE,"Sheet1";"Working Capital and Capex",#N/A,TRUE,"Sheet1";"depreciation",#N/A,TRUE,"Sheet1"}</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fferentEndpointColors" localSheetId="10">#REF!</definedName>
    <definedName name="DifferentEndpointColors">#REF!</definedName>
    <definedName name="DifferentNegativeColors" localSheetId="10">#REF!</definedName>
    <definedName name="DifferentNegativeColors">#REF!</definedName>
    <definedName name="Dimension" localSheetId="10">#REF!</definedName>
    <definedName name="Dimension">#REF!</definedName>
    <definedName name="Disaggregations">#REF!</definedName>
    <definedName name="DiscRate">#REF!</definedName>
    <definedName name="display_area_2">#REF!</definedName>
    <definedName name="DivISList">#REF!</definedName>
    <definedName name="djd"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ioejwio" localSheetId="10" hidden="1">{#N/A,#N/A,FALSE,"COVER";#N/A,#N/A,FALSE,"SUMP&amp;L";#N/A,#N/A,FALSE,"SUBSP&amp;L";#N/A,#N/A,FALSE,"SALESANAL"}</definedName>
    <definedName name="djioejwio" hidden="1">{#N/A,#N/A,FALSE,"COVER";#N/A,#N/A,FALSE,"SUMP&amp;L";#N/A,#N/A,FALSE,"SUBSP&amp;L";#N/A,#N/A,FALSE,"SALESANAL"}</definedName>
    <definedName name="djioejwio1" localSheetId="10" hidden="1">{#N/A,#N/A,FALSE,"COVER";#N/A,#N/A,FALSE,"SUMP&amp;L";#N/A,#N/A,FALSE,"SUBSP&amp;L";#N/A,#N/A,FALSE,"SALESANAL"}</definedName>
    <definedName name="djioejwio1" hidden="1">{#N/A,#N/A,FALSE,"COVER";#N/A,#N/A,FALSE,"SUMP&amp;L";#N/A,#N/A,FALSE,"SUBSP&amp;L";#N/A,#N/A,FALSE,"SALESANAL"}</definedName>
    <definedName name="DJK" localSheetId="10" hidden="1">{"bs",#N/A,FALSE,"SCF"}</definedName>
    <definedName name="DJK" hidden="1">{"bs",#N/A,FALSE,"SCF"}</definedName>
    <definedName name="djksljd" localSheetId="10" hidden="1">{#N/A,#N/A,FALSE,"Other";#N/A,#N/A,FALSE,"Ace";#N/A,#N/A,FALSE,"Derm"}</definedName>
    <definedName name="djksljd" hidden="1">{#N/A,#N/A,FALSE,"Other";#N/A,#N/A,FALSE,"Ace";#N/A,#N/A,FALSE,"Derm"}</definedName>
    <definedName name="dk" localSheetId="10"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fjdf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0" hidden="1">{#N/A,#N/A,FALSE,"Pharm";#N/A,#N/A,FALSE,"WWCM"}</definedName>
    <definedName name="dkgahirghigf" hidden="1">{#N/A,#N/A,FALSE,"Pharm";#N/A,#N/A,FALSE,"WWCM"}</definedName>
    <definedName name="dkj"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opwdk" localSheetId="10" hidden="1">{0,0,0,0;0,0,0,0;0,0,0,0;0,0,0,0}</definedName>
    <definedName name="dkopwdk" hidden="1">{0,0,0,0;0,0,0,0;0,0,0,0;0,0,0,0}</definedName>
    <definedName name="dkow" hidden="1">#REF!</definedName>
    <definedName name="dkoweko" localSheetId="10" hidden="1">{#N/A,#N/A,FALSE,"COVER";#N/A,#N/A,FALSE,"SUMP&amp;L";#N/A,#N/A,FALSE,"SUBSP&amp;L";#N/A,#N/A,FALSE,"SALESANAL"}</definedName>
    <definedName name="dkoweko" hidden="1">{#N/A,#N/A,FALSE,"COVER";#N/A,#N/A,FALSE,"SUMP&amp;L";#N/A,#N/A,FALSE,"SUBSP&amp;L";#N/A,#N/A,FALSE,"SALESANAL"}</definedName>
    <definedName name="dkpw" hidden="1">#REF!</definedName>
    <definedName name="dks" hidden="1">#REF!</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O" localSheetId="10" hidden="1">{#N/A,#N/A,FALSE,"NPsch"}</definedName>
    <definedName name="DO" hidden="1">{#N/A,#N/A,FALSE,"NPsch"}</definedName>
    <definedName name="docall">"Services "</definedName>
    <definedName name="dog" localSheetId="10" hidden="1">{"Assumptions",#N/A,FALSE,"Sheet1";"Main Report",#N/A,FALSE,"Sheet1";"Results",#N/A,FALSE,"Sheet1";"Advances",#N/A,FALSE,"Sheet1"}</definedName>
    <definedName name="dog" localSheetId="15" hidden="1">{"Assumptions",#N/A,FALSE,"Sheet1";"Main Report",#N/A,FALSE,"Sheet1";"Results",#N/A,FALSE,"Sheet1";"Advances",#N/A,FALSE,"Sheet1"}</definedName>
    <definedName name="dog" hidden="1">{"Assumptions",#N/A,FALSE,"Sheet1";"Main Report",#N/A,FALSE,"Sheet1";"Results",#N/A,FALSE,"Sheet1";"Advances",#N/A,FALSE,"Sheet1"}</definedName>
    <definedName name="doh" localSheetId="10"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h_1" localSheetId="10" hidden="1">{#N/A,#N/A,FALSE,"TS";#N/A,#N/A,FALSE,"Combo";#N/A,#N/A,FALSE,"FAIR";#N/A,#N/A,FALSE,"RBC";#N/A,#N/A,FALSE,"xxxx";#N/A,#N/A,FALSE,"A_D";#N/A,#N/A,FALSE,"WACC";#N/A,#N/A,FALSE,"DCF";#N/A,#N/A,FALSE,"LBO";#N/A,#N/A,FALSE,"AcqMults";#N/A,#N/A,FALSE,"CompMults"}</definedName>
    <definedName name="doh_1" hidden="1">{#N/A,#N/A,FALSE,"TS";#N/A,#N/A,FALSE,"Combo";#N/A,#N/A,FALSE,"FAIR";#N/A,#N/A,FALSE,"RBC";#N/A,#N/A,FALSE,"xxxx";#N/A,#N/A,FALSE,"A_D";#N/A,#N/A,FALSE,"WACC";#N/A,#N/A,FALSE,"DCF";#N/A,#N/A,FALSE,"LBO";#N/A,#N/A,FALSE,"AcqMults";#N/A,#N/A,FALSE,"CompMults"}</definedName>
    <definedName name="dona" localSheetId="10" hidden="1">{"F3 Presentation",#N/A,FALSE,"F3 ";"F3 detail",#N/A,FALSE,"F3 "}</definedName>
    <definedName name="dona" hidden="1">{"F3 Presentation",#N/A,FALSE,"F3 ";"F3 detail",#N/A,FALSE,"F3 "}</definedName>
    <definedName name="Donald" localSheetId="10" hidden="1">{#N/A,#N/A,FALSE,"Other";#N/A,#N/A,FALSE,"Corp. Dev.";#N/A,#N/A,FALSE,"Alloc. E.B. &amp; Occy";"Quarter",#N/A,FALSE,"Side by Side"}</definedName>
    <definedName name="Donald" hidden="1">{#N/A,#N/A,FALSE,"Other";#N/A,#N/A,FALSE,"Corp. Dev.";#N/A,#N/A,FALSE,"Alloc. E.B. &amp; Occy";"Quarter",#N/A,FALSE,"Side by Side"}</definedName>
    <definedName name="dp"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dp" hidden="1">{#N/A,#N/A,FALSE,"Projections";#N/A,#N/A,FALSE,"AccrDil";#N/A,#N/A,FALSE,"PurchPriMult";#N/A,#N/A,FALSE,"Mults7_13";#N/A,#N/A,FALSE,"Mkt Mults";#N/A,#N/A,FALSE,"Acq Mults";#N/A,#N/A,FALSE,"StockPrices";#N/A,#N/A,FALSE,"Prem Paid";#N/A,#N/A,FALSE,"DCF";#N/A,#N/A,FALSE,"AUTO";#N/A,#N/A,FALSE,"Relative Trading";#N/A,#N/A,FALSE,"Mkt Val";#N/A,#N/A,FALSE,"Acq Val"}</definedName>
    <definedName name="dq" localSheetId="10" hidden="1">{"Comp_of_Price_Effect",#N/A,FALSE,"QTRDPVAR"}</definedName>
    <definedName name="dq" hidden="1">{"Comp_of_Price_Effect",#N/A,FALSE,"QTRDPVAR"}</definedName>
    <definedName name="DRD_other" hidden="1">#REF!</definedName>
    <definedName name="dre" localSheetId="10"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fasef" localSheetId="10">#REF!</definedName>
    <definedName name="drfasef">#REF!</definedName>
    <definedName name="drgd" localSheetId="10" hidden="1">{"FCB_ALL",#N/A,FALSE,"FCB"}</definedName>
    <definedName name="drgd" localSheetId="15" hidden="1">{"FCB_ALL",#N/A,FALSE,"FCB"}</definedName>
    <definedName name="drgd" hidden="1">{"FCB_ALL",#N/A,FALSE,"FCB"}</definedName>
    <definedName name="DrillDownBOBSIKeyStats" hidden="1">#REF!</definedName>
    <definedName name="DrillDownRow17Row27SIKeyStats" hidden="1">#REF!</definedName>
    <definedName name="drtd" localSheetId="10" hidden="1">{"FCB_ALL",#N/A,FALSE,"FCB"}</definedName>
    <definedName name="drtd" localSheetId="15" hidden="1">{"FCB_ALL",#N/A,FALSE,"FCB"}</definedName>
    <definedName name="drtd" hidden="1">{"FCB_ALL",#N/A,FALSE,"FCB"}</definedName>
    <definedName name="drtg" localSheetId="10" hidden="1">{"FCB_ALL",#N/A,FALSE,"FCB"}</definedName>
    <definedName name="drtg" localSheetId="15" hidden="1">{"FCB_ALL",#N/A,FALSE,"FCB"}</definedName>
    <definedName name="drtg" hidden="1">{"FCB_ALL",#N/A,FALSE,"FCB"}</definedName>
    <definedName name="drtgdg" localSheetId="10" hidden="1">{"FCB_ALL",#N/A,FALSE,"FCB"}</definedName>
    <definedName name="drtgdg" localSheetId="15" hidden="1">{"FCB_ALL",#N/A,FALSE,"FCB"}</definedName>
    <definedName name="drtgdg" hidden="1">{"FCB_ALL",#N/A,FALSE,"FCB"}</definedName>
    <definedName name="drw" localSheetId="10" hidden="1">{"PAGE 1",#N/A,FALSE,"COS";"PAGE 2",#N/A,FALSE,"COS";"PAGE 3",#N/A,FALSE,"COS"}</definedName>
    <definedName name="drw" hidden="1">{"PAGE 1",#N/A,FALSE,"COS";"PAGE 2",#N/A,FALSE,"COS";"PAGE 3",#N/A,FALSE,"COS"}</definedName>
    <definedName name="ds" localSheetId="10" hidden="1">#REF!</definedName>
    <definedName name="ds" localSheetId="9" hidden="1">#REF!</definedName>
    <definedName name="ds" localSheetId="8" hidden="1">#REF!</definedName>
    <definedName name="ds" localSheetId="16" hidden="1">#REF!</definedName>
    <definedName name="ds" hidden="1">#REF!</definedName>
    <definedName name="DSA">#REF!</definedName>
    <definedName name="dsaf" localSheetId="10"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10"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10" hidden="1">{"COMBINED94",#N/A,FALSE,"BALANCE SHEET";"KRONE94",#N/A,FALSE,"BALANCE SHEET";"PENNTECH94",#N/A,FALSE,"BALANCE SHEET";"INTERSYSTEMS94",#N/A,FALSE,"BALANCE SHEET";"COMBINED94",#N/A,FALSE,"USCASH";"KRONE94",#N/A,FALSE,"USCASH";"PENNTECH94",#N/A,FALSE,"USCASH";"INTERSYSTEMS94",#N/A,FALSE,"USCASH"}</definedName>
    <definedName name="dsafd" localSheetId="15" hidden="1">{"COMBINED94",#N/A,FALSE,"BALANCE SHEET";"KRONE94",#N/A,FALSE,"BALANCE SHEET";"PENNTECH94",#N/A,FALSE,"BALANCE SHEET";"INTERSYSTEMS94",#N/A,FALSE,"BALANCE SHEET";"COMBINED94",#N/A,FALSE,"USCASH";"KRONE94",#N/A,FALSE,"USCASH";"PENNTECH94",#N/A,FALSE,"USCASH";"INTERSYSTEMS94",#N/A,FALSE,"USCASH"}</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lkj" localSheetId="10" hidden="1">{"FCB_ALL",#N/A,FALSE,"FCB";"GREY_ALL",#N/A,FALSE,"GREY"}</definedName>
    <definedName name="dsaflkj" localSheetId="15" hidden="1">{"FCB_ALL",#N/A,FALSE,"FCB";"GREY_ALL",#N/A,FALSE,"GREY"}</definedName>
    <definedName name="dsaflkj" hidden="1">{"FCB_ALL",#N/A,FALSE,"FCB";"GREY_ALL",#N/A,FALSE,"GREY"}</definedName>
    <definedName name="dsaflkje" localSheetId="10" hidden="1">{"FCB_ALL",#N/A,FALSE,"FCB"}</definedName>
    <definedName name="dsaflkje" localSheetId="15" hidden="1">{"FCB_ALL",#N/A,FALSE,"FCB"}</definedName>
    <definedName name="dsaflkje" hidden="1">{"FCB_ALL",#N/A,FALSE,"FCB"}</definedName>
    <definedName name="dsafwlekj" localSheetId="10" hidden="1">{"FCB_ALL",#N/A,FALSE,"FCB";"GREY_ALL",#N/A,FALSE,"GREY"}</definedName>
    <definedName name="dsafwlekj" localSheetId="15" hidden="1">{"FCB_ALL",#N/A,FALSE,"FCB";"GREY_ALL",#N/A,FALSE,"GREY"}</definedName>
    <definedName name="dsafwlekj" hidden="1">{"FCB_ALL",#N/A,FALSE,"FCB";"GREY_ALL",#N/A,FALSE,"GREY"}</definedName>
    <definedName name="dsd" localSheetId="10" hidden="1">#REF!</definedName>
    <definedName name="dsd" localSheetId="9" hidden="1">#REF!</definedName>
    <definedName name="dsd" localSheetId="8" hidden="1">#REF!</definedName>
    <definedName name="dsd" localSheetId="16" hidden="1">#REF!</definedName>
    <definedName name="dsd" hidden="1">#REF!</definedName>
    <definedName name="DSD.CALCS">#REF!</definedName>
    <definedName name="DSD.DP">#REF!</definedName>
    <definedName name="DSD.Sales">#REF!</definedName>
    <definedName name="dsdafgsa" localSheetId="10"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e" localSheetId="10" hidden="1">{"YTDACT",#N/A,FALSE,"YTD Cum";"YTDBUD",#N/A,FALSE,"YTD Cum";"YTDPRIOR",#N/A,FALSE,"YTD Cum"}</definedName>
    <definedName name="dse" hidden="1">{"YTDACT",#N/A,FALSE,"YTD Cum";"YTDBUD",#N/A,FALSE,"YTD Cum";"YTDPRIOR",#N/A,FALSE,"YTD Cum"}</definedName>
    <definedName name="dsea" localSheetId="10" hidden="1">{"FCB_ALL",#N/A,FALSE,"FCB"}</definedName>
    <definedName name="dsea" localSheetId="15" hidden="1">{"FCB_ALL",#N/A,FALSE,"FCB"}</definedName>
    <definedName name="dsea" hidden="1">{"FCB_ALL",#N/A,FALSE,"FCB"}</definedName>
    <definedName name="dsfgr" localSheetId="10" hidden="1">{"FCB_ALL",#N/A,FALSE,"FCB"}</definedName>
    <definedName name="dsfgr" localSheetId="15" hidden="1">{"FCB_ALL",#N/A,FALSE,"FCB"}</definedName>
    <definedName name="dsfgr" hidden="1">{"FCB_ALL",#N/A,FALSE,"FCB"}</definedName>
    <definedName name="dsfsf" localSheetId="10" hidden="1">{"detail",#N/A,FALSE,"mfg";"summary",#N/A,FALSE,"mfg"}</definedName>
    <definedName name="dsfsf" hidden="1">{"detail",#N/A,FALSE,"mfg";"summary",#N/A,FALSE,"mfg"}</definedName>
    <definedName name="dsfsffss" localSheetId="10" hidden="1">{#N/A,#N/A,FALSE,"Pharm";#N/A,#N/A,FALSE,"WWCM"}</definedName>
    <definedName name="dsfsffss" hidden="1">{#N/A,#N/A,FALSE,"Pharm";#N/A,#N/A,FALSE,"WWCM"}</definedName>
    <definedName name="dsg" localSheetId="10" hidden="1">{#N/A,#N/A,FALSE,"Calc";#N/A,#N/A,FALSE,"Sensitivity";#N/A,#N/A,FALSE,"LT Earn.Dil.";#N/A,#N/A,FALSE,"Dil. AVP"}</definedName>
    <definedName name="dsg" localSheetId="15" hidden="1">{#N/A,#N/A,FALSE,"Calc";#N/A,#N/A,FALSE,"Sensitivity";#N/A,#N/A,FALSE,"LT Earn.Dil.";#N/A,#N/A,FALSE,"Dil. AVP"}</definedName>
    <definedName name="dsg" hidden="1">{#N/A,#N/A,FALSE,"Calc";#N/A,#N/A,FALSE,"Sensitivity";#N/A,#N/A,FALSE,"LT Earn.Dil.";#N/A,#N/A,FALSE,"Dil. AVP"}</definedName>
    <definedName name="dsgfhgfv" localSheetId="10"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GGGGGGGGGGGG" hidden="1">#REF!</definedName>
    <definedName name="DSM_WRN.FRP" localSheetId="10"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_WRN.FRP_1" localSheetId="10" hidden="1">{#N/A,#N/A,FALSE,"Title";#N/A,#N/A,FALSE,"Index";#N/A,#N/A,FALSE,"1";#N/A,#N/A,FALSE,"2";#N/A,#N/A,FALSE,"3";#N/A,#N/A,FALSE,"4";#N/A,#N/A,FALSE,"5";#N/A,#N/A,FALSE,"6";#N/A,#N/A,FALSE,"7";#N/A,#N/A,FALSE,"8"}</definedName>
    <definedName name="DSM_WRN.FRP_1" hidden="1">{#N/A,#N/A,FALSE,"Title";#N/A,#N/A,FALSE,"Index";#N/A,#N/A,FALSE,"1";#N/A,#N/A,FALSE,"2";#N/A,#N/A,FALSE,"3";#N/A,#N/A,FALSE,"4";#N/A,#N/A,FALSE,"5";#N/A,#N/A,FALSE,"6";#N/A,#N/A,FALSE,"7";#N/A,#N/A,FALSE,"8"}</definedName>
    <definedName name="DSMWRN.QUARTFRP" localSheetId="10"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MWRN.QUARTFRP_1" localSheetId="10" hidden="1">{#N/A,#N/A,FALSE,"Title";#N/A,#N/A,FALSE,"Index";#N/A,#N/A,FALSE,"1";#N/A,#N/A,FALSE,"2";#N/A,#N/A,FALSE,"3";#N/A,#N/A,FALSE,"4";#N/A,#N/A,FALSE,"5";#N/A,#N/A,FALSE,"5A";#N/A,#N/A,FALSE,"6";#N/A,#N/A,FALSE,"7";#N/A,#N/A,FALSE,"8"}</definedName>
    <definedName name="DSMWRN.QUARTFRP_1" hidden="1">{#N/A,#N/A,FALSE,"Title";#N/A,#N/A,FALSE,"Index";#N/A,#N/A,FALSE,"1";#N/A,#N/A,FALSE,"2";#N/A,#N/A,FALSE,"3";#N/A,#N/A,FALSE,"4";#N/A,#N/A,FALSE,"5";#N/A,#N/A,FALSE,"5A";#N/A,#N/A,FALSE,"6";#N/A,#N/A,FALSE,"7";#N/A,#N/A,FALSE,"8"}</definedName>
    <definedName name="dss" localSheetId="10" hidden="1">{#N/A,#N/A,FALSE,"ACQ_GRAPHS";#N/A,#N/A,FALSE,"T_1 GRAPHS";#N/A,#N/A,FALSE,"T_2 GRAPHS";#N/A,#N/A,FALSE,"COMB_GRAPHS"}</definedName>
    <definedName name="dss" localSheetId="15" hidden="1">{#N/A,#N/A,FALSE,"ACQ_GRAPHS";#N/A,#N/A,FALSE,"T_1 GRAPHS";#N/A,#N/A,FALSE,"T_2 GRAPHS";#N/A,#N/A,FALSE,"COMB_GRAPHS"}</definedName>
    <definedName name="dss" hidden="1">{#N/A,#N/A,FALSE,"ACQ_GRAPHS";#N/A,#N/A,FALSE,"T_1 GRAPHS";#N/A,#N/A,FALSE,"T_2 GRAPHS";#N/A,#N/A,FALSE,"COMB_GRAPHS"}</definedName>
    <definedName name="dsss" localSheetId="10"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10"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ssd" hidden="1">#REF!</definedName>
    <definedName name="dswe"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bsmar03">#REF!</definedName>
    <definedName name="Dues_and_Subscript___misc">#REF!</definedName>
    <definedName name="DUMMY" localSheetId="10">#REF!</definedName>
    <definedName name="DUMMY">#REF!</definedName>
    <definedName name="DUMMY10">#REF!</definedName>
    <definedName name="DUMMY11">#REF!</definedName>
    <definedName name="DUMMY2">#REF!</definedName>
    <definedName name="DUMMY3">#REF!</definedName>
    <definedName name="DUMMY4">#REF!</definedName>
    <definedName name="DUMMY5">#REF!</definedName>
    <definedName name="DUMMY6">#REF!</definedName>
    <definedName name="DUMMY7">#REF!</definedName>
    <definedName name="DUMMY8">#REF!</definedName>
    <definedName name="DUMMY9">#REF!</definedName>
    <definedName name="duplicate123A" hidden="1">#REF!</definedName>
    <definedName name="Duplink">#REF!</definedName>
    <definedName name="dvv" localSheetId="10" hidden="1">{#N/A,#N/A,TRUE,"NIE_C";#N/A,#N/A,TRUE,"NIE";#N/A,#N/A,TRUE,"NIE_D";#N/A,#N/A,TRUE,"NIE_D_CC";#N/A,#N/A,TRUE,"HEA -- EXP"}</definedName>
    <definedName name="dvv" localSheetId="15" hidden="1">{#N/A,#N/A,TRUE,"NIE_C";#N/A,#N/A,TRUE,"NIE";#N/A,#N/A,TRUE,"NIE_D";#N/A,#N/A,TRUE,"NIE_D_CC";#N/A,#N/A,TRUE,"HEA -- EXP"}</definedName>
    <definedName name="dvv" hidden="1">{#N/A,#N/A,TRUE,"NIE_C";#N/A,#N/A,TRUE,"NIE";#N/A,#N/A,TRUE,"NIE_D";#N/A,#N/A,TRUE,"NIE_D_CC";#N/A,#N/A,TRUE,"HEA -- EXP"}</definedName>
    <definedName name="dwcwc" localSheetId="10"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wx" localSheetId="10" hidden="1">{"Comp_of_Price_Effect",#N/A,FALSE,"QTRDPVAR"}</definedName>
    <definedName name="dwx" hidden="1">{"Comp_of_Price_Effect",#N/A,FALSE,"QTRDPVAR"}</definedName>
    <definedName name="dx" localSheetId="10" hidden="1">{"Month Summary",#N/A,FALSE,"Summary";"Total Details",#N/A,FALSE,"Current Yr";"Polymers Details",#N/A,FALSE,"Current Yr";"Performance Details",#N/A,FALSE,"Current Yr";"ICD Details",#N/A,FALSE,"Current Yr"}</definedName>
    <definedName name="dx" hidden="1">{"Month Summary",#N/A,FALSE,"Summary";"Total Details",#N/A,FALSE,"Current Yr";"Polymers Details",#N/A,FALSE,"Current Yr";"Performance Details",#N/A,FALSE,"Current Yr";"ICD Details",#N/A,FALSE,"Current Yr"}</definedName>
    <definedName name="dyudf" localSheetId="10" hidden="1">{#N/A,#N/A,FALSE,"Projections";#N/A,#N/A,FALSE,"Multiples Valuation";#N/A,#N/A,FALSE,"LBO";#N/A,#N/A,FALSE,"Multiples_Sensitivity";#N/A,#N/A,FALSE,"Summary"}</definedName>
    <definedName name="dyudf" hidden="1">{#N/A,#N/A,FALSE,"Projections";#N/A,#N/A,FALSE,"Multiples Valuation";#N/A,#N/A,FALSE,"LBO";#N/A,#N/A,FALSE,"Multiples_Sensitivity";#N/A,#N/A,FALSE,"Summary"}</definedName>
    <definedName name="DZ.DropZone" hidden="1">#REF!</definedName>
    <definedName name="DZ.DropZoneIS" hidden="1">#REF!</definedName>
    <definedName name="e">#REF!</definedName>
    <definedName name="e1sclCOMPANY_INFORMATION" hidden="1">"[CNAME]"</definedName>
    <definedName name="e1sclMASTER_JCM_HEADER_2" hidden="1">"[CPERSIZ][CCURMTH][CFYDATE]"</definedName>
    <definedName name="e1sclMASTER_JCM_RECORD_1_1" hidden="1">"[JOB][JTEST][JJTDWB][JNMWB][JJTDC][JNMC]"</definedName>
    <definedName name="e1sclMASTER_JCM_RECORD_1_2" hidden="1">"[JOB][JXRVCNT][JTXEST][JXJTDWB][JXNMWB][JJTDXC][JNMXC]"</definedName>
    <definedName name="e5yy25y" localSheetId="10" hidden="1">{#N/A,#N/A,FALSE,"Projections";#N/A,#N/A,FALSE,"Contribution_Stock";#N/A,#N/A,FALSE,"PF_Combo_Stock";#N/A,#N/A,FALSE,"Projections";#N/A,#N/A,FALSE,"Contribution_Cash";#N/A,#N/A,FALSE,"PF_Combo_Cash";#N/A,#N/A,FALSE,"IPO_Cash"}</definedName>
    <definedName name="e5yy25y" hidden="1">{#N/A,#N/A,FALSE,"Projections";#N/A,#N/A,FALSE,"Contribution_Stock";#N/A,#N/A,FALSE,"PF_Combo_Stock";#N/A,#N/A,FALSE,"Projections";#N/A,#N/A,FALSE,"Contribution_Cash";#N/A,#N/A,FALSE,"PF_Combo_Cash";#N/A,#N/A,FALSE,"IPO_Cash"}</definedName>
    <definedName name="e5yy25y_1" localSheetId="10" hidden="1">{#N/A,#N/A,FALSE,"Projections";#N/A,#N/A,FALSE,"Contribution_Stock";#N/A,#N/A,FALSE,"PF_Combo_Stock";#N/A,#N/A,FALSE,"Projections";#N/A,#N/A,FALSE,"Contribution_Cash";#N/A,#N/A,FALSE,"PF_Combo_Cash";#N/A,#N/A,FALSE,"IPO_Cash"}</definedName>
    <definedName name="e5yy25y_1" hidden="1">{#N/A,#N/A,FALSE,"Projections";#N/A,#N/A,FALSE,"Contribution_Stock";#N/A,#N/A,FALSE,"PF_Combo_Stock";#N/A,#N/A,FALSE,"Projections";#N/A,#N/A,FALSE,"Contribution_Cash";#N/A,#N/A,FALSE,"PF_Combo_Cash";#N/A,#N/A,FALSE,"IPO_Cash"}</definedName>
    <definedName name="eaf" localSheetId="10" hidden="1">#REF!</definedName>
    <definedName name="eaf" localSheetId="9" hidden="1">#REF!</definedName>
    <definedName name="eaf" localSheetId="8" hidden="1">#REF!</definedName>
    <definedName name="eaf" localSheetId="16" hidden="1">#REF!</definedName>
    <definedName name="eaf" hidden="1">#REF!</definedName>
    <definedName name="eafasdvv" hidden="1">#REF!</definedName>
    <definedName name="eage" hidden="1">#REF!</definedName>
    <definedName name="EagleLogo" hidden="1">"Picture 1"</definedName>
    <definedName name="eajg" hidden="1">#REF!</definedName>
    <definedName name="earjh" hidden="1">#REF!</definedName>
    <definedName name="eas" localSheetId="10" hidden="1">{"NOPCAPEVA",#N/A,FALSE,"Nopat";"FCFCSTAR",#N/A,FALSE,"FCFVAL";"EVAVL",#N/A,FALSE,"EVAVAL";"LEASE",#N/A,FALSE,"OpLease"}</definedName>
    <definedName name="eas" hidden="1">{"NOPCAPEVA",#N/A,FALSE,"Nopat";"FCFCSTAR",#N/A,FALSE,"FCFVAL";"EVAVL",#N/A,FALSE,"EVAVAL";"LEASE",#N/A,FALSE,"OpLease"}</definedName>
    <definedName name="East"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localSheetId="15"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0" hidden="1">{"FY04_Assets",#N/A,FALSE,"Fin Stmt Budget";"FY04_Liabilities",#N/A,FALSE,"Fin Stmt Budget";"FY04_Inc_Stmt",#N/A,FALSE,"Fin Stmt Budget";"FY04_SOCF",#N/A,FALSE,"Fin Stmt Budget"}</definedName>
    <definedName name="Eastcoast" localSheetId="15" hidden="1">{"FY04_Assets",#N/A,FALSE,"Fin Stmt Budget";"FY04_Liabilities",#N/A,FALSE,"Fin Stmt Budget";"FY04_Inc_Stmt",#N/A,FALSE,"Fin Stmt Budget";"FY04_SOCF",#N/A,FALSE,"Fin Stmt Budget"}</definedName>
    <definedName name="Eastcoast" hidden="1">{"FY04_Assets",#N/A,FALSE,"Fin Stmt Budget";"FY04_Liabilities",#N/A,FALSE,"Fin Stmt Budget";"FY04_Inc_Stmt",#N/A,FALSE,"Fin Stmt Budget";"FY04_SOCF",#N/A,FALSE,"Fin Stmt Budget"}</definedName>
    <definedName name="Eastern" localSheetId="10" hidden="1">{"FY03_Assets",#N/A,FALSE,"Fin Stmt Budget";"FY03_Liabilities",#N/A,FALSE,"Fin Stmt Budget";"FY03_Inc_Stmt",#N/A,FALSE,"Fin Stmt Budget";"FY03_SOCF",#N/A,FALSE,"Fin Stmt Budget"}</definedName>
    <definedName name="Eastern" localSheetId="15" hidden="1">{"FY03_Assets",#N/A,FALSE,"Fin Stmt Budget";"FY03_Liabilities",#N/A,FALSE,"Fin Stmt Budget";"FY03_Inc_Stmt",#N/A,FALSE,"Fin Stmt Budget";"FY03_SOCF",#N/A,FALSE,"Fin Stmt Budget"}</definedName>
    <definedName name="Eastern" hidden="1">{"FY03_Assets",#N/A,FALSE,"Fin Stmt Budget";"FY03_Liabilities",#N/A,FALSE,"Fin Stmt Budget";"FY03_Inc_Stmt",#N/A,FALSE,"Fin Stmt Budget";"FY03_SOCF",#N/A,FALSE,"Fin Stmt Budget"}</definedName>
    <definedName name="EBITDA_" localSheetId="10">#REF!</definedName>
    <definedName name="EBITDA_">#REF!</definedName>
    <definedName name="EBITDA__Adjusted" localSheetId="10">#REF!</definedName>
    <definedName name="EBITDA__Adjusted">#REF!</definedName>
    <definedName name="EBITDA_Margin" localSheetId="10">#REF!</definedName>
    <definedName name="EBITDA_Margin">#REF!</definedName>
    <definedName name="EBITDA_Officer_Salary">#REF!</definedName>
    <definedName name="EBITDA_SalesCommNormalized">#REF!</definedName>
    <definedName name="ecercerc" hidden="1">#REF!</definedName>
    <definedName name="ECNOFIBRAS" localSheetId="10" hidden="1">{"'PXR_6500'!$A$1:$I$124"}</definedName>
    <definedName name="ECNOFIBRAS" hidden="1">{"'PXR_6500'!$A$1:$I$124"}</definedName>
    <definedName name="ECNOFIBRAS2" localSheetId="10" hidden="1">{"'PXR_6500'!$A$1:$I$124"}</definedName>
    <definedName name="ECNOFIBRAS2" hidden="1">{"'PXR_6500'!$A$1:$I$124"}</definedName>
    <definedName name="ed" hidden="1">#REF!</definedName>
    <definedName name="edr"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0" hidden="1">{#N/A,#N/A,FALSE,"Pharm";#N/A,#N/A,FALSE,"WWCM"}</definedName>
    <definedName name="EEE" hidden="1">{#N/A,#N/A,FALSE,"Pharm";#N/A,#N/A,FALSE,"WWCM"}</definedName>
    <definedName name="eee.lll" localSheetId="10"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10" hidden="1">{"YD LAPO2",#N/A,FALSE,"YTD"}</definedName>
    <definedName name="eeee" hidden="1">{"YD LAPO2",#N/A,FALSE,"YTD"}</definedName>
    <definedName name="eeeee" localSheetId="10" hidden="1">{#N/A,#N/A,FALSE,"Pharm";#N/A,#N/A,FALSE,"WWCM"}</definedName>
    <definedName name="eeeee" hidden="1">{#N/A,#N/A,FALSE,"Pharm";#N/A,#N/A,FALSE,"WWCM"}</definedName>
    <definedName name="eeeeee" localSheetId="10" hidden="1">{"YD OTHER",#N/A,FALSE,"YTD"}</definedName>
    <definedName name="eeeeee" hidden="1">{"YD OTHER",#N/A,FALSE,"YTD"}</definedName>
    <definedName name="eeeeeee" localSheetId="10" hidden="1">{"YD LPH2",#N/A,FALSE,"YTD"}</definedName>
    <definedName name="eeeeeee" hidden="1">{"YD LPH2",#N/A,FALSE,"YTD"}</definedName>
    <definedName name="eeeeeeee" localSheetId="10" hidden="1">{"Pg1",#N/A,FALSE,"OpExYTDvsBud";"Pg2",#N/A,FALSE,"OpExYTDvsBud"}</definedName>
    <definedName name="eeeeeeee" hidden="1">{"Pg1",#N/A,FALSE,"OpExYTDvsBud";"Pg2",#N/A,FALSE,"OpExYTDvsBud"}</definedName>
    <definedName name="eeeeeeeee" localSheetId="10" hidden="1">{"Pa1",#N/A,FALSE,"OpExYTDvsPY";"Pa2",#N/A,FALSE,"OpExYTDvsPY"}</definedName>
    <definedName name="eeeeeeeee" hidden="1">{"Pa1",#N/A,FALSE,"OpExYTDvsPY";"Pa2",#N/A,FALSE,"OpExYTDvsPY"}</definedName>
    <definedName name="eeeeeeeeee"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10" hidden="1">{#N/A,"PURCHM",FALSE,"Business Analysis";#N/A,"SPADD",FALSE,"Business Analysis"}</definedName>
    <definedName name="eeeeeeeeeee" hidden="1">{#N/A,"PURCHM",FALSE,"Business Analysis";#N/A,"SPADD",FALSE,"Business Analysis"}</definedName>
    <definedName name="eeeeeeeeeeee" localSheetId="10" hidden="1">#REF!</definedName>
    <definedName name="eeeeeeeeeeee" localSheetId="9" hidden="1">#REF!</definedName>
    <definedName name="eeeeeeeeeeee" localSheetId="8" hidden="1">#REF!</definedName>
    <definedName name="eeeeeeeeeeee" localSheetId="16" hidden="1">#REF!</definedName>
    <definedName name="eeeeeeeeeeee" hidden="1">#REF!</definedName>
    <definedName name="eeeeeeeeeeeeeee" localSheetId="10"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qwq" hidden="1">#REF!</definedName>
    <definedName name="eeewew" localSheetId="10" hidden="1">{#N/A,#N/A,FALSE,"COVER";#N/A,#N/A,FALSE,"SUMP&amp;L";#N/A,#N/A,FALSE,"SUBSP&amp;L";#N/A,#N/A,FALSE,"SALESANAL"}</definedName>
    <definedName name="eeewew" hidden="1">{#N/A,#N/A,FALSE,"COVER";#N/A,#N/A,FALSE,"SUMP&amp;L";#N/A,#N/A,FALSE,"SUBSP&amp;L";#N/A,#N/A,FALSE,"SALESANAL"}</definedName>
    <definedName name="EEMedical">#REF!</definedName>
    <definedName name="eerre" localSheetId="1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localSheetId="15"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localSheetId="10"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 localSheetId="10" hidden="1">{#N/A,#N/A,FALSE,"COVER";#N/A,#N/A,FALSE,"SUMP&amp;L";#N/A,#N/A,FALSE,"SUBSP&amp;L";#N/A,#N/A,FALSE,"SALESANAL"}</definedName>
    <definedName name="eewew" hidden="1">{#N/A,#N/A,FALSE,"COVER";#N/A,#N/A,FALSE,"SUMP&amp;L";#N/A,#N/A,FALSE,"SUBSP&amp;L";#N/A,#N/A,FALSE,"SALESANAL"}</definedName>
    <definedName name="eew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ew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f" localSheetId="10" hidden="1">#REF!</definedName>
    <definedName name="ef" localSheetId="9" hidden="1">#REF!</definedName>
    <definedName name="ef" localSheetId="8" hidden="1">#REF!</definedName>
    <definedName name="ef" localSheetId="16" hidden="1">#REF!</definedName>
    <definedName name="ef" hidden="1">#REF!</definedName>
    <definedName name="efefesaf" localSheetId="10" hidden="1">{"sga expense",#N/A,FALSE,"S,G&amp;A EXP"}</definedName>
    <definedName name="efefesaf" hidden="1">{"sga expense",#N/A,FALSE,"S,G&amp;A EXP"}</definedName>
    <definedName name="eferferfge"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FedTax" localSheetId="10">#REF!</definedName>
    <definedName name="EffFedTax">#REF!</definedName>
    <definedName name="EffOKTax" localSheetId="10">#REF!</definedName>
    <definedName name="EffOKTax">#REF!</definedName>
    <definedName name="efg" localSheetId="10" hidden="1">{"'debtors'!$A$1:$I$305","'debtors'!$A$1:$J$285"}</definedName>
    <definedName name="efg" hidden="1">{"'debtors'!$A$1:$I$305","'debtors'!$A$1:$J$285"}</definedName>
    <definedName name="efin" localSheetId="10" hidden="1">{#N/A,#N/A,FALSE,"Output";#N/A,#N/A,FALSE,"Cover Sheet";#N/A,#N/A,FALSE,"Current Mkt. Projections"}</definedName>
    <definedName name="efin" hidden="1">{#N/A,#N/A,FALSE,"Output";#N/A,#N/A,FALSE,"Cover Sheet";#N/A,#N/A,FALSE,"Current Mkt. Projections"}</definedName>
    <definedName name="efn" localSheetId="10"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gae" hidden="1">#REF!</definedName>
    <definedName name="EhxibitC2" localSheetId="10">#REF!</definedName>
    <definedName name="EhxibitC2">#REF!</definedName>
    <definedName name="ei"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eieow" localSheetId="10" hidden="1">{#N/A,#N/A,FALSE,"COVER";#N/A,#N/A,FALSE,"SUMP&amp;L";#N/A,#N/A,FALSE,"SUBSP&amp;L";#N/A,#N/A,FALSE,"SALESANAL"}</definedName>
    <definedName name="eieieow" hidden="1">{#N/A,#N/A,FALSE,"COVER";#N/A,#N/A,FALSE,"SUMP&amp;L";#N/A,#N/A,FALSE,"SUBSP&amp;L";#N/A,#N/A,FALSE,"SALESANAL"}</definedName>
    <definedName name="eings" localSheetId="10" hidden="1">{#N/A,"PURCHM",FALSE,"Business Analysis";#N/A,"SPADD",FALSE,"Business Analysis"}</definedName>
    <definedName name="eings" hidden="1">{#N/A,"PURCHM",FALSE,"Business Analysis";#N/A,"SPADD",FALSE,"Business Analysis"}</definedName>
    <definedName name="eiowie" localSheetId="10" hidden="1">{#N/A,#N/A,FALSE,"COVER";#N/A,#N/A,FALSE,"SUMP&amp;L";#N/A,#N/A,FALSE,"SUBSP&amp;L";#N/A,#N/A,FALSE,"SALESANAL"}</definedName>
    <definedName name="eiowie" hidden="1">{#N/A,#N/A,FALSE,"COVER";#N/A,#N/A,FALSE,"SUMP&amp;L";#N/A,#N/A,FALSE,"SUBSP&amp;L";#N/A,#N/A,FALSE,"SALESANAL"}</definedName>
    <definedName name="eithyeite" localSheetId="10" hidden="1">{"actual",#N/A,FALSE,"Sheet1";"budget",#N/A,FALSE,"Sheet1"}</definedName>
    <definedName name="eithyeite" localSheetId="15" hidden="1">{"actual",#N/A,FALSE,"Sheet1";"budget",#N/A,FALSE,"Sheet1"}</definedName>
    <definedName name="eithyeite" hidden="1">{"actual",#N/A,FALSE,"Sheet1";"budget",#N/A,FALSE,"Sheet1"}</definedName>
    <definedName name="ej" hidden="1">#REF!</definedName>
    <definedName name="ejejejej"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0" hidden="1">{#N/A,#N/A,FALSE,"Pharm";#N/A,#N/A,FALSE,"WWCM"}</definedName>
    <definedName name="ejkfgkjze" hidden="1">{#N/A,#N/A,FALSE,"Pharm";#N/A,#N/A,FALSE,"WWCM"}</definedName>
    <definedName name="Elim_99" localSheetId="10">#REF!</definedName>
    <definedName name="Elim_99">#REF!</definedName>
    <definedName name="emily" localSheetId="10" hidden="1">{#N/A,#N/A,FALSE,"Calc";#N/A,#N/A,FALSE,"Sensitivity";#N/A,#N/A,FALSE,"LT Earn.Dil.";#N/A,#N/A,FALSE,"Dil. AVP"}</definedName>
    <definedName name="emily" localSheetId="15" hidden="1">{#N/A,#N/A,FALSE,"Calc";#N/A,#N/A,FALSE,"Sensitivity";#N/A,#N/A,FALSE,"LT Earn.Dil.";#N/A,#N/A,FALSE,"Dil. AVP"}</definedName>
    <definedName name="emily" hidden="1">{#N/A,#N/A,FALSE,"Calc";#N/A,#N/A,FALSE,"Sensitivity";#N/A,#N/A,FALSE,"LT Earn.Dil.";#N/A,#N/A,FALSE,"Dil. AVP"}</definedName>
    <definedName name="Emp_PR_Tax___401K">#REF!</definedName>
    <definedName name="EmployeeBonus" hidden="1">#REF!</definedName>
    <definedName name="EmployeeCommissions" hidden="1">#REF!</definedName>
    <definedName name="EmployeeDepartment" hidden="1">#REF!</definedName>
    <definedName name="Employees" localSheetId="10" hidden="1">{"cash_marc",#N/A,FALSE,"dec95cr.xls"}</definedName>
    <definedName name="Employees" hidden="1">{"cash_marc",#N/A,FALSE,"dec95cr.xls"}</definedName>
    <definedName name="EMVENMAR07" localSheetId="10" hidden="1">{#N/A,#N/A,FALSE,"Aging Summary";#N/A,#N/A,FALSE,"Ratio Analysis";#N/A,#N/A,FALSE,"Test 120 Day Accts";#N/A,#N/A,FALSE,"Tickmarks"}</definedName>
    <definedName name="EMVENMAR07" hidden="1">{#N/A,#N/A,FALSE,"Aging Summary";#N/A,#N/A,FALSE,"Ratio Analysis";#N/A,#N/A,FALSE,"Test 120 Day Accts";#N/A,#N/A,FALSE,"Tickmarks"}</definedName>
    <definedName name="Encounters_by_Provider_By_Month_2015">#REF!</definedName>
    <definedName name="End_Bal" localSheetId="10">#REF!</definedName>
    <definedName name="End_Bal">#REF!</definedName>
    <definedName name="Eng" localSheetId="10" hidden="1">{"PAGE 1",#N/A,FALSE,"WEST_OT"}</definedName>
    <definedName name="Eng" hidden="1">{"PAGE 1",#N/A,FALSE,"WEST_OT"}</definedName>
    <definedName name="ENG_BI_CORE_LOCATION">"C:\Program Files (x86)\Sage\Peachtree\PBI\"</definedName>
    <definedName name="ENG_BI_EXE_FULL_PATH">"C:\Program Files (x86)\Sage\Peachtree\PBI\BICORE.EXE"</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1" hidden="1">"03304607809710211911112811903204907403304607812308807407807408508509507608006907406107107008413413206807008909008107306105305405313413009611212310611910211610507306609207808209007408306209609210210809110410209410512509209610009310110409912012611012011"</definedName>
    <definedName name="ENG_BI_EXEC_CMD_ARGS_10" hidden="1">"10910511910610010104403608107607613212409512111809911310510308306909709308907307008307008206806505405005605805004705904905005612512710011212610710810910408507307708309307406509107607906807005005105205105305205005705805012912809611312109811211009908709"</definedName>
    <definedName name="ENG_BI_EXEC_CMD_ARGS_11" hidden="1">"2078066078083080075080073087073088077083065054051126127079086073069091076069080074083066082083065054125"</definedName>
    <definedName name="ENG_BI_EXEC_CMD_ARGS_12" hidden="1">"93072077088090070069082073083068070056051047060050048055048053056125132104112121103109106103078089082066078089080070089070083078079072088061058059125127084083069073082073073080074089066077092062050130"</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2_1" hidden="1">"01111040961151011081011241181031161280981151060921220580510571010770690880580490961251271001121231121190971251020690710670690890650850880710650720660851291230991171141141250981161100690670900830730870611061071141151241111261270951161191051271041171010"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3_1" hidden="1">"77067081070083087092079091077061087072083066081058057061059058064052059058055051064057056064049058061059055055060054061059054056055068062049059059055052064050057062059064057059054055053060054053054064052066066051051062060050054054063054055058068049055"</definedName>
    <definedName name="ENG_BI_EXEC_CMD_ARGS_4" hidden="1">"059051060053048060064049057060126123104113118103108109104076074087071071084069070065101114130123088089069069091070069085065086070077092070049129"</definedName>
    <definedName name="ENG_BI_EXEC_CMD_ARGS_4_1" hidden="1">"054060051055049063057049068057055052068051050058059053059054134132095116122099109109099080070078080074080068078062102115125127084082077078082073073081066086065081088061058132"</definedName>
    <definedName name="ENG_BI_EXEC_CMD_ARGS_5" hidden="1">"51080770660830710710840680780701011141301240961161141091230971251080690890870660780780670860740800880920700830810690700860610840630920890760660670810851270540920701221150821191161291280961131181051221021161100770770650950800830720790720740610890930881"</definedName>
    <definedName name="ENG_BI_EXEC_CMD_ARGS_6" hidden="1">"29128096113118105122102116110092084069091071070070084089087069092070071105115106102129123099117114114125098116110084070087073069081078094086066073087084062059065072070066100102096093078057056058091099100093059063067073096096096097052072056051134130096"</definedName>
    <definedName name="ENG_BI_EXEC_CMD_ARGS_7" hidden="1">"11212310611910211610508206508208708707708306908009107206908306808507606205105905805205605412912809512112609811211010008407307108007407808009107304907004912612809511612209811711409908707407207707307807508907205906804912513209611312209811211009909207807"</definedName>
    <definedName name="ENG_BI_EXEC_CMD_ARGS_8" hidden="1">"10800740790720880720550660481341300961121260991091100990870740710850780780750890730530650481291280951211240991081141000840740710800740780800930720570660491261270951161220981171121000670940830830740780880940690740910610540530500521291230991171171071151"</definedName>
    <definedName name="ENG_BI_EXEC_CMD_ARGS_9" hidden="1">"06099076086083087069082089080078091073083073062052052125127100112126105109105108071074083089073070082092093065086089062050051049051055048058058126123104113118103108109104067088086080069083090079069077073066078110123115097109098033083111118121104041074"</definedName>
    <definedName name="ENG_BI_GEN_LIC" hidden="1">"0"</definedName>
    <definedName name="ENG_BI_GEN_LIC_WS" hidden="1">"False"</definedName>
    <definedName name="ENG_BI_LANG_CODE" hidden="1">"en"</definedName>
    <definedName name="ENG_BI_LBI" hidden="1">"BPICLSHG7Y"</definedName>
    <definedName name="ENG_BI_LBI_1" hidden="1">"ESMFPWKKB1"</definedName>
    <definedName name="ENG_BI_PROFILE_PATH" hidden="1">"C:\ProgramData\Alchemex\AlchemexSmartReporting\MetaData\Demonstration Report Designer S300SQL 1-0-0\BICORE_profiler_20130606_122453.csv"</definedName>
    <definedName name="ENG_BI_PROFILE_PATH_1" hidden="1">"C:\ProgramData\Alchemex\AlchemexSmartReporting\MetaData\MAS\Report Designer Add-In S500 1-0-0\BICORE_profiler_20121120_105724.csv"</definedName>
    <definedName name="ENG_BI_REPOS_FILE" hidden="1">"\\ddp-db\MAS 200\Version4\MAS90\alchemex.svd"</definedName>
    <definedName name="ENG_BI_REPOS_FILE_1" hidden="1">"\\bg-it-accounting\SageSoftware\SI Reports\alchemex.svd"</definedName>
    <definedName name="ENG_BI_REPOS_PATH" hidden="1">"\\ddp-db\MAS 200\Version4\MAS90"</definedName>
    <definedName name="ENG_BI_REPOS_PATH_1" hidden="1">"\\bg-it-accounting\SageSoftware\SI Reports"</definedName>
    <definedName name="ENG_BI_TLA" hidden="1">"51;37;156;70;63;205;171;219;240;97;243;88;223;171;91;174;100;259;223;256;246;64;276;160;219;34;42;67;99;124;257;75"</definedName>
    <definedName name="ENG_BI_TLA_1" hidden="1">"225;88;39;74;233;241;201;117;36;99;256;43;247;127;51;57;220;47;266;212;174;133;115;66;174;103;176;29;83;49;209;48"</definedName>
    <definedName name="ENG_BI_TLA2" hidden="1">"84;15;216;202;73;177;235;133;189;86;104;197;30;2;39;35;146;179;134;250;6;122;134;80;133;38;96;15;197;191;252;52"</definedName>
    <definedName name="ENG_BI_TLA2_1" hidden="1">"118;78;91;62;31;39;251;208;37;27;255;147;205;209;186;245;203;243;20;126;229;18;21;175;14;139;84;80;126;119;126;196"</definedName>
    <definedName name="EngDept" localSheetId="10" hidden="1">{"works expense",#N/A,FALSE,"WORKS EXPENSE"}</definedName>
    <definedName name="EngDept" hidden="1">{"works expense",#N/A,FALSE,"WORKS EXPENSE"}</definedName>
    <definedName name="enough" localSheetId="10" hidden="1">{"Data Worksheet",#N/A,FALSE,"CAREY97"}</definedName>
    <definedName name="enough" hidden="1">{"Data Worksheet",#N/A,FALSE,"CAREY97"}</definedName>
    <definedName name="enrollment_analysis2" localSheetId="10" hidden="1">{#N/A,#N/A,FALSE,"MW";#N/A,#N/A,FALSE,"NE";#N/A,#N/A,FALSE,"NW";#N/A,#N/A,FALSE,"RD";#N/A,#N/A,FALSE,"SE";#N/A,#N/A,FALSE,"SW";#N/A,#N/A,FALSE,"W"}</definedName>
    <definedName name="enrollment_analysis2" hidden="1">{#N/A,#N/A,FALSE,"MW";#N/A,#N/A,FALSE,"NE";#N/A,#N/A,FALSE,"NW";#N/A,#N/A,FALSE,"RD";#N/A,#N/A,FALSE,"SE";#N/A,#N/A,FALSE,"SW";#N/A,#N/A,FALSE,"W"}</definedName>
    <definedName name="eoflsru" localSheetId="10" hidden="1">{"QTD",#N/A,FALSE,"SUM"}</definedName>
    <definedName name="eoflsru" hidden="1">{"QTD",#N/A,FALSE,"SUM"}</definedName>
    <definedName name="eoieoeo" localSheetId="10" hidden="1">{#N/A,#N/A,FALSE,"COVER";#N/A,#N/A,FALSE,"SUMP&amp;L";#N/A,#N/A,FALSE,"SUBSP&amp;L";#N/A,#N/A,FALSE,"SALESANAL"}</definedName>
    <definedName name="eoieoeo" hidden="1">{#N/A,#N/A,FALSE,"COVER";#N/A,#N/A,FALSE,"SUMP&amp;L";#N/A,#N/A,FALSE,"SUBSP&amp;L";#N/A,#N/A,FALSE,"SALESANAL"}</definedName>
    <definedName name="eoil" localSheetId="10" hidden="1">{"detail",#N/A,FALSE,"mfg";"summary",#N/A,FALSE,"mfg"}</definedName>
    <definedName name="eoil" hidden="1">{"detail",#N/A,FALSE,"mfg";"summary",#N/A,FALSE,"mfg"}</definedName>
    <definedName name="eor" hidden="1">#REF!</definedName>
    <definedName name="eotrmnj" hidden="1">#REF!</definedName>
    <definedName name="ePSM_Dental_Graph_Page" hidden="1">#REF!</definedName>
    <definedName name="epvrevrunrate">"'ENT:PSIX'!$N$49"</definedName>
    <definedName name="Equipment_Truck_Rental">#REF!</definedName>
    <definedName name="equity" localSheetId="10">#REF!</definedName>
    <definedName name="equity">#REF!</definedName>
    <definedName name="equity_ratio" localSheetId="10">#REF!</definedName>
    <definedName name="equity_ratio">#REF!</definedName>
    <definedName name="eqw" localSheetId="10" hidden="1">{"NOPCAPEVA",#N/A,FALSE,"Nopat";"FCFCSTAR",#N/A,FALSE,"FCFVAL";"EVAVL",#N/A,FALSE,"EVAVAL";"LEASE",#N/A,FALSE,"OpLease"}</definedName>
    <definedName name="eqw" hidden="1">{"NOPCAPEVA",#N/A,FALSE,"Nopat";"FCFCSTAR",#N/A,FALSE,"FCFVAL";"EVAVL",#N/A,FALSE,"EVAVAL";"LEASE",#N/A,FALSE,"OpLease"}</definedName>
    <definedName name="er" localSheetId="10" hidden="1">{#N/A,#N/A,FALSE,"Umsatz 99";#N/A,#N/A,FALSE,"ER 99 "}</definedName>
    <definedName name="er" hidden="1">{#N/A,#N/A,FALSE,"Umsatz 99";#N/A,#N/A,FALSE,"ER 99 "}</definedName>
    <definedName name="Erase" localSheetId="10" hidden="1">{"summary report",#N/A,FALSE,"SUMMARY REPORT";"salary model ytd",#N/A,FALSE,"SALARY MODEL - YTD";"salary model mtd",#N/A,FALSE,"SALARY MODEL - MTD";"detail 311",#N/A,FALSE,"311 ACTUAL"}</definedName>
    <definedName name="Erase" localSheetId="15" hidden="1">{"summary report",#N/A,FALSE,"SUMMARY REPORT";"salary model ytd",#N/A,FALSE,"SALARY MODEL - YTD";"salary model mtd",#N/A,FALSE,"SALARY MODEL - MTD";"detail 311",#N/A,FALSE,"311 ACTUAL"}</definedName>
    <definedName name="Erase" hidden="1">{"summary report",#N/A,FALSE,"SUMMARY REPORT";"salary model ytd",#N/A,FALSE,"SALARY MODEL - YTD";"salary model mtd",#N/A,FALSE,"SALARY MODEL - MTD";"detail 311",#N/A,FALSE,"311 ACTUAL"}</definedName>
    <definedName name="ERAY"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localSheetId="10" hidden="1">{"rf19",#N/A,FALSE,"RF19";"rf20",#N/A,FALSE,"RF20";"rf20a",#N/A,FALSE,"RF20A";"rf21",#N/A,FALSE,"RF21";"rf21a",#N/A,FALSE,"RF21A";"rf21b",#N/A,FALSE,"RF21B";"rf22",#N/A,FALSE,"RF22";"rf22a",#N/A,FALSE,"RF22A";"rf22b",#N/A,FALSE,"RF22B"}</definedName>
    <definedName name="ERAY1" localSheetId="15" hidden="1">{"rf19",#N/A,FALSE,"RF19";"rf20",#N/A,FALSE,"RF20";"rf20a",#N/A,FALSE,"RF20A";"rf21",#N/A,FALSE,"RF21";"rf21a",#N/A,FALSE,"RF21A";"rf21b",#N/A,FALSE,"RF21B";"rf22",#N/A,FALSE,"RF22";"rf22a",#N/A,FALSE,"RF22A";"rf22b",#N/A,FALSE,"RF22B"}</definedName>
    <definedName name="ERAY1" hidden="1">{"rf19",#N/A,FALSE,"RF19";"rf20",#N/A,FALSE,"RF20";"rf20a",#N/A,FALSE,"RF20A";"rf21",#N/A,FALSE,"RF21";"rf21a",#N/A,FALSE,"RF21A";"rf21b",#N/A,FALSE,"RF21B";"rf22",#N/A,FALSE,"RF22";"rf22a",#N/A,FALSE,"RF22A";"rf22b",#N/A,FALSE,"RF22B"}</definedName>
    <definedName name="erd" localSheetId="10" hidden="1">{#N/A,#N/A,FALSE,"Pharm";#N/A,#N/A,FALSE,"WWCM"}</definedName>
    <definedName name="erd" hidden="1">{#N/A,#N/A,FALSE,"Pharm";#N/A,#N/A,FALSE,"WWCM"}</definedName>
    <definedName name="erer" localSheetId="10" hidden="1">{"FCB_ALL",#N/A,FALSE,"FCB";"GREY_ALL",#N/A,FALSE,"GREY"}</definedName>
    <definedName name="erer" localSheetId="15" hidden="1">{"FCB_ALL",#N/A,FALSE,"FCB";"GREY_ALL",#N/A,FALSE,"GREY"}</definedName>
    <definedName name="erer" hidden="1">{"FCB_ALL",#N/A,FALSE,"FCB";"GREY_ALL",#N/A,FALSE,"GREY"}</definedName>
    <definedName name="erf" localSheetId="10"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g" localSheetId="10" hidden="1">{"NOPCAPEVA",#N/A,FALSE,"Nopat";"FCFCSTAR",#N/A,FALSE,"FCFVAL";"EVAVL",#N/A,FALSE,"EVAVAL";"LEASE",#N/A,FALSE,"OpLease"}</definedName>
    <definedName name="erg" hidden="1">{"NOPCAPEVA",#N/A,FALSE,"Nopat";"FCFCSTAR",#N/A,FALSE,"FCFVAL";"EVAVL",#N/A,FALSE,"EVAVAL";"LEASE",#N/A,FALSE,"OpLease"}</definedName>
    <definedName name="ero" localSheetId="10"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r.g." localSheetId="10" hidden="1">{#N/A,#N/A,FALSE,"KA CH  (2)"}</definedName>
    <definedName name="err.g." hidden="1">{#N/A,#N/A,FALSE,"KA CH  (2)"}</definedName>
    <definedName name="errr.g" localSheetId="10" hidden="1">{#N/A,#N/A,FALSE,"KA CH  (2)"}</definedName>
    <definedName name="errr.g" hidden="1">{#N/A,#N/A,FALSE,"KA CH  (2)"}</definedName>
    <definedName name="erryeyetyuu" localSheetId="10" hidden="1">{#N/A,#N/A,FALSE,"Pharm";#N/A,#N/A,FALSE,"WWCM"}</definedName>
    <definedName name="erryeyetyuu" hidden="1">{#N/A,#N/A,FALSE,"Pharm";#N/A,#N/A,FALSE,"WWCM"}</definedName>
    <definedName name="ers" localSheetId="10" hidden="1">{"FCB_ALL",#N/A,FALSE,"FCB";"GREY_ALL",#N/A,FALSE,"GREY"}</definedName>
    <definedName name="ers" localSheetId="15" hidden="1">{"FCB_ALL",#N/A,FALSE,"FCB";"GREY_ALL",#N/A,FALSE,"GREY"}</definedName>
    <definedName name="ers" hidden="1">{"FCB_ALL",#N/A,FALSE,"FCB";"GREY_ALL",#N/A,FALSE,"GREY"}</definedName>
    <definedName name="ersdf" localSheetId="10" hidden="1">{"FCB_ALL",#N/A,FALSE,"FCB";"GREY_ALL",#N/A,FALSE,"GREY"}</definedName>
    <definedName name="ersdf" localSheetId="15" hidden="1">{"FCB_ALL",#N/A,FALSE,"FCB";"GREY_ALL",#N/A,FALSE,"GREY"}</definedName>
    <definedName name="ersdf" hidden="1">{"FCB_ALL",#N/A,FALSE,"FCB";"GREY_ALL",#N/A,FALSE,"GREY"}</definedName>
    <definedName name="erser" localSheetId="10" hidden="1">{"FCB_ALL",#N/A,FALSE,"FCB"}</definedName>
    <definedName name="erser" localSheetId="15" hidden="1">{"FCB_ALL",#N/A,FALSE,"FCB"}</definedName>
    <definedName name="erser" hidden="1">{"FCB_ALL",#N/A,FALSE,"FCB"}</definedName>
    <definedName name="ert"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ert" hidden="1">{#N/A,#N/A,FALSE,"Projections";#N/A,#N/A,FALSE,"AccrDil";#N/A,#N/A,FALSE,"PurchPriMult";#N/A,#N/A,FALSE,"Mults7_13";#N/A,#N/A,FALSE,"Mkt Mults";#N/A,#N/A,FALSE,"Acq Mults";#N/A,#N/A,FALSE,"StockPrices";#N/A,#N/A,FALSE,"Prem Paid";#N/A,#N/A,FALSE,"DCF";#N/A,#N/A,FALSE,"AUTO";#N/A,#N/A,FALSE,"Relative Trading";#N/A,#N/A,FALSE,"Mkt Val";#N/A,#N/A,FALSE,"Acq Val"}</definedName>
    <definedName name="ertr" localSheetId="10" hidden="1">{#N/A,#N/A,FALSE,"Umsatz 99";#N/A,#N/A,FALSE,"ER 99 "}</definedName>
    <definedName name="ertr" hidden="1">{#N/A,#N/A,FALSE,"Umsatz 99";#N/A,#N/A,FALSE,"ER 99 "}</definedName>
    <definedName name="ervnj" localSheetId="10" hidden="1">{"YTDACT",#N/A,FALSE,"YTD Cum";"YTDBUD",#N/A,FALSE,"YTD Cum";"YTDPRIOR",#N/A,FALSE,"YTD Cum"}</definedName>
    <definedName name="ervnj" hidden="1">{"YTDACT",#N/A,FALSE,"YTD Cum";"YTDBUD",#N/A,FALSE,"YTD Cum";"YTDPRIOR",#N/A,FALSE,"YTD Cum"}</definedName>
    <definedName name="erw"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q" hidden="1">#REF!</definedName>
    <definedName name="erwhqwrh" localSheetId="1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tw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erwtw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erwwww"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rwwww"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es" localSheetId="10" hidden="1">{"FCB_ALL",#N/A,FALSE,"FCB"}</definedName>
    <definedName name="es" localSheetId="15" hidden="1">{"FCB_ALL",#N/A,FALSE,"FCB"}</definedName>
    <definedName name="es" hidden="1">{"FCB_ALL",#N/A,FALSE,"FCB"}</definedName>
    <definedName name="es_11b" localSheetId="10">#REF!</definedName>
    <definedName name="es_11b">#REF!</definedName>
    <definedName name="es_2.3" localSheetId="10">#REF!</definedName>
    <definedName name="es_2.3">#REF!</definedName>
    <definedName name="es_26" localSheetId="10">#REF!</definedName>
    <definedName name="es_26">#REF!</definedName>
    <definedName name="ES_28_1">#REF!</definedName>
    <definedName name="ES_28_2">#REF!</definedName>
    <definedName name="es_41">#REF!</definedName>
    <definedName name="es_42">#REF!</definedName>
    <definedName name="es_5sxs">#REF!</definedName>
    <definedName name="es_6a">#REF!</definedName>
    <definedName name="es_6b">#REF!</definedName>
    <definedName name="esdfdas" localSheetId="10" hidden="1">{"incomemth",#N/A,TRUE,"forecast01";"incpercentmth",#N/A,TRUE,"forecast01";"balancemth",#N/A,TRUE,"forecast01";"cashmth",#N/A,TRUE,"forecast01";"cov2mth",#N/A,TRUE,"forecast01";"prbexp",#N/A,TRUE,"forecast01";"prbcap",#N/A,TRUE,"forecast01";"coalconsultants",#N/A,TRUE,"forecast01";"prbsum",#N/A,TRUE,"forecast01"}</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f" localSheetId="10" hidden="1">#REF!</definedName>
    <definedName name="esf" localSheetId="9" hidden="1">#REF!</definedName>
    <definedName name="esf" localSheetId="8" hidden="1">#REF!</definedName>
    <definedName name="esf" localSheetId="16" hidden="1">#REF!</definedName>
    <definedName name="esf" hidden="1">#REF!</definedName>
    <definedName name="esr" localSheetId="10" hidden="1">{"FCB_ALL",#N/A,FALSE,"FCB"}</definedName>
    <definedName name="esr" localSheetId="15" hidden="1">{"FCB_ALL",#N/A,FALSE,"FCB"}</definedName>
    <definedName name="esr" hidden="1">{"FCB_ALL",#N/A,FALSE,"FCB"}</definedName>
    <definedName name="esrs" localSheetId="10" hidden="1">{"FCB_ALL",#N/A,FALSE,"FCB"}</definedName>
    <definedName name="esrs" localSheetId="15" hidden="1">{"FCB_ALL",#N/A,FALSE,"FCB"}</definedName>
    <definedName name="esrs" hidden="1">{"FCB_ALL",#N/A,FALSE,"FCB"}</definedName>
    <definedName name="ESSAI" localSheetId="10" hidden="1">{#N/A,#N/A,FALSE,"Pharm";#N/A,#N/A,FALSE,"WWCM"}</definedName>
    <definedName name="ESSAI" hidden="1">{#N/A,#N/A,FALSE,"Pharm";#N/A,#N/A,FALSE,"WWCM"}</definedName>
    <definedName name="EST" localSheetId="10" hidden="1">{#N/A,#N/A,FALSE,"mdr.XLS";"db",#N/A,FALSE,"mdr.XLS";#N/A,#N/A,FALSE,"Forside ";#N/A,#N/A,FALSE,"INVEST.XLS"}</definedName>
    <definedName name="EST" hidden="1">{#N/A,#N/A,FALSE,"mdr.XLS";"db",#N/A,FALSE,"mdr.XLS";#N/A,#N/A,FALSE,"Forside ";#N/A,#N/A,FALSE,"INVEST.XLS"}</definedName>
    <definedName name="ESTEST" localSheetId="10" hidden="1">{#N/A,#N/A,FALSE,"mdr.XLS";"db",#N/A,FALSE,"mdr.XLS";#N/A,#N/A,FALSE,"Forside ";#N/A,#N/A,FALSE,"INVEST.XLS"}</definedName>
    <definedName name="ESTEST" hidden="1">{#N/A,#N/A,FALSE,"mdr.XLS";"db",#N/A,FALSE,"mdr.XLS";#N/A,#N/A,FALSE,"Forside ";#N/A,#N/A,FALSE,"INVEST.XLS"}</definedName>
    <definedName name="ESTEST2" localSheetId="10" hidden="1">{#N/A,#N/A,FALSE,"mdr.XLS";"db",#N/A,FALSE,"mdr.XLS";#N/A,#N/A,FALSE,"Forside ";#N/A,#N/A,FALSE,"INVEST.XLS"}</definedName>
    <definedName name="ESTEST2" hidden="1">{#N/A,#N/A,FALSE,"mdr.XLS";"db",#N/A,FALSE,"mdr.XLS";#N/A,#N/A,FALSE,"Forside ";#N/A,#N/A,FALSE,"INVEST.XLS"}</definedName>
    <definedName name="ESTEST3" localSheetId="10" hidden="1">{#N/A,#N/A,FALSE,"mdr.XLS";"db",#N/A,FALSE,"mdr.XLS";#N/A,#N/A,FALSE,"Forside ";#N/A,#N/A,FALSE,"INVEST.XLS"}</definedName>
    <definedName name="ESTEST3" hidden="1">{#N/A,#N/A,FALSE,"mdr.XLS";"db",#N/A,FALSE,"mdr.XLS";#N/A,#N/A,FALSE,"Forside ";#N/A,#N/A,FALSE,"INVEST.XLS"}</definedName>
    <definedName name="ESTEST5" localSheetId="10" hidden="1">{#N/A,#N/A,FALSE,"mdr.XLS";"db",#N/A,FALSE,"mdr.XLS";#N/A,#N/A,FALSE,"Forside ";#N/A,#N/A,FALSE,"INVEST.XLS"}</definedName>
    <definedName name="ESTEST5" hidden="1">{#N/A,#N/A,FALSE,"mdr.XLS";"db",#N/A,FALSE,"mdr.XLS";#N/A,#N/A,FALSE,"Forside ";#N/A,#N/A,FALSE,"INVEST.XLS"}</definedName>
    <definedName name="esw" localSheetId="10" hidden="1">{#N/A,#N/A,FALSE,"TABLE_1 YTD- VALUES LAST YR(2)"}</definedName>
    <definedName name="esw" localSheetId="15" hidden="1">{#N/A,#N/A,FALSE,"TABLE_1 YTD- VALUES LAST YR(2)"}</definedName>
    <definedName name="esw" hidden="1">{#N/A,#N/A,FALSE,"TABLE_1 YTD- VALUES LAST YR(2)"}</definedName>
    <definedName name="et"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localSheetId="10" hidden="1">{#N/A,#N/A,FALSE,"Calc";#N/A,#N/A,FALSE,"Sensitivity";#N/A,#N/A,FALSE,"LT Earn.Dil.";#N/A,#N/A,FALSE,"Dil. AVP"}</definedName>
    <definedName name="etet" localSheetId="15" hidden="1">{#N/A,#N/A,FALSE,"Calc";#N/A,#N/A,FALSE,"Sensitivity";#N/A,#N/A,FALSE,"LT Earn.Dil.";#N/A,#N/A,FALSE,"Dil. AVP"}</definedName>
    <definedName name="etet" hidden="1">{#N/A,#N/A,FALSE,"Calc";#N/A,#N/A,FALSE,"Sensitivity";#N/A,#N/A,FALSE,"LT Earn.Dil.";#N/A,#N/A,FALSE,"Dil. AVP"}</definedName>
    <definedName name="ETP"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ETP"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etr" localSheetId="10" hidden="1">{#N/A,#N/A,FALSE,"FACTSHEETS";#N/A,#N/A,FALSE,"pump";#N/A,#N/A,FALSE,"filter"}</definedName>
    <definedName name="etr" hidden="1">{#N/A,#N/A,FALSE,"FACTSHEETS";#N/A,#N/A,FALSE,"pump";#N/A,#N/A,FALSE,"filter"}</definedName>
    <definedName name="etr_1" localSheetId="10" hidden="1">{#N/A,#N/A,FALSE,"FACTSHEETS";#N/A,#N/A,FALSE,"pump";#N/A,#N/A,FALSE,"filter"}</definedName>
    <definedName name="etr_1" hidden="1">{#N/A,#N/A,FALSE,"FACTSHEETS";#N/A,#N/A,FALSE,"pump";#N/A,#N/A,FALSE,"filter"}</definedName>
    <definedName name="eu" localSheetId="10"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ROPE" localSheetId="10" hidden="1">{#N/A,#N/A,FALSE,"Est97";#N/A,#N/A,FALSE,"Plan98";#N/A,#N/A,FALSE,"Graphs";#N/A,#N/A,FALSE,"5Yr"}</definedName>
    <definedName name="EUROPE" localSheetId="15" hidden="1">{#N/A,#N/A,FALSE,"Est97";#N/A,#N/A,FALSE,"Plan98";#N/A,#N/A,FALSE,"Graphs";#N/A,#N/A,FALSE,"5Yr"}</definedName>
    <definedName name="EUROPE" hidden="1">{#N/A,#N/A,FALSE,"Est97";#N/A,#N/A,FALSE,"Plan98";#N/A,#N/A,FALSE,"Graphs";#N/A,#N/A,FALSE,"5Yr"}</definedName>
    <definedName name="ev" localSheetId="10">#REF!</definedName>
    <definedName name="ev">#REF!</definedName>
    <definedName name="ev.Calculation" hidden="1">-4105</definedName>
    <definedName name="ev.Initialized" hidden="1">FALSE</definedName>
    <definedName name="EV__ALLOWSTOPEXPAND__" hidden="1">1</definedName>
    <definedName name="EV__CVPARAMS__" hidden="1">"Trend!$B$17:$C$38;"</definedName>
    <definedName name="EV__DECIMALSYMBOL__" hidden="1">"."</definedName>
    <definedName name="EV__EVCOM_OPTIONS__" hidden="1">8</definedName>
    <definedName name="EV__EVCOMOPTS__" hidden="1">10</definedName>
    <definedName name="EV__EXPOPTIONS__" hidden="1">1</definedName>
    <definedName name="EV__LASTREFTIME__" hidden="1">40283.4967361111</definedName>
    <definedName name="EV__LEVEL__" hidden="1">2</definedName>
    <definedName name="EV__LOCKEDCVW__BUD_DETAIL" hidden="1">"BalanceSheet,grande,ACTUAL,TotalAdj,TOTALDETAILS,2000.TOTAL,PERIODIC,"</definedName>
    <definedName name="EV__LOCKEDCVW__FINANCE" hidden="1">"Miles,Plan,TotalAdj,TOT_DEPT,TOT_COMPANY,TOT_LOB,2008.total,PERIODIC,"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PSTATS" hidden="1">"grande,ACTUAL,TotalAdj,Dwellings,Statistics,AllUnits,2000.TOTAL,PERIODIC,"</definedName>
    <definedName name="EV__LOCKEDCVW__OWNERSHIP" hidden="1">"ACTUAL,PCON,FM_TNT,LC,IFM_ALL,2003.TOTAL,YTD,"</definedName>
    <definedName name="EV__LOCKEDCVW__PAYROLL" hidden="1">"11250,Actual,TotalAdj,TOT_DEPT,ALLEMPL,TOT_COMPANY_PF,Tot_Job,TOT_LOB,ALLPAYGROUPS,2008.Total,ALLDATACONT,PERIODIC,"</definedName>
    <definedName name="EV__LOCKEDCVW__RATE" hidden="1">"ACTUAL,USD,NOTRANS,Global,2014.TOTAL,Periodic,"</definedName>
    <definedName name="EV__LOCKEDCVW__RATE_W" hidden="1">"ACTUAL,EUR,Open,Input,Default,2003.TOTAL,YTD,"</definedName>
    <definedName name="EV__LOCKEDCVW__REVENUE" hidden="1">"CustomerData,Actual,1001018,Revenue,10,TOT_LOB,2009.SEP,PERIODIC,"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 hidden="1">"PrevDOTRatio_PLAN,Plan,Input,LINEHAUL,TOT_COMPANY,REGULAR,2009.TOTAL,PERIODIC,"</definedName>
    <definedName name="EV__LOCKEDCVW__SALARYPLANNING" hidden="1">"HRROLL,200200,Budget,TotalAdj,HR600302,AllGrades,2000.TOTAL,PERIODIC,"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WEEKLYSALES" hidden="1">"TOTAL_SALES,ACTUAL,TOTAL_DATASRC,TOTAL_DEPTS,BRGTOTAL1,TOTAL_PROJECT,LC,2010.JUL.W2,Periodic,"</definedName>
    <definedName name="EV__LOCKSTATUS__" hidden="1">4</definedName>
    <definedName name="EV__MAXEXPCOLS__" hidden="1">100</definedName>
    <definedName name="EV__MAXEXPROWS__" hidden="1">1000</definedName>
    <definedName name="EV__MAXRATE__" hidden="1">0.2</definedName>
    <definedName name="EV__MAXREQ__" hidden="1">500</definedName>
    <definedName name="EV__MAXTUPLE__" hidden="1">1</definedName>
    <definedName name="EV__MEMORYCVW__" hidden="1">0</definedName>
    <definedName name="EV__WBEVMODE__" hidden="1">0</definedName>
    <definedName name="EV__WBREFOPTIONS__" hidden="1">134217735</definedName>
    <definedName name="EV__WBVERSION__" hidden="1">0</definedName>
    <definedName name="EV__WSINFO__" hidden="1">"osoft"</definedName>
    <definedName name="EV_BEDS_HIGH" localSheetId="10">#REF!</definedName>
    <definedName name="EV_BEDS_HIGH">#REF!</definedName>
    <definedName name="EV_BEDS_HIGH_II" localSheetId="10">#REF!</definedName>
    <definedName name="EV_BEDS_HIGH_II">#REF!</definedName>
    <definedName name="EV_BEDS_HIGH_III" localSheetId="10">#REF!</definedName>
    <definedName name="EV_BEDS_HIGH_III">#REF!</definedName>
    <definedName name="EV_BEDS_LOW">#REF!</definedName>
    <definedName name="EV_BEDS_LOW_II">#REF!</definedName>
    <definedName name="EV_BEDS_LOW_III">#REF!</definedName>
    <definedName name="EV_LASTREF" hidden="1">39225.3832407407</definedName>
    <definedName name="EVA" localSheetId="10" hidden="1">{"DCF",#N/A,FALSE,"CF"}</definedName>
    <definedName name="EVA" hidden="1">{"DCF",#N/A,FALSE,"CF"}</definedName>
    <definedName name="EVLastRefTime" hidden="1">38638.6670023148</definedName>
    <definedName name="evwerv" hidden="1">#REF!</definedName>
    <definedName name="ew" localSheetId="10" hidden="1">{#N/A,"PURADD",FALSE,"Business Analysis";#N/A,"PURSPP",FALSE,"Business Analysis";#N/A,"CTGIND",FALSE,"Business Analysis";#N/A,"PURCHM",FALSE,"Business Analysis";#N/A,"SPADD",FALSE,"Business Analysis";#N/A,"EPOXY",FALSE,"Business Analysis";#N/A,"PURPER",FALSE,"Business Analysis"}</definedName>
    <definedName name="ew" hidden="1">{#N/A,"PURADD",FALSE,"Business Analysis";#N/A,"PURSPP",FALSE,"Business Analysis";#N/A,"CTGIND",FALSE,"Business Analysis";#N/A,"PURCHM",FALSE,"Business Analysis";#N/A,"SPADD",FALSE,"Business Analysis";#N/A,"EPOXY",FALSE,"Business Analysis";#N/A,"PURPER",FALSE,"Business Analysis"}</definedName>
    <definedName name="ewa" localSheetId="10" hidden="1">{"NOPCAPEVA",#N/A,FALSE,"Nopat";"FCFCSTAR",#N/A,FALSE,"FCFVAL";"EVAVL",#N/A,FALSE,"EVAVAL";"LEASE",#N/A,FALSE,"OpLease"}</definedName>
    <definedName name="ewa" hidden="1">{"NOPCAPEVA",#N/A,FALSE,"Nopat";"FCFCSTAR",#N/A,FALSE,"FCFVAL";"EVAVL",#N/A,FALSE,"EVAVAL";"LEASE",#N/A,FALSE,"OpLease"}</definedName>
    <definedName name="ewaw" localSheetId="10" hidden="1">{"Act_vs_Budget",#N/A,FALSE,"QTRDPVAR";"Act_vs_Prior_Year",#N/A,FALSE,"QTRDPVAR"}</definedName>
    <definedName name="ewaw" hidden="1">{"Act_vs_Budget",#N/A,FALSE,"QTRDPVAR";"Act_vs_Prior_Year",#N/A,FALSE,"QTRDPVAR"}</definedName>
    <definedName name="ewdfs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wqd" localSheetId="10" hidden="1">{#N/A,"PURCHM",FALSE,"Business Analysis";#N/A,"SPADD",FALSE,"Business Analysis"}</definedName>
    <definedName name="ewdwqd" hidden="1">{#N/A,"PURCHM",FALSE,"Business Analysis";#N/A,"SPADD",FALSE,"Business Analysis"}</definedName>
    <definedName name="ewf" localSheetId="10" hidden="1">{"Vol Qtr 1",#N/A,TRUE,"Wk-CV";"Vol Qtr 2",#N/A,TRUE,"Wk-CV";"Vol Qtr 3",#N/A,TRUE,"Wk-CV";"Vol Qtr 4",#N/A,TRUE,"Wk-CV"}</definedName>
    <definedName name="ewf" hidden="1">{"Vol Qtr 1",#N/A,TRUE,"Wk-CV";"Vol Qtr 2",#N/A,TRUE,"Wk-CV";"Vol Qtr 3",#N/A,TRUE,"Wk-CV";"Vol Qtr 4",#N/A,TRUE,"Wk-CV"}</definedName>
    <definedName name="ewfwe" localSheetId="10" hidden="1">{#N/A,#N/A,FALSE,"Che-Ga";#N/A,#N/A,FALSE,"Iv-Sm";#N/A,#N/A,FALSE,"So-We";#N/A,#N/A,FALSE,"Me-Po";#N/A,#N/A,FALSE,"Be-Bo";#N/A,#N/A,FALSE,"Cha-Ki";#N/A,#N/A,FALSE,"In";#N/A,#N/A,FALSE,"Schedule 23";#N/A,#N/A,FALSE,"Schedule 22";#N/A,#N/A,FALSE,"WACC"}</definedName>
    <definedName name="ewfwe" hidden="1">{#N/A,#N/A,FALSE,"Che-Ga";#N/A,#N/A,FALSE,"Iv-Sm";#N/A,#N/A,FALSE,"So-We";#N/A,#N/A,FALSE,"Me-Po";#N/A,#N/A,FALSE,"Be-Bo";#N/A,#N/A,FALSE,"Cha-Ki";#N/A,#N/A,FALSE,"In";#N/A,#N/A,FALSE,"Schedule 23";#N/A,#N/A,FALSE,"Schedule 22";#N/A,#N/A,FALSE,"WACC"}</definedName>
    <definedName name="ewo" hidden="1">#REF!</definedName>
    <definedName name="ewowo" hidden="1">#REF!</definedName>
    <definedName name="ewowow" localSheetId="10" hidden="1">{#N/A,#N/A,FALSE,"COVER";#N/A,#N/A,FALSE,"SUMP&amp;L";#N/A,#N/A,FALSE,"SUBSP&amp;L";#N/A,#N/A,FALSE,"SALESANAL"}</definedName>
    <definedName name="ewowow" hidden="1">{#N/A,#N/A,FALSE,"COVER";#N/A,#N/A,FALSE,"SUMP&amp;L";#N/A,#N/A,FALSE,"SUBSP&amp;L";#N/A,#N/A,FALSE,"SALESANAL"}</definedName>
    <definedName name="ewq" localSheetId="10" hidden="1">{"oct_res_comm",#N/A,FALSE,"VarToBud"}</definedName>
    <definedName name="ewq" hidden="1">{"oct_res_comm",#N/A,FALSE,"VarToBud"}</definedName>
    <definedName name="ewr" localSheetId="10"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ew" localSheetId="10" hidden="1">{#N/A,#N/A,FALSE,"Projections";#N/A,#N/A,FALSE,"Multiples Valuation";#N/A,#N/A,FALSE,"LBO";#N/A,#N/A,FALSE,"Multiples_Sensitivity";#N/A,#N/A,FALSE,"Summary"}</definedName>
    <definedName name="ewrew" hidden="1">{#N/A,#N/A,FALSE,"Projections";#N/A,#N/A,FALSE,"Multiples Valuation";#N/A,#N/A,FALSE,"LBO";#N/A,#N/A,FALSE,"Multiples_Sensitivity";#N/A,#N/A,FALSE,"Summary"}</definedName>
    <definedName name="ewrew_1" localSheetId="10" hidden="1">{#N/A,#N/A,FALSE,"Projections";#N/A,#N/A,FALSE,"Multiples Valuation";#N/A,#N/A,FALSE,"LBO";#N/A,#N/A,FALSE,"Multiples_Sensitivity";#N/A,#N/A,FALSE,"Summary"}</definedName>
    <definedName name="ewrew_1" hidden="1">{#N/A,#N/A,FALSE,"Projections";#N/A,#N/A,FALSE,"Multiples Valuation";#N/A,#N/A,FALSE,"LBO";#N/A,#N/A,FALSE,"Multiples_Sensitivity";#N/A,#N/A,FALSE,"Summary"}</definedName>
    <definedName name="ewrwer" localSheetId="10" hidden="1">{#N/A,#N/A,FALSE,"ORIX CSC"}</definedName>
    <definedName name="ewrwer" hidden="1">{#N/A,#N/A,FALSE,"ORIX CSC"}</definedName>
    <definedName name="ews" localSheetId="10" hidden="1">{"AnnInc",#N/A,TRUE,"Inc";"QtrInc1",#N/A,TRUE,"Inc";"Balance",#N/A,TRUE,"Bal";"Cflow",#N/A,TRUE,"Cash"}</definedName>
    <definedName name="ews" hidden="1">{"AnnInc",#N/A,TRUE,"Inc";"QtrInc1",#N/A,TRUE,"Inc";"Balance",#N/A,TRUE,"Bal";"Cflow",#N/A,TRUE,"Cash"}</definedName>
    <definedName name="ewv" localSheetId="10" hidden="1">{"Page1",#N/A,FALSE,"OpExJanvsBud";"Page2",#N/A,FALSE,"OpExJanvsBud"}</definedName>
    <definedName name="ewv" hidden="1">{"Page1",#N/A,FALSE,"OpExJanvsBud";"Page2",#N/A,FALSE,"OpExJanvsBud"}</definedName>
    <definedName name="ewwe" localSheetId="10" hidden="1">{#N/A,#N/A,FALSE,"REPORT"}</definedName>
    <definedName name="ewwe" hidden="1">{#N/A,#N/A,FALSE,"REPORT"}</definedName>
    <definedName name="ewweew" localSheetId="10" hidden="1">{#N/A,#N/A,FALSE,"COVER";#N/A,#N/A,FALSE,"SUMP&amp;L";#N/A,#N/A,FALSE,"SUBSP&amp;L";#N/A,#N/A,FALSE,"SALESANAL"}</definedName>
    <definedName name="ewweew" hidden="1">{#N/A,#N/A,FALSE,"COVER";#N/A,#N/A,FALSE,"SUMP&amp;L";#N/A,#N/A,FALSE,"SUBSP&amp;L";#N/A,#N/A,FALSE,"SALESANAL"}</definedName>
    <definedName name="ewye" localSheetId="10" hidden="1">{"NOPCAPEVA",#N/A,FALSE,"Nopat";"FCFCSTAR",#N/A,FALSE,"FCFVAL";"EVAVL",#N/A,FALSE,"EVAVAL";"LEASE",#N/A,FALSE,"OpLease"}</definedName>
    <definedName name="ewye" hidden="1">{"NOPCAPEVA",#N/A,FALSE,"Nopat";"FCFCSTAR",#N/A,FALSE,"FCFVAL";"EVAVL",#N/A,FALSE,"EVAVAL";"LEASE",#N/A,FALSE,"OpLease"}</definedName>
    <definedName name="EX114B" localSheetId="10" hidden="1">{#N/A,#N/A,FALSE,"COP CONS SK";#N/A,#N/A,FALSE,"COP CONS RG";#N/A,#N/A,FALSE,"COP CONS SK BC";#N/A,#N/A,FALSE,"COP CONS RG BC";#N/A,#N/A,FALSE,"ALLIANCE SK";#N/A,#N/A,FALSE,"ALLIANCE RG";#N/A,#N/A,FALSE,"CPC SK";#N/A,#N/A,FALSE,"CPC RG"}</definedName>
    <definedName name="EX114B" hidden="1">{#N/A,#N/A,FALSE,"COP CONS SK";#N/A,#N/A,FALSE,"COP CONS RG";#N/A,#N/A,FALSE,"COP CONS SK BC";#N/A,#N/A,FALSE,"COP CONS RG BC";#N/A,#N/A,FALSE,"ALLIANCE SK";#N/A,#N/A,FALSE,"ALLIANCE RG";#N/A,#N/A,FALSE,"CPC SK";#N/A,#N/A,FALSE,"CPC RG"}</definedName>
    <definedName name="ExactAddinConnection" hidden="1">"001"</definedName>
    <definedName name="ExactAddinConnection.001" hidden="1">"MARGE;001;jdarnell;0"</definedName>
    <definedName name="ExactAddinConnection.002" hidden="1">"MARGE;002;jdarnell;0"</definedName>
    <definedName name="ExactAddinConnection.010" hidden="1">"MARGE;010;jdarnell;0"</definedName>
    <definedName name="ExactAddinConnection.020" hidden="1">"MARGE;020;jdarnell;0"</definedName>
    <definedName name="ExactAddinConnection.034" hidden="1">"MARGE;034;jdarnell;0"</definedName>
    <definedName name="ExactAddinConnection.040" hidden="1">"BYLSQL;040;lclark;1"</definedName>
    <definedName name="ExactAddinConnection.050" hidden="1">"MARGE;050;jdarnell;0"</definedName>
    <definedName name="ExactAddinConnection.051" hidden="1">"RFI-MACOLA;051;yuxu;1"</definedName>
    <definedName name="ExactAddinConnection.060" hidden="1">"BYLSQL;060;lclark;1"</definedName>
    <definedName name="ExactAddinConnection.065" hidden="1">"BYLSQL;065;lclark;1"</definedName>
    <definedName name="ExactAddinConnection.070" hidden="1">"Thor;070;lclark;1"</definedName>
    <definedName name="ExactAddinConnection.071" hidden="1">"thor;071;lclark;1"</definedName>
    <definedName name="ExactAddinConnection.100" hidden="1">"prc152n60.prc152.kpn-post.nl;100;emnne_205397;1"</definedName>
    <definedName name="ExactAddinConnection.300" hidden="1">"MACOLAES;300;mwood;0"</definedName>
    <definedName name="ExactAddinConnection.700" hidden="1">"MACOLAES;700;mwood;0"</definedName>
    <definedName name="ExactAddinReports" hidden="1">1</definedName>
    <definedName name="EXCHANGE" localSheetId="10" hidden="1">{"'subnets'!$A$1:$F$20"}</definedName>
    <definedName name="EXCHANGE" hidden="1">{"'subnets'!$A$1:$F$20"}</definedName>
    <definedName name="Exchange_Rates" hidden="1">#REF!</definedName>
    <definedName name="excl_FX" localSheetId="10" hidden="1">{"SCM_Detail",#N/A,FALSE,"SCM";"SCM_Top",#N/A,FALSE,"SCM"}</definedName>
    <definedName name="excl_FX" hidden="1">{"SCM_Detail",#N/A,FALSE,"SCM";"SCM_Top",#N/A,FALSE,"SCM"}</definedName>
    <definedName name="Exh1_a" localSheetId="10">#REF!</definedName>
    <definedName name="Exh1_a">#REF!</definedName>
    <definedName name="exh1_b" localSheetId="10">#REF!</definedName>
    <definedName name="exh1_b">#REF!</definedName>
    <definedName name="Exhibit" localSheetId="10">#REF!</definedName>
    <definedName name="Exhibit">#REF!</definedName>
    <definedName name="Exhibit_B">#REF!</definedName>
    <definedName name="Exhibit_E">#REF!</definedName>
    <definedName name="Exhibit_G">#REF!</definedName>
    <definedName name="Exhibit_H">#REF!</definedName>
    <definedName name="Exhibit_I">#REF!</definedName>
    <definedName name="exhibit_II">#REF!</definedName>
    <definedName name="ExhibitC1">#REF!</definedName>
    <definedName name="ExhibitG">#REF!</definedName>
    <definedName name="Exit_Reason">#REF!</definedName>
    <definedName name="EXIT_YEAR">#REF!</definedName>
    <definedName name="ExpandOutputs">#REF!</definedName>
    <definedName name="ExpandVPeriods">#REF!</definedName>
    <definedName name="Expected_balance">#REF!</definedName>
    <definedName name="Expenses">#REF!</definedName>
    <definedName name="ExportFile">#REF!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_xlnm.Extract">#REF!</definedName>
    <definedName name="ExtraPayments">#REF!</definedName>
    <definedName name="eydsr" localSheetId="10" hidden="1">{#N/A,"PURCHM",FALSE,"Business Analysis";#N/A,"SPADD",FALSE,"Business Analysis"}</definedName>
    <definedName name="eydsr" hidden="1">{#N/A,"PURCHM",FALSE,"Business Analysis";#N/A,"SPADD",FALSE,"Business Analysis"}</definedName>
    <definedName name="eyh" localSheetId="10" hidden="1">{#N/A,#N/A,FALSE,"BS";#N/A,#N/A,FALSE,"PL";#N/A,#N/A,FALSE,"SOE";#N/A,#N/A,FALSE,"SCF"}</definedName>
    <definedName name="eyh" localSheetId="15" hidden="1">{#N/A,#N/A,FALSE,"BS";#N/A,#N/A,FALSE,"PL";#N/A,#N/A,FALSE,"SOE";#N/A,#N/A,FALSE,"SCF"}</definedName>
    <definedName name="eyh" hidden="1">{#N/A,#N/A,FALSE,"BS";#N/A,#N/A,FALSE,"PL";#N/A,#N/A,FALSE,"SOE";#N/A,#N/A,FALSE,"SCF"}</definedName>
    <definedName name="f">#REF!</definedName>
    <definedName name="f.ffff" localSheetId="10" hidden="1">{#N/A,#N/A,FALSE,"Umsatz 99";#N/A,#N/A,FALSE,"ER 99 "}</definedName>
    <definedName name="f.ffff" hidden="1">{#N/A,#N/A,FALSE,"Umsatz 99";#N/A,#N/A,FALSE,"ER 99 "}</definedName>
    <definedName name="f.sdfg" localSheetId="10" hidden="1">{"sga expense",#N/A,FALSE,"S,G&amp;A EXP"}</definedName>
    <definedName name="f.sdfg" hidden="1">{"sga expense",#N/A,FALSE,"S,G&amp;A EXP"}</definedName>
    <definedName name="f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f_1" hidden="1">{#N/A,#N/A,FALSE,"Projections";#N/A,#N/A,FALSE,"AccrDil";#N/A,#N/A,FALSE,"PurchPriMult";#N/A,#N/A,FALSE,"Mults7_13";#N/A,#N/A,FALSE,"Mkt Mults";#N/A,#N/A,FALSE,"Acq Mults";#N/A,#N/A,FALSE,"StockPrices";#N/A,#N/A,FALSE,"Prem Paid";#N/A,#N/A,FALSE,"DCF";#N/A,#N/A,FALSE,"AUTO";#N/A,#N/A,FALSE,"Relative Trading";#N/A,#N/A,FALSE,"Mkt Val";#N/A,#N/A,FALSE,"Acq Val"}</definedName>
    <definedName name="fa" localSheetId="10" hidden="1">{"vol data",#N/A,FALSE,"Datasheet";"vol graph",#N/A,FALSE,"Volume";"price data",#N/A,FALSE,"Datasheet";"price graph",#N/A,FALSE,"Price";"dp data",#N/A,FALSE,"Datasheet";"dp graph",#N/A,FALSE,"DirectProfit"}</definedName>
    <definedName name="fa" hidden="1">{"vol data",#N/A,FALSE,"Datasheet";"vol graph",#N/A,FALSE,"Volume";"price data",#N/A,FALSE,"Datasheet";"price graph",#N/A,FALSE,"Price";"dp data",#N/A,FALSE,"Datasheet";"dp graph",#N/A,FALSE,"DirectProfit"}</definedName>
    <definedName name="faa"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dsfsd" localSheetId="10" hidden="1">{#N/A,#N/A,FALSE,"MKT.COMPS";#N/A,#N/A,FALSE,"DCF - LBO"}</definedName>
    <definedName name="fadsfsd" hidden="1">{#N/A,#N/A,FALSE,"MKT.COMPS";#N/A,#N/A,FALSE,"DCF - LBO"}</definedName>
    <definedName name="faej" hidden="1">#REF!</definedName>
    <definedName name="FAI" localSheetId="10" hidden="1">{"Material",#N/A,TRUE,"Summary";"Mfg",#N/A,TRUE,"Summary";"mfgbymo",#N/A,TRUE,"By Month";"Mtlbymo",#N/A,TRUE,"By Month"}</definedName>
    <definedName name="FAI" hidden="1">{"Material",#N/A,TRUE,"Summary";"Mfg",#N/A,TRUE,"Summary";"mfgbymo",#N/A,TRUE,"By Month";"Mtlbymo",#N/A,TRUE,"By Month"}</definedName>
    <definedName name="FAI_1" localSheetId="10" hidden="1">{"Material",#N/A,TRUE,"Summary";"Mfg",#N/A,TRUE,"Summary";"mfgbymo",#N/A,TRUE,"By Month";"Mtlbymo",#N/A,TRUE,"By Month"}</definedName>
    <definedName name="FAI_1" hidden="1">{"Material",#N/A,TRUE,"Summary";"Mfg",#N/A,TRUE,"Summary";"mfgbymo",#N/A,TRUE,"By Month";"Mtlbymo",#N/A,TRUE,"By Month"}</definedName>
    <definedName name="FAI_1_1" localSheetId="10" hidden="1">{"Material",#N/A,TRUE,"Summary";"Mfg",#N/A,TRUE,"Summary";"mfgbymo",#N/A,TRUE,"By Month";"Mtlbymo",#N/A,TRUE,"By Month"}</definedName>
    <definedName name="FAI_1_1" hidden="1">{"Material",#N/A,TRUE,"Summary";"Mfg",#N/A,TRUE,"Summary";"mfgbymo",#N/A,TRUE,"By Month";"Mtlbymo",#N/A,TRUE,"By Month"}</definedName>
    <definedName name="FAI_2" localSheetId="10" hidden="1">{"Material",#N/A,TRUE,"Summary";"Mfg",#N/A,TRUE,"Summary";"mfgbymo",#N/A,TRUE,"By Month";"Mtlbymo",#N/A,TRUE,"By Month"}</definedName>
    <definedName name="FAI_2" hidden="1">{"Material",#N/A,TRUE,"Summary";"Mfg",#N/A,TRUE,"Summary";"mfgbymo",#N/A,TRUE,"By Month";"Mtlbymo",#N/A,TRUE,"By Month"}</definedName>
    <definedName name="FakeNums" localSheetId="10">#REF!</definedName>
    <definedName name="FakeNums">#REF!</definedName>
    <definedName name="Fan" localSheetId="10" hidden="1">{"'Actual'!$A$1:$F$25"}</definedName>
    <definedName name="Fan" hidden="1">{"'Actual'!$A$1:$F$25"}</definedName>
    <definedName name="FarrellWitchita" localSheetId="10" hidden="1">{"FCB_ALL",#N/A,FALSE,"FCB"}</definedName>
    <definedName name="FarrellWitchita" localSheetId="15" hidden="1">{"FCB_ALL",#N/A,FALSE,"FCB"}</definedName>
    <definedName name="FarrellWitchita" hidden="1">{"FCB_ALL",#N/A,FALSE,"FCB"}</definedName>
    <definedName name="FAS" localSheetId="10" hidden="1">{#N/A,#N/A,FALSE,"mdr.XLS";"db",#N/A,FALSE,"mdr.XLS";#N/A,#N/A,FALSE,"Forside ";#N/A,#N/A,FALSE,"INVEST.XLS"}</definedName>
    <definedName name="FAS" hidden="1">{#N/A,#N/A,FALSE,"mdr.XLS";"db",#N/A,FALSE,"mdr.XLS";#N/A,#N/A,FALSE,"Forside ";#N/A,#N/A,FALSE,"INVEST.XLS"}</definedName>
    <definedName name="fasdffsd"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sadfasdf" localSheetId="10" hidden="1">{"kricash",#N/A,FALSE,"INC";"kriinc",#N/A,FALSE,"INC";"krimiami",#N/A,FALSE,"INC";"kriother",#N/A,FALSE,"INC";"kripapers",#N/A,FALSE,"INC"}</definedName>
    <definedName name="fasdfsadfasdf" hidden="1">{"kricash",#N/A,FALSE,"INC";"kriinc",#N/A,FALSE,"INC";"krimiami",#N/A,FALSE,"INC";"kriother",#N/A,FALSE,"INC";"kripapers",#N/A,FALSE,"INC"}</definedName>
    <definedName name="FASFAS" localSheetId="10" hidden="1">{#N/A,#N/A,FALSE,"mdr.XLS";"db",#N/A,FALSE,"mdr.XLS";#N/A,#N/A,FALSE,"Forside ";#N/A,#N/A,FALSE,"INVEST.XLS"}</definedName>
    <definedName name="FASFAS" hidden="1">{#N/A,#N/A,FALSE,"mdr.XLS";"db",#N/A,FALSE,"mdr.XLS";#N/A,#N/A,FALSE,"Forside ";#N/A,#N/A,FALSE,"INVEST.XLS"}</definedName>
    <definedName name="FASFAS2" localSheetId="10" hidden="1">{#N/A,#N/A,FALSE,"mdr.XLS";"db",#N/A,FALSE,"mdr.XLS";#N/A,#N/A,FALSE,"Forside ";#N/A,#N/A,FALSE,"INVEST.XLS"}</definedName>
    <definedName name="FASFAS2" hidden="1">{#N/A,#N/A,FALSE,"mdr.XLS";"db",#N/A,FALSE,"mdr.XLS";#N/A,#N/A,FALSE,"Forside ";#N/A,#N/A,FALSE,"INVEST.XLS"}</definedName>
    <definedName name="FASFAS6" localSheetId="10" hidden="1">{#N/A,#N/A,FALSE,"mdr.XLS";"db",#N/A,FALSE,"mdr.XLS";#N/A,#N/A,FALSE,"Forside ";#N/A,#N/A,FALSE,"INVEST.XLS"}</definedName>
    <definedName name="FASFAS6" hidden="1">{#N/A,#N/A,FALSE,"mdr.XLS";"db",#N/A,FALSE,"mdr.XLS";#N/A,#N/A,FALSE,"Forside ";#N/A,#N/A,FALSE,"INVEST.XLS"}</definedName>
    <definedName name="fbvc" localSheetId="10" hidden="1">{"NOPCAPEVA",#N/A,FALSE,"Nopat";"FCFCSTAR",#N/A,FALSE,"FCFVAL";"EVAVL",#N/A,FALSE,"EVAVAL";"LEASE",#N/A,FALSE,"OpLease"}</definedName>
    <definedName name="fbvc" hidden="1">{"NOPCAPEVA",#N/A,FALSE,"Nopat";"FCFCSTAR",#N/A,FALSE,"FCFVAL";"EVAVL",#N/A,FALSE,"EVAVAL";"LEASE",#N/A,FALSE,"OpLease"}</definedName>
    <definedName name="FBVIHY" localSheetId="10" hidden="1">{#N/A,#N/A,FALSE,"mdr.XLS";"db",#N/A,FALSE,"mdr.XLS";#N/A,#N/A,FALSE,"Forside ";#N/A,#N/A,FALSE,"INVEST.XLS"}</definedName>
    <definedName name="FBVIHY" hidden="1">{#N/A,#N/A,FALSE,"mdr.XLS";"db",#N/A,FALSE,"mdr.XLS";#N/A,#N/A,FALSE,"Forside ";#N/A,#N/A,FALSE,"INVEST.XLS"}</definedName>
    <definedName name="FBVIHY2" localSheetId="10" hidden="1">{#N/A,#N/A,FALSE,"mdr.XLS";"db",#N/A,FALSE,"mdr.XLS";#N/A,#N/A,FALSE,"Forside ";#N/A,#N/A,FALSE,"INVEST.XLS"}</definedName>
    <definedName name="FBVIHY2" hidden="1">{#N/A,#N/A,FALSE,"mdr.XLS";"db",#N/A,FALSE,"mdr.XLS";#N/A,#N/A,FALSE,"Forside ";#N/A,#N/A,FALSE,"INVEST.XLS"}</definedName>
    <definedName name="FBVIHY3" localSheetId="10" hidden="1">{#N/A,#N/A,FALSE,"mdr.XLS";"db",#N/A,FALSE,"mdr.XLS";#N/A,#N/A,FALSE,"Forside ";#N/A,#N/A,FALSE,"INVEST.XLS"}</definedName>
    <definedName name="FBVIHY3" hidden="1">{#N/A,#N/A,FALSE,"mdr.XLS";"db",#N/A,FALSE,"mdr.XLS";#N/A,#N/A,FALSE,"Forside ";#N/A,#N/A,FALSE,"INVEST.XLS"}</definedName>
    <definedName name="FBVIHY5" localSheetId="10" hidden="1">{#N/A,#N/A,FALSE,"mdr.XLS";"db",#N/A,FALSE,"mdr.XLS";#N/A,#N/A,FALSE,"Forside ";#N/A,#N/A,FALSE,"INVEST.XLS"}</definedName>
    <definedName name="FBVIHY5" hidden="1">{#N/A,#N/A,FALSE,"mdr.XLS";"db",#N/A,FALSE,"mdr.XLS";#N/A,#N/A,FALSE,"Forside ";#N/A,#N/A,FALSE,"INVEST.XLS"}</definedName>
    <definedName name="FBVIHYFBVIHY" localSheetId="10" hidden="1">{#N/A,#N/A,FALSE,"mdr.XLS";"db",#N/A,FALSE,"mdr.XLS";#N/A,#N/A,FALSE,"Forside ";#N/A,#N/A,FALSE,"INVEST.XLS"}</definedName>
    <definedName name="FBVIHYFBVIHY" hidden="1">{#N/A,#N/A,FALSE,"mdr.XLS";"db",#N/A,FALSE,"mdr.XLS";#N/A,#N/A,FALSE,"Forside ";#N/A,#N/A,FALSE,"INVEST.XLS"}</definedName>
    <definedName name="FCase" localSheetId="10">#REF!</definedName>
    <definedName name="FCase">#REF!</definedName>
    <definedName name="fcd"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localSheetId="10" hidden="1">{"by departments",#N/A,TRUE,"FORECAST";"cap_headcount",#N/A,TRUE,"FORECAST";"summary",#N/A,TRUE,"FORECAST"}</definedName>
    <definedName name="fcuk" localSheetId="15" hidden="1">{"by departments",#N/A,TRUE,"FORECAST";"cap_headcount",#N/A,TRUE,"FORECAST";"summary",#N/A,TRUE,"FORECAST"}</definedName>
    <definedName name="fcuk" hidden="1">{"by departments",#N/A,TRUE,"FORECAST";"cap_headcount",#N/A,TRUE,"FORECAST";"summary",#N/A,TRUE,"FORECAST"}</definedName>
    <definedName name="f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 hidden="1">{#N/A,#N/A,FALSE,"Statements";#N/A,#N/A,FALSE,"Capital";#N/A,#N/A,FALSE,"UTIL Monthly Inc ";#N/A,#N/A,FALSE,"UTIL REVENUE";#N/A,#N/A,FALSE,"UTIL SERV REV ";#N/A,#N/A,FALSE,"Manpower";#N/A,#N/A,FALSE,"Maintenance";#N/A,#N/A,FALSE,"Util Sales Support";#N/A,#N/A,FALSE,"SI - UTIL";#N/A,#N/A,FALSE,"Sales - Utili";#N/A,#N/A,FALSE,"Util - Mktg"}</definedName>
    <definedName name="FD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 hidden="1">{#N/A,#N/A,FALSE,"Statements";#N/A,#N/A,FALSE,"Capital";#N/A,#N/A,FALSE,"UTIL Monthly Inc ";#N/A,#N/A,FALSE,"UTIL REVENUE";#N/A,#N/A,FALSE,"UTIL SERV REV ";#N/A,#N/A,FALSE,"Manpower";#N/A,#N/A,FALSE,"Maintenance";#N/A,#N/A,FALSE,"Util Sales Support";#N/A,#N/A,FALSE,"SI - UTIL";#N/A,#N/A,FALSE,"Sales - Utili";#N/A,#N/A,FALSE,"Util - Mktg"}</definedName>
    <definedName name="FD_1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1" hidden="1">{#N/A,#N/A,FALSE,"Statements";#N/A,#N/A,FALSE,"Capital";#N/A,#N/A,FALSE,"UTIL Monthly Inc ";#N/A,#N/A,FALSE,"UTIL REVENUE";#N/A,#N/A,FALSE,"UTIL SERV REV ";#N/A,#N/A,FALSE,"Manpower";#N/A,#N/A,FALSE,"Maintenance";#N/A,#N/A,FALSE,"Util Sales Support";#N/A,#N/A,FALSE,"SI - UTIL";#N/A,#N/A,FALSE,"Sales - Utili";#N/A,#N/A,FALSE,"Util - Mktg"}</definedName>
    <definedName name="FD_1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2" hidden="1">{#N/A,#N/A,FALSE,"Statements";#N/A,#N/A,FALSE,"Capital";#N/A,#N/A,FALSE,"UTIL Monthly Inc ";#N/A,#N/A,FALSE,"UTIL REVENUE";#N/A,#N/A,FALSE,"UTIL SERV REV ";#N/A,#N/A,FALSE,"Manpower";#N/A,#N/A,FALSE,"Maintenance";#N/A,#N/A,FALSE,"Util Sales Support";#N/A,#N/A,FALSE,"SI - UTIL";#N/A,#N/A,FALSE,"Sales - Utili";#N/A,#N/A,FALSE,"Util - Mktg"}</definedName>
    <definedName name="FD_1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3" hidden="1">{#N/A,#N/A,FALSE,"Statements";#N/A,#N/A,FALSE,"Capital";#N/A,#N/A,FALSE,"UTIL Monthly Inc ";#N/A,#N/A,FALSE,"UTIL REVENUE";#N/A,#N/A,FALSE,"UTIL SERV REV ";#N/A,#N/A,FALSE,"Manpower";#N/A,#N/A,FALSE,"Maintenance";#N/A,#N/A,FALSE,"Util Sales Support";#N/A,#N/A,FALSE,"SI - UTIL";#N/A,#N/A,FALSE,"Sales - Utili";#N/A,#N/A,FALSE,"Util - Mktg"}</definedName>
    <definedName name="FD_1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4" hidden="1">{#N/A,#N/A,FALSE,"Statements";#N/A,#N/A,FALSE,"Capital";#N/A,#N/A,FALSE,"UTIL Monthly Inc ";#N/A,#N/A,FALSE,"UTIL REVENUE";#N/A,#N/A,FALSE,"UTIL SERV REV ";#N/A,#N/A,FALSE,"Manpower";#N/A,#N/A,FALSE,"Maintenance";#N/A,#N/A,FALSE,"Util Sales Support";#N/A,#N/A,FALSE,"SI - UTIL";#N/A,#N/A,FALSE,"Sales - Utili";#N/A,#N/A,FALSE,"Util - Mktg"}</definedName>
    <definedName name="FD_1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1_5" hidden="1">{#N/A,#N/A,FALSE,"Statements";#N/A,#N/A,FALSE,"Capital";#N/A,#N/A,FALSE,"UTIL Monthly Inc ";#N/A,#N/A,FALSE,"UTIL REVENUE";#N/A,#N/A,FALSE,"UTIL SERV REV ";#N/A,#N/A,FALSE,"Manpower";#N/A,#N/A,FALSE,"Maintenance";#N/A,#N/A,FALSE,"Util Sales Support";#N/A,#N/A,FALSE,"SI - UTIL";#N/A,#N/A,FALSE,"Sales - Utili";#N/A,#N/A,FALSE,"Util - Mktg"}</definedName>
    <definedName name="FD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2" hidden="1">{#N/A,#N/A,FALSE,"Statements";#N/A,#N/A,FALSE,"Capital";#N/A,#N/A,FALSE,"UTIL Monthly Inc ";#N/A,#N/A,FALSE,"UTIL REVENUE";#N/A,#N/A,FALSE,"UTIL SERV REV ";#N/A,#N/A,FALSE,"Manpower";#N/A,#N/A,FALSE,"Maintenance";#N/A,#N/A,FALSE,"Util Sales Support";#N/A,#N/A,FALSE,"SI - UTIL";#N/A,#N/A,FALSE,"Sales - Utili";#N/A,#N/A,FALSE,"Util - Mktg"}</definedName>
    <definedName name="FD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3" hidden="1">{#N/A,#N/A,FALSE,"Statements";#N/A,#N/A,FALSE,"Capital";#N/A,#N/A,FALSE,"UTIL Monthly Inc ";#N/A,#N/A,FALSE,"UTIL REVENUE";#N/A,#N/A,FALSE,"UTIL SERV REV ";#N/A,#N/A,FALSE,"Manpower";#N/A,#N/A,FALSE,"Maintenance";#N/A,#N/A,FALSE,"Util Sales Support";#N/A,#N/A,FALSE,"SI - UTIL";#N/A,#N/A,FALSE,"Sales - Utili";#N/A,#N/A,FALSE,"Util - Mktg"}</definedName>
    <definedName name="FD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4" hidden="1">{#N/A,#N/A,FALSE,"Statements";#N/A,#N/A,FALSE,"Capital";#N/A,#N/A,FALSE,"UTIL Monthly Inc ";#N/A,#N/A,FALSE,"UTIL REVENUE";#N/A,#N/A,FALSE,"UTIL SERV REV ";#N/A,#N/A,FALSE,"Manpower";#N/A,#N/A,FALSE,"Maintenance";#N/A,#N/A,FALSE,"Util Sales Support";#N/A,#N/A,FALSE,"SI - UTIL";#N/A,#N/A,FALSE,"Sales - Utili";#N/A,#N/A,FALSE,"Util - Mktg"}</definedName>
    <definedName name="FD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1_5" hidden="1">{#N/A,#N/A,FALSE,"Statements";#N/A,#N/A,FALSE,"Capital";#N/A,#N/A,FALSE,"UTIL Monthly Inc ";#N/A,#N/A,FALSE,"UTIL REVENUE";#N/A,#N/A,FALSE,"UTIL SERV REV ";#N/A,#N/A,FALSE,"Manpower";#N/A,#N/A,FALSE,"Maintenance";#N/A,#N/A,FALSE,"Util Sales Support";#N/A,#N/A,FALSE,"SI - UTIL";#N/A,#N/A,FALSE,"Sales - Utili";#N/A,#N/A,FALSE,"Util - Mktg"}</definedName>
    <definedName name="FD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 hidden="1">{#N/A,#N/A,FALSE,"Statements";#N/A,#N/A,FALSE,"Capital";#N/A,#N/A,FALSE,"UTIL Monthly Inc ";#N/A,#N/A,FALSE,"UTIL REVENUE";#N/A,#N/A,FALSE,"UTIL SERV REV ";#N/A,#N/A,FALSE,"Manpower";#N/A,#N/A,FALSE,"Maintenance";#N/A,#N/A,FALSE,"Util Sales Support";#N/A,#N/A,FALSE,"SI - UTIL";#N/A,#N/A,FALSE,"Sales - Utili";#N/A,#N/A,FALSE,"Util - Mktg"}</definedName>
    <definedName name="FD_2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1" hidden="1">{#N/A,#N/A,FALSE,"Statements";#N/A,#N/A,FALSE,"Capital";#N/A,#N/A,FALSE,"UTIL Monthly Inc ";#N/A,#N/A,FALSE,"UTIL REVENUE";#N/A,#N/A,FALSE,"UTIL SERV REV ";#N/A,#N/A,FALSE,"Manpower";#N/A,#N/A,FALSE,"Maintenance";#N/A,#N/A,FALSE,"Util Sales Support";#N/A,#N/A,FALSE,"SI - UTIL";#N/A,#N/A,FALSE,"Sales - Utili";#N/A,#N/A,FALSE,"Util - Mktg"}</definedName>
    <definedName name="FD_2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2" hidden="1">{#N/A,#N/A,FALSE,"Statements";#N/A,#N/A,FALSE,"Capital";#N/A,#N/A,FALSE,"UTIL Monthly Inc ";#N/A,#N/A,FALSE,"UTIL REVENUE";#N/A,#N/A,FALSE,"UTIL SERV REV ";#N/A,#N/A,FALSE,"Manpower";#N/A,#N/A,FALSE,"Maintenance";#N/A,#N/A,FALSE,"Util Sales Support";#N/A,#N/A,FALSE,"SI - UTIL";#N/A,#N/A,FALSE,"Sales - Utili";#N/A,#N/A,FALSE,"Util - Mktg"}</definedName>
    <definedName name="FD_2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3" hidden="1">{#N/A,#N/A,FALSE,"Statements";#N/A,#N/A,FALSE,"Capital";#N/A,#N/A,FALSE,"UTIL Monthly Inc ";#N/A,#N/A,FALSE,"UTIL REVENUE";#N/A,#N/A,FALSE,"UTIL SERV REV ";#N/A,#N/A,FALSE,"Manpower";#N/A,#N/A,FALSE,"Maintenance";#N/A,#N/A,FALSE,"Util Sales Support";#N/A,#N/A,FALSE,"SI - UTIL";#N/A,#N/A,FALSE,"Sales - Utili";#N/A,#N/A,FALSE,"Util - Mktg"}</definedName>
    <definedName name="FD_2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4" hidden="1">{#N/A,#N/A,FALSE,"Statements";#N/A,#N/A,FALSE,"Capital";#N/A,#N/A,FALSE,"UTIL Monthly Inc ";#N/A,#N/A,FALSE,"UTIL REVENUE";#N/A,#N/A,FALSE,"UTIL SERV REV ";#N/A,#N/A,FALSE,"Manpower";#N/A,#N/A,FALSE,"Maintenance";#N/A,#N/A,FALSE,"Util Sales Support";#N/A,#N/A,FALSE,"SI - UTIL";#N/A,#N/A,FALSE,"Sales - Utili";#N/A,#N/A,FALSE,"Util - Mktg"}</definedName>
    <definedName name="FD_2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2_5" hidden="1">{#N/A,#N/A,FALSE,"Statements";#N/A,#N/A,FALSE,"Capital";#N/A,#N/A,FALSE,"UTIL Monthly Inc ";#N/A,#N/A,FALSE,"UTIL REVENUE";#N/A,#N/A,FALSE,"UTIL SERV REV ";#N/A,#N/A,FALSE,"Manpower";#N/A,#N/A,FALSE,"Maintenance";#N/A,#N/A,FALSE,"Util Sales Support";#N/A,#N/A,FALSE,"SI - UTIL";#N/A,#N/A,FALSE,"Sales - Utili";#N/A,#N/A,FALSE,"Util - Mktg"}</definedName>
    <definedName name="FD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 hidden="1">{#N/A,#N/A,FALSE,"Statements";#N/A,#N/A,FALSE,"Capital";#N/A,#N/A,FALSE,"UTIL Monthly Inc ";#N/A,#N/A,FALSE,"UTIL REVENUE";#N/A,#N/A,FALSE,"UTIL SERV REV ";#N/A,#N/A,FALSE,"Manpower";#N/A,#N/A,FALSE,"Maintenance";#N/A,#N/A,FALSE,"Util Sales Support";#N/A,#N/A,FALSE,"SI - UTIL";#N/A,#N/A,FALSE,"Sales - Utili";#N/A,#N/A,FALSE,"Util - Mktg"}</definedName>
    <definedName name="FD_3_1"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1" hidden="1">{#N/A,#N/A,FALSE,"Statements";#N/A,#N/A,FALSE,"Capital";#N/A,#N/A,FALSE,"UTIL Monthly Inc ";#N/A,#N/A,FALSE,"UTIL REVENUE";#N/A,#N/A,FALSE,"UTIL SERV REV ";#N/A,#N/A,FALSE,"Manpower";#N/A,#N/A,FALSE,"Maintenance";#N/A,#N/A,FALSE,"Util Sales Support";#N/A,#N/A,FALSE,"SI - UTIL";#N/A,#N/A,FALSE,"Sales - Utili";#N/A,#N/A,FALSE,"Util - Mktg"}</definedName>
    <definedName name="FD_3_2"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2" hidden="1">{#N/A,#N/A,FALSE,"Statements";#N/A,#N/A,FALSE,"Capital";#N/A,#N/A,FALSE,"UTIL Monthly Inc ";#N/A,#N/A,FALSE,"UTIL REVENUE";#N/A,#N/A,FALSE,"UTIL SERV REV ";#N/A,#N/A,FALSE,"Manpower";#N/A,#N/A,FALSE,"Maintenance";#N/A,#N/A,FALSE,"Util Sales Support";#N/A,#N/A,FALSE,"SI - UTIL";#N/A,#N/A,FALSE,"Sales - Utili";#N/A,#N/A,FALSE,"Util - Mktg"}</definedName>
    <definedName name="FD_3_3"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3" hidden="1">{#N/A,#N/A,FALSE,"Statements";#N/A,#N/A,FALSE,"Capital";#N/A,#N/A,FALSE,"UTIL Monthly Inc ";#N/A,#N/A,FALSE,"UTIL REVENUE";#N/A,#N/A,FALSE,"UTIL SERV REV ";#N/A,#N/A,FALSE,"Manpower";#N/A,#N/A,FALSE,"Maintenance";#N/A,#N/A,FALSE,"Util Sales Support";#N/A,#N/A,FALSE,"SI - UTIL";#N/A,#N/A,FALSE,"Sales - Utili";#N/A,#N/A,FALSE,"Util - Mktg"}</definedName>
    <definedName name="FD_3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4" hidden="1">{#N/A,#N/A,FALSE,"Statements";#N/A,#N/A,FALSE,"Capital";#N/A,#N/A,FALSE,"UTIL Monthly Inc ";#N/A,#N/A,FALSE,"UTIL REVENUE";#N/A,#N/A,FALSE,"UTIL SERV REV ";#N/A,#N/A,FALSE,"Manpower";#N/A,#N/A,FALSE,"Maintenance";#N/A,#N/A,FALSE,"Util Sales Support";#N/A,#N/A,FALSE,"SI - UTIL";#N/A,#N/A,FALSE,"Sales - Utili";#N/A,#N/A,FALSE,"Util - Mktg"}</definedName>
    <definedName name="FD_3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3_5" hidden="1">{#N/A,#N/A,FALSE,"Statements";#N/A,#N/A,FALSE,"Capital";#N/A,#N/A,FALSE,"UTIL Monthly Inc ";#N/A,#N/A,FALSE,"UTIL REVENUE";#N/A,#N/A,FALSE,"UTIL SERV REV ";#N/A,#N/A,FALSE,"Manpower";#N/A,#N/A,FALSE,"Maintenance";#N/A,#N/A,FALSE,"Util Sales Support";#N/A,#N/A,FALSE,"SI - UTIL";#N/A,#N/A,FALSE,"Sales - Utili";#N/A,#N/A,FALSE,"Util - Mktg"}</definedName>
    <definedName name="FD_4"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4" hidden="1">{#N/A,#N/A,FALSE,"Statements";#N/A,#N/A,FALSE,"Capital";#N/A,#N/A,FALSE,"UTIL Monthly Inc ";#N/A,#N/A,FALSE,"UTIL REVENUE";#N/A,#N/A,FALSE,"UTIL SERV REV ";#N/A,#N/A,FALSE,"Manpower";#N/A,#N/A,FALSE,"Maintenance";#N/A,#N/A,FALSE,"Util Sales Support";#N/A,#N/A,FALSE,"SI - UTIL";#N/A,#N/A,FALSE,"Sales - Utili";#N/A,#N/A,FALSE,"Util - Mktg"}</definedName>
    <definedName name="FD_5" localSheetId="10" hidden="1">{#N/A,#N/A,FALSE,"Statements";#N/A,#N/A,FALSE,"Capital";#N/A,#N/A,FALSE,"UTIL Monthly Inc ";#N/A,#N/A,FALSE,"UTIL REVENUE";#N/A,#N/A,FALSE,"UTIL SERV REV ";#N/A,#N/A,FALSE,"Manpower";#N/A,#N/A,FALSE,"Maintenance";#N/A,#N/A,FALSE,"Util Sales Support";#N/A,#N/A,FALSE,"SI - UTIL";#N/A,#N/A,FALSE,"Sales - Utili";#N/A,#N/A,FALSE,"Util - Mktg"}</definedName>
    <definedName name="FD_5" hidden="1">{#N/A,#N/A,FALSE,"Statements";#N/A,#N/A,FALSE,"Capital";#N/A,#N/A,FALSE,"UTIL Monthly Inc ";#N/A,#N/A,FALSE,"UTIL REVENUE";#N/A,#N/A,FALSE,"UTIL SERV REV ";#N/A,#N/A,FALSE,"Manpower";#N/A,#N/A,FALSE,"Maintenance";#N/A,#N/A,FALSE,"Util Sales Support";#N/A,#N/A,FALSE,"SI - UTIL";#N/A,#N/A,FALSE,"Sales - Utili";#N/A,#N/A,FALSE,"Util - Mktg"}</definedName>
    <definedName name="fda" localSheetId="10" hidden="1">{#N/A,#N/A,FALSE,"Income Statement"}</definedName>
    <definedName name="fda" hidden="1">{#N/A,#N/A,FALSE,"Income Statement"}</definedName>
    <definedName name="fda_1" localSheetId="10" hidden="1">{#N/A,#N/A,FALSE,"Income Statement"}</definedName>
    <definedName name="fda_1" hidden="1">{#N/A,#N/A,FALSE,"Income Statement"}</definedName>
    <definedName name="fda_2" localSheetId="10" hidden="1">{#N/A,#N/A,FALSE,"Income Statement"}</definedName>
    <definedName name="fda_2" hidden="1">{#N/A,#N/A,FALSE,"Income Statement"}</definedName>
    <definedName name="fda_3" localSheetId="10" hidden="1">{#N/A,#N/A,FALSE,"Income Statement"}</definedName>
    <definedName name="fda_3" hidden="1">{#N/A,#N/A,FALSE,"Income Statement"}</definedName>
    <definedName name="fda_4" localSheetId="10" hidden="1">{#N/A,#N/A,FALSE,"Income Statement"}</definedName>
    <definedName name="fda_4" hidden="1">{#N/A,#N/A,FALSE,"Income Statement"}</definedName>
    <definedName name="fda_5" localSheetId="10" hidden="1">{#N/A,#N/A,FALSE,"Income Statement"}</definedName>
    <definedName name="fda_5" hidden="1">{#N/A,#N/A,FALSE,"Income Statement"}</definedName>
    <definedName name="fdad" hidden="1">#REF!</definedName>
    <definedName name="fdadfds" hidden="1">#REF!</definedName>
    <definedName name="fdag" localSheetId="10" hidden="1">{#N/A,#N/A,TRUE,"2432"}</definedName>
    <definedName name="fdag" hidden="1">{#N/A,#N/A,TRUE,"2432"}</definedName>
    <definedName name="fdase" localSheetId="10" hidden="1">{"NOPCAPEVA",#N/A,FALSE,"Nopat";"FCFCSTAR",#N/A,FALSE,"FCFVAL";"EVAVL",#N/A,FALSE,"EVAVAL";"LEASE",#N/A,FALSE,"OpLease"}</definedName>
    <definedName name="fdase" hidden="1">{"NOPCAPEVA",#N/A,FALSE,"Nopat";"FCFCSTAR",#N/A,FALSE,"FCFVAL";"EVAVL",#N/A,FALSE,"EVAVAL";"LEASE",#N/A,FALSE,"OpLease"}</definedName>
    <definedName name="fdc" localSheetId="10" hidden="1">{"NOPCAPEVA",#N/A,FALSE,"Nopat";"FCFCSTAR",#N/A,FALSE,"FCFVAL";"EVAVL",#N/A,FALSE,"EVAVAL";"LEASE",#N/A,FALSE,"OpLease"}</definedName>
    <definedName name="fdc" hidden="1">{"NOPCAPEVA",#N/A,FALSE,"Nopat";"FCFCSTAR",#N/A,FALSE,"FCFVAL";"EVAVL",#N/A,FALSE,"EVAVAL";"LEASE",#N/A,FALSE,"OpLease"}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ef" localSheetId="10"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10"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adfa" hidden="1">#REF!</definedName>
    <definedName name="FDFD" localSheetId="10" hidden="1">{#N/A,#N/A,FALSE,"Pharm";#N/A,#N/A,FALSE,"WWCM"}</definedName>
    <definedName name="FDFD" hidden="1">{#N/A,#N/A,FALSE,"Pharm";#N/A,#N/A,FALSE,"WWCM"}</definedName>
    <definedName name="fdf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 localSheetId="10" hidden="1">{"quarterly",#N/A,FALSE,"Income Statement";#N/A,#N/A,FALSE,"print segment";#N/A,#N/A,FALSE,"Balance Sheet";#N/A,#N/A,FALSE,"Annl Inc";#N/A,#N/A,FALSE,"Cash Flow"}</definedName>
    <definedName name="fdfg" hidden="1">{"quarterly",#N/A,FALSE,"Income Statement";#N/A,#N/A,FALSE,"print segment";#N/A,#N/A,FALSE,"Balance Sheet";#N/A,#N/A,FALSE,"Annl Inc";#N/A,#N/A,FALSE,"Cash Flow"}</definedName>
    <definedName name="fdfghdf" localSheetId="10" hidden="1">{"inputs raw data",#N/A,TRUE,"INPUT"}</definedName>
    <definedName name="fdfghdf" localSheetId="15" hidden="1">{"inputs raw data",#N/A,TRUE,"INPUT"}</definedName>
    <definedName name="fdfghdf" hidden="1">{"inputs raw data",#N/A,TRUE,"INPUT"}</definedName>
    <definedName name="FDFS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s" localSheetId="10"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 localSheetId="10"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dfg" localSheetId="10" hidden="1">{"works expense",#N/A,FALSE,"WORKS EXPENSE"}</definedName>
    <definedName name="fdgdfg" hidden="1">{"works expense",#N/A,FALSE,"WORKS EXPENSE"}</definedName>
    <definedName name="fdgdfgfdgf" localSheetId="10"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10" hidden="1">{"FCB_ALL",#N/A,FALSE,"FCB";"GREY_ALL",#N/A,FALSE,"GREY"}</definedName>
    <definedName name="fdgfdg" localSheetId="15" hidden="1">{"FCB_ALL",#N/A,FALSE,"FCB";"GREY_ALL",#N/A,FALSE,"GREY"}</definedName>
    <definedName name="fdgfdg" hidden="1">{"FCB_ALL",#N/A,FALSE,"FCB";"GREY_ALL",#N/A,FALSE,"GREY"}</definedName>
    <definedName name="fdgfdgfdgfdg" localSheetId="10" hidden="1">{#N/A,#N/A,FALSE,"KA CH  (2)"}</definedName>
    <definedName name="fdgfdgfdgfdg" hidden="1">{#N/A,#N/A,FALSE,"KA CH  (2)"}</definedName>
    <definedName name="fdgfdgsdgsdgs" localSheetId="10" hidden="1">{#N/A,#N/A,FALSE,"KA CH  (2)"}</definedName>
    <definedName name="fdgfdgsdgsdgs" hidden="1">{#N/A,#N/A,FALSE,"KA CH  (2)"}</definedName>
    <definedName name="fdhhth" hidden="1">#REF!</definedName>
    <definedName name="fdjkei" localSheetId="10" hidden="1">{"bs",#N/A,FALSE,"SCF"}</definedName>
    <definedName name="fdjkei" hidden="1">{"bs",#N/A,FALSE,"SCF"}</definedName>
    <definedName name="FDP_0_1_aSrv" hidden="1">#REF!</definedName>
    <definedName name="FDP_0_1_aUrv" localSheetId="10"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Srv" hidden="1">#REF!</definedName>
    <definedName name="FDP_102_1_aUrv" hidden="1">#REF!</definedName>
    <definedName name="FDP_103_1_aS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Srv" hidden="1">#REF!</definedName>
    <definedName name="FDP_131_1_aUrv" hidden="1">#REF!</definedName>
    <definedName name="FDP_132_1_aSrv" hidden="1">#REF!</definedName>
    <definedName name="FDP_132_1_aUrv" hidden="1">#REF!</definedName>
    <definedName name="FDP_133_1_aS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Srv" hidden="1">#REF!</definedName>
    <definedName name="FDP_137_1_aUrv" hidden="1">#REF!</definedName>
    <definedName name="FDP_138_1_aS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S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0_1_aUrv" hidden="1">#REF!</definedName>
    <definedName name="FDP_151_1_aUrv" hidden="1">#REF!</definedName>
    <definedName name="FDP_152_1_aSrv" hidden="1">#REF!</definedName>
    <definedName name="FDP_152_1_aUrv" hidden="1">#REF!</definedName>
    <definedName name="FDP_153_1_aUrv" hidden="1">#REF!</definedName>
    <definedName name="FDP_154_1_aSrv" hidden="1">#REF!</definedName>
    <definedName name="FDP_154_1_aUrv" hidden="1">#REF!</definedName>
    <definedName name="FDP_155_1_aSrv" hidden="1">#REF!</definedName>
    <definedName name="FDP_155_1_aUrv" hidden="1">#REF!</definedName>
    <definedName name="FDP_156_1_aSrv" hidden="1">#REF!</definedName>
    <definedName name="FDP_156_1_aUrv" hidden="1">#REF!</definedName>
    <definedName name="FDP_157_1_aSrv" hidden="1">#REF!</definedName>
    <definedName name="FDP_157_1_aUrv" hidden="1">#REF!</definedName>
    <definedName name="FDP_158_1_aSrv" hidden="1">#REF!</definedName>
    <definedName name="FDP_158_1_aUrv" hidden="1">#REF!</definedName>
    <definedName name="FDP_159_1_aSrv" hidden="1">#REF!</definedName>
    <definedName name="FDP_159_1_aUrv" hidden="1">#REF!</definedName>
    <definedName name="FDP_16_1_aDrv" hidden="1">#REF!</definedName>
    <definedName name="FDP_16_1_aUrv" hidden="1">#REF!</definedName>
    <definedName name="FDP_160_1_aSrv" hidden="1">#REF!</definedName>
    <definedName name="FDP_160_1_aUrv" hidden="1">#REF!</definedName>
    <definedName name="FDP_161_1_aDrv" hidden="1">#REF!</definedName>
    <definedName name="FDP_161_1_aSrv" hidden="1">#REF!</definedName>
    <definedName name="FDP_162_1_aDrv" hidden="1">#REF!</definedName>
    <definedName name="FDP_162_1_aUrv" hidden="1">#REF!</definedName>
    <definedName name="FDP_163_1_aDrv" hidden="1">#REF!</definedName>
    <definedName name="FDP_163_1_aSrv" hidden="1">#REF!</definedName>
    <definedName name="FDP_163_1_aUrv" hidden="1">#REF!</definedName>
    <definedName name="FDP_164_1_aDrv" hidden="1">#REF!</definedName>
    <definedName name="FDP_164_1_aUrv" hidden="1">#REF!</definedName>
    <definedName name="FDP_165_1_aDrv" hidden="1">#REF!</definedName>
    <definedName name="FDP_165_1_aSrv" hidden="1">#REF!</definedName>
    <definedName name="FDP_165_1_aU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Srv" hidden="1">#REF!</definedName>
    <definedName name="FDP_169_1_aDrv" hidden="1">#REF!</definedName>
    <definedName name="FDP_169_1_aSrv" hidden="1">#REF!</definedName>
    <definedName name="FDP_169_1_aUrv" hidden="1">#REF!</definedName>
    <definedName name="FDP_17_1_aUrv" hidden="1">#REF!</definedName>
    <definedName name="FDP_170_1_aDrv" hidden="1">#REF!</definedName>
    <definedName name="FDP_170_1_aSrv" hidden="1">#REF!</definedName>
    <definedName name="FDP_170_1_aUrv" hidden="1">#REF!</definedName>
    <definedName name="FDP_171_1_aDrv" hidden="1">#REF!</definedName>
    <definedName name="FDP_171_1_aSrv" hidden="1">#REF!</definedName>
    <definedName name="FDP_171_1_aUrv" hidden="1">#REF!</definedName>
    <definedName name="FDP_172_1_aDrv" hidden="1">#REF!</definedName>
    <definedName name="FDP_172_1_aUrv" hidden="1">#REF!</definedName>
    <definedName name="FDP_173_1_aDrv" hidden="1">#REF!</definedName>
    <definedName name="FDP_173_1_aUrv" hidden="1">#REF!</definedName>
    <definedName name="FDP_174_1_aDrv" hidden="1">#REF!</definedName>
    <definedName name="FDP_174_1_aSrv" hidden="1">#REF!</definedName>
    <definedName name="FDP_174_1_aU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Srv" hidden="1">#REF!</definedName>
    <definedName name="FDP_177_1_aUrv" hidden="1">#REF!</definedName>
    <definedName name="FDP_178_1_aDrv" hidden="1">#REF!</definedName>
    <definedName name="FDP_178_1_aSrv" hidden="1">#REF!</definedName>
    <definedName name="FDP_178_1_aUrv" hidden="1">#REF!</definedName>
    <definedName name="FDP_179_1_aSrv" hidden="1">#REF!</definedName>
    <definedName name="FDP_179_1_aUrv" hidden="1">#REF!</definedName>
    <definedName name="FDP_18_1_aUrv" hidden="1">#REF!</definedName>
    <definedName name="FDP_18_1_rUrv" hidden="1">#REF!</definedName>
    <definedName name="FDP_180_1_aSrv" hidden="1">#REF!</definedName>
    <definedName name="FDP_180_1_aUdv" hidden="1">#REF!</definedName>
    <definedName name="FDP_180_1_aUrv" hidden="1">#REF!</definedName>
    <definedName name="FDP_181_1_aUdv" hidden="1">#REF!</definedName>
    <definedName name="FDP_181_1_aUrv" hidden="1">#REF!</definedName>
    <definedName name="FDP_182_1_aDrv" hidden="1">#REF!</definedName>
    <definedName name="FDP_182_1_aSrv" hidden="1">#REF!</definedName>
    <definedName name="FDP_182_1_aUdv" hidden="1">#REF!</definedName>
    <definedName name="FDP_183_1_aDrv" hidden="1">#REF!</definedName>
    <definedName name="FDP_183_1_aSrv" hidden="1">#REF!</definedName>
    <definedName name="FDP_183_1_aUdv" hidden="1">#REF!</definedName>
    <definedName name="FDP_183_1_aUrv" hidden="1">#REF!</definedName>
    <definedName name="FDP_184_1_aUdv" hidden="1">#REF!</definedName>
    <definedName name="FDP_184_1_aUrv" hidden="1">#REF!</definedName>
    <definedName name="FDP_185_1_aSrv" hidden="1">#REF!</definedName>
    <definedName name="FDP_185_1_aUdv" hidden="1">#REF!</definedName>
    <definedName name="FDP_186_1_aUdv" hidden="1">#REF!</definedName>
    <definedName name="FDP_186_1_aUrv" hidden="1">#REF!</definedName>
    <definedName name="FDP_187_1_aSrv" hidden="1">#REF!</definedName>
    <definedName name="FDP_187_1_aUdv" hidden="1">#REF!</definedName>
    <definedName name="FDP_187_1_aUrv" hidden="1">#REF!</definedName>
    <definedName name="FDP_188_1_aUdv" hidden="1">#REF!</definedName>
    <definedName name="FDP_188_1_aUrv" hidden="1">#REF!</definedName>
    <definedName name="FDP_189_1_aUdv" hidden="1">#REF!</definedName>
    <definedName name="FDP_189_1_aUrv" hidden="1">#REF!</definedName>
    <definedName name="FDP_19_1_aDrv" hidden="1">#REF!</definedName>
    <definedName name="FDP_19_1_aUrv" hidden="1">#REF!</definedName>
    <definedName name="FDP_190_1_aUdv" hidden="1">#REF!</definedName>
    <definedName name="FDP_190_1_aUrv" hidden="1">#REF!</definedName>
    <definedName name="FDP_191_1_aUdv" hidden="1">#REF!</definedName>
    <definedName name="FDP_191_1_aUrv" hidden="1">#REF!</definedName>
    <definedName name="FDP_192_1_aSrv" hidden="1">#REF!</definedName>
    <definedName name="FDP_192_1_aUdv" hidden="1">#REF!</definedName>
    <definedName name="FDP_192_1_aUrv" hidden="1">#REF!</definedName>
    <definedName name="FDP_193_1_aUdv" hidden="1">#REF!</definedName>
    <definedName name="FDP_193_1_aUrv" hidden="1">#REF!</definedName>
    <definedName name="FDP_194_1_aUdv" hidden="1">#REF!</definedName>
    <definedName name="FDP_194_1_aUrv" hidden="1">#REF!</definedName>
    <definedName name="FDP_195_1_aUdv" hidden="1">#REF!</definedName>
    <definedName name="FDP_195_1_aUrv" hidden="1">#REF!</definedName>
    <definedName name="FDP_196_1_aSrv" hidden="1">#REF!</definedName>
    <definedName name="FDP_196_1_aUdv" hidden="1">#REF!</definedName>
    <definedName name="FDP_196_1_aUrv" hidden="1">#REF!</definedName>
    <definedName name="FDP_197_1_aSrv" hidden="1">#REF!</definedName>
    <definedName name="FDP_197_1_aUdv" hidden="1">#REF!</definedName>
    <definedName name="FDP_197_1_aUrv" hidden="1">#REF!</definedName>
    <definedName name="FDP_198_1_aSrv" hidden="1">#REF!</definedName>
    <definedName name="FDP_198_1_aUdv" hidden="1">#REF!</definedName>
    <definedName name="FDP_198_1_aUrv" hidden="1">#REF!</definedName>
    <definedName name="FDP_199_1_aUdv" hidden="1">#REF!</definedName>
    <definedName name="FDP_199_1_aUrv" hidden="1">#REF!</definedName>
    <definedName name="FDP_2_1_aUrv" hidden="1">#REF!</definedName>
    <definedName name="FDP_20_1_aDrv" hidden="1">#REF!</definedName>
    <definedName name="FDP_20_1_aUrv" hidden="1">#REF!</definedName>
    <definedName name="FDP_200_1_aDdv" hidden="1">#REF!</definedName>
    <definedName name="FDP_200_1_aUrv" hidden="1">#REF!</definedName>
    <definedName name="FDP_201_1_aDdv" hidden="1">#REF!</definedName>
    <definedName name="FDP_201_1_aUrv" hidden="1">#REF!</definedName>
    <definedName name="FDP_202_1_aDdv" hidden="1">#REF!</definedName>
    <definedName name="FDP_202_1_aUrv" hidden="1">#REF!</definedName>
    <definedName name="FDP_203_1_aDdv" hidden="1">#REF!</definedName>
    <definedName name="FDP_203_1_aSrv" hidden="1">#REF!</definedName>
    <definedName name="FDP_203_1_aUrv" hidden="1">#REF!</definedName>
    <definedName name="FDP_204_1_aUrv" hidden="1">#REF!</definedName>
    <definedName name="FDP_205_1_aUrv" hidden="1">#REF!</definedName>
    <definedName name="FDP_206_1_aDrv" hidden="1">#REF!</definedName>
    <definedName name="FDP_206_1_aUrv" hidden="1">#REF!</definedName>
    <definedName name="FDP_207_1_aUrv" hidden="1">#REF!</definedName>
    <definedName name="FDP_208_1_aSrv" hidden="1">#REF!</definedName>
    <definedName name="FDP_208_1_aUrv" hidden="1">#REF!</definedName>
    <definedName name="FDP_209_1_aUrv" hidden="1">#REF!</definedName>
    <definedName name="FDP_21_1_aDrv" hidden="1">#REF!</definedName>
    <definedName name="FDP_21_1_aUrv" hidden="1">#REF!</definedName>
    <definedName name="FDP_210_1_aUrv" hidden="1">#REF!</definedName>
    <definedName name="FDP_211_1_aUrv" hidden="1">#REF!</definedName>
    <definedName name="FDP_212_1_aUrv" hidden="1">#REF!</definedName>
    <definedName name="FDP_213_1_aSrv" hidden="1">#REF!</definedName>
    <definedName name="FDP_213_1_aUrv" hidden="1">#REF!</definedName>
    <definedName name="FDP_214_1_aUrv" hidden="1">#REF!</definedName>
    <definedName name="FDP_215_1_aUrv" hidden="1">#REF!</definedName>
    <definedName name="FDP_216_1_aSrv" hidden="1">#REF!</definedName>
    <definedName name="FDP_216_1_aUrv" hidden="1">#REF!</definedName>
    <definedName name="FDP_217_1_aUrv" hidden="1">#REF!</definedName>
    <definedName name="FDP_218_1_aSrv" hidden="1">#REF!</definedName>
    <definedName name="FDP_218_1_aUrv" hidden="1">#REF!</definedName>
    <definedName name="FDP_219_1_aSrv" hidden="1">#REF!</definedName>
    <definedName name="FDP_219_1_aUrv" hidden="1">#REF!</definedName>
    <definedName name="FDP_22_1_aDrv" hidden="1">#REF!</definedName>
    <definedName name="FDP_22_1_aUrv" hidden="1">#REF!</definedName>
    <definedName name="FDP_220_1_aSrv" hidden="1">#REF!</definedName>
    <definedName name="FDP_220_1_aUrv" hidden="1">#REF!</definedName>
    <definedName name="FDP_221_1_aSrv" hidden="1">#REF!</definedName>
    <definedName name="FDP_221_1_aUrv" hidden="1">#REF!</definedName>
    <definedName name="FDP_222_1_aSrv" hidden="1">#REF!</definedName>
    <definedName name="FDP_222_1_aUrv" hidden="1">#REF!</definedName>
    <definedName name="FDP_223_1_aSrv" hidden="1">#REF!</definedName>
    <definedName name="FDP_223_1_aUrv" hidden="1">#REF!</definedName>
    <definedName name="FDP_224_1_aSrv" hidden="1">#REF!</definedName>
    <definedName name="FDP_224_1_aUrv" hidden="1">#REF!</definedName>
    <definedName name="FDP_225_1_aSrv" hidden="1">#REF!</definedName>
    <definedName name="FDP_225_1_aUrv" hidden="1">#REF!</definedName>
    <definedName name="FDP_226_1_aSrv" hidden="1">#REF!</definedName>
    <definedName name="FDP_226_1_aUrv" hidden="1">#REF!</definedName>
    <definedName name="FDP_227_1_aSrv" hidden="1">#REF!</definedName>
    <definedName name="FDP_227_1_aUrv" hidden="1">#REF!</definedName>
    <definedName name="FDP_228_1_aSrv" hidden="1">#REF!</definedName>
    <definedName name="FDP_229_1_aSrv" hidden="1">#REF!</definedName>
    <definedName name="FDP_23_1_aDrv" hidden="1">#REF!</definedName>
    <definedName name="FDP_23_1_aUrv" hidden="1">#REF!</definedName>
    <definedName name="FDP_230_1_aSrv" hidden="1">#REF!</definedName>
    <definedName name="FDP_231_1_aSrv" hidden="1">#REF!</definedName>
    <definedName name="FDP_232_1_aSrv" hidden="1">#REF!</definedName>
    <definedName name="FDP_233_1_aSrv" hidden="1">#REF!</definedName>
    <definedName name="FDP_234_1_aSrv" hidden="1">#REF!</definedName>
    <definedName name="FDP_234_1_aUrv" hidden="1">#REF!</definedName>
    <definedName name="FDP_235_1_aSrv" hidden="1">#REF!</definedName>
    <definedName name="FDP_235_1_aUrv" hidden="1">#REF!</definedName>
    <definedName name="FDP_236_1_aSrv" hidden="1">#REF!</definedName>
    <definedName name="FDP_236_1_aUrv" hidden="1">#REF!</definedName>
    <definedName name="FDP_237_1_aSrv" hidden="1">#REF!</definedName>
    <definedName name="FDP_237_1_aUrv" hidden="1">#REF!</definedName>
    <definedName name="FDP_238_1_aSrv" hidden="1">#REF!</definedName>
    <definedName name="FDP_239_1_aSrv" hidden="1">#REF!</definedName>
    <definedName name="FDP_24_1_aDrv" hidden="1">#REF!</definedName>
    <definedName name="FDP_24_1_aSrv" hidden="1">#REF!</definedName>
    <definedName name="FDP_24_1_aU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4_1_aUrv" hidden="1">#REF!</definedName>
    <definedName name="FDP_265_1_aSrv" hidden="1">#REF!</definedName>
    <definedName name="FDP_265_1_aUrv" hidden="1">#REF!</definedName>
    <definedName name="FDP_266_1_aSrv" hidden="1">#REF!</definedName>
    <definedName name="FDP_266_1_aUrv" hidden="1">#REF!</definedName>
    <definedName name="FDP_267_1_aSrv" hidden="1">#REF!</definedName>
    <definedName name="FDP_267_1_aUrv" hidden="1">#REF!</definedName>
    <definedName name="FDP_268_1_aSrv" hidden="1">#REF!</definedName>
    <definedName name="FDP_268_1_aUrv" hidden="1">#REF!</definedName>
    <definedName name="FDP_269_1_aSrv" hidden="1">#REF!</definedName>
    <definedName name="FDP_269_1_aUrv" hidden="1">#REF!</definedName>
    <definedName name="FDP_27_1_aDrv" hidden="1">#REF!</definedName>
    <definedName name="FDP_27_1_aUrv" hidden="1">#REF!</definedName>
    <definedName name="FDP_270_1_aSrv" hidden="1">#REF!</definedName>
    <definedName name="FDP_270_1_aUrv" hidden="1">#REF!</definedName>
    <definedName name="FDP_271_1_aSrv" hidden="1">#REF!</definedName>
    <definedName name="FDP_271_1_aUrv" hidden="1">#REF!</definedName>
    <definedName name="FDP_272_1_aSrv" hidden="1">#REF!</definedName>
    <definedName name="FDP_272_1_aUrv" hidden="1">#REF!</definedName>
    <definedName name="FDP_273_1_aSrv" hidden="1">#REF!</definedName>
    <definedName name="FDP_273_1_aUrv" hidden="1">#REF!</definedName>
    <definedName name="FDP_274_1_aSrv" hidden="1">#REF!</definedName>
    <definedName name="FDP_274_1_aUrv" hidden="1">#REF!</definedName>
    <definedName name="FDP_275_1_aSrv" hidden="1">#REF!</definedName>
    <definedName name="FDP_275_1_aUrv" hidden="1">#REF!</definedName>
    <definedName name="FDP_276_1_aSrv" hidden="1">#REF!</definedName>
    <definedName name="FDP_276_1_aUrv" hidden="1">#REF!</definedName>
    <definedName name="FDP_277_1_aSrv" hidden="1">#REF!</definedName>
    <definedName name="FDP_277_1_aUrv" hidden="1">#REF!</definedName>
    <definedName name="FDP_278_1_aSrv" hidden="1">#REF!</definedName>
    <definedName name="FDP_278_1_aUrv" hidden="1">#REF!</definedName>
    <definedName name="FDP_279_1_aS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D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_1_aSrv" hidden="1">#REF!</definedName>
    <definedName name="FDP_30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Srv" hidden="1">#REF!</definedName>
    <definedName name="FDP_31_1_aU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2_1_aUrv" hidden="1">#REF!</definedName>
    <definedName name="FDP_33_1_aDrv" hidden="1">#REF!</definedName>
    <definedName name="FDP_33_1_aUrv" hidden="1">#REF!</definedName>
    <definedName name="FDP_34_1_aUrv" hidden="1">#REF!</definedName>
    <definedName name="FDP_35_1_aSrv" hidden="1">#REF!</definedName>
    <definedName name="FDP_35_1_aUrv" hidden="1">#REF!</definedName>
    <definedName name="FDP_36_1_aUrv" hidden="1">#REF!</definedName>
    <definedName name="FDP_37_1_aS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1_1_aSrv" hidden="1">#REF!</definedName>
    <definedName name="FDP_41_1_aUrv" hidden="1">#REF!</definedName>
    <definedName name="FDP_42_1_aSrv" hidden="1">#REF!</definedName>
    <definedName name="FDP_42_1_aUrv" hidden="1">#REF!</definedName>
    <definedName name="FDP_43_1_aUrv" hidden="1">#REF!</definedName>
    <definedName name="FDP_44_1_aUrv" hidden="1">#REF!</definedName>
    <definedName name="FDP_45_1_aSrv" hidden="1">#REF!</definedName>
    <definedName name="FDP_45_1_aUrv" hidden="1">#REF!</definedName>
    <definedName name="FDP_455_1_aSrv" hidden="1">#REF!</definedName>
    <definedName name="FDP_456_1_aSrv" hidden="1">#REF!</definedName>
    <definedName name="FDP_457_1_aSrv" hidden="1">#REF!</definedName>
    <definedName name="FDP_458_1_aSrv" hidden="1">#REF!</definedName>
    <definedName name="FDP_459_1_aSrv" hidden="1">#REF!</definedName>
    <definedName name="FDP_46_1_aSrv" hidden="1">#REF!</definedName>
    <definedName name="FDP_46_1_aUrv" hidden="1">#REF!</definedName>
    <definedName name="FDP_460_1_aSrv" hidden="1">#REF!</definedName>
    <definedName name="FDP_461_1_aSrv" hidden="1">#REF!</definedName>
    <definedName name="FDP_462_1_aSrv" hidden="1">#REF!</definedName>
    <definedName name="FDP_463_1_aSrv" hidden="1">#REF!</definedName>
    <definedName name="FDP_464_1_aSrv" hidden="1">#REF!</definedName>
    <definedName name="FDP_465_1_aSrv" hidden="1">#REF!</definedName>
    <definedName name="FDP_466_1_aSrv" hidden="1">#REF!</definedName>
    <definedName name="FDP_467_1_aS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Drv" hidden="1">#REF!</definedName>
    <definedName name="FDP_5_1_aUrv" hidden="1">#REF!</definedName>
    <definedName name="FDP_50_1_aSrv" hidden="1">#REF!</definedName>
    <definedName name="FDP_50_1_aU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Srv" hidden="1">#REF!</definedName>
    <definedName name="FDP_51_1_aU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Urv" hidden="1">#REF!</definedName>
    <definedName name="FDP_55_1_aUrv" hidden="1">#REF!</definedName>
    <definedName name="FDP_550_1_aUrv" hidden="1">#REF!</definedName>
    <definedName name="FDP_551_1_aUrv" hidden="1">#REF!</definedName>
    <definedName name="FDP_552_1_aUrv" hidden="1">#REF!</definedName>
    <definedName name="FDP_553_1_aUrv" hidden="1">#REF!</definedName>
    <definedName name="FDP_554_1_aUrv" hidden="1">#REF!</definedName>
    <definedName name="FDP_56_1_aUrv" hidden="1">#REF!</definedName>
    <definedName name="FDP_57_1_aSrv" hidden="1">#REF!</definedName>
    <definedName name="FDP_57_1_aUrv" hidden="1">#REF!</definedName>
    <definedName name="FDP_58_1_aUrv" hidden="1">#REF!</definedName>
    <definedName name="FDP_59_1_aSrv" hidden="1">#REF!</definedName>
    <definedName name="FDP_59_1_aUrv" hidden="1">#REF!</definedName>
    <definedName name="FDP_6_1_aSrv" hidden="1">#REF!</definedName>
    <definedName name="FDP_6_1_aUrv" hidden="1">#REF!</definedName>
    <definedName name="FDP_60_1_aUrv" hidden="1">#REF!</definedName>
    <definedName name="FDP_608_1_aUrv" hidden="1">#REF!</definedName>
    <definedName name="FDP_609_1_aSrv" hidden="1">#REF!</definedName>
    <definedName name="FDP_61_1_aSrv" hidden="1">#REF!</definedName>
    <definedName name="FDP_61_1_aUrv" hidden="1">#REF!</definedName>
    <definedName name="FDP_610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_1_aUrv" hidden="1">#REF!</definedName>
    <definedName name="FDP_620_1_aSrv" hidden="1">#REF!</definedName>
    <definedName name="FDP_63_1_aUrv" hidden="1">#REF!</definedName>
    <definedName name="FDP_64_1_aSrv" hidden="1">#REF!</definedName>
    <definedName name="FDP_64_1_aUrv" hidden="1">#REF!</definedName>
    <definedName name="FDP_65_1_aSrv" hidden="1">#REF!</definedName>
    <definedName name="FDP_66_1_aSrv" hidden="1">#REF!</definedName>
    <definedName name="FDP_66_1_aUrv" hidden="1">#REF!</definedName>
    <definedName name="FDP_67_1_aSrv" hidden="1">#REF!</definedName>
    <definedName name="FDP_67_1_aUrv" hidden="1">#REF!</definedName>
    <definedName name="FDP_68_1_aSrv" hidden="1">#REF!</definedName>
    <definedName name="FDP_68_1_aUrv" hidden="1">#REF!</definedName>
    <definedName name="FDP_69_1_aSrv" hidden="1">#REF!</definedName>
    <definedName name="FDP_69_1_aUrv" hidden="1">#REF!</definedName>
    <definedName name="FDP_7_1_aSrv" hidden="1">#REF!</definedName>
    <definedName name="FDP_7_1_aUrv" hidden="1">#REF!</definedName>
    <definedName name="FDP_70_1_aDrv" hidden="1">#REF!</definedName>
    <definedName name="FDP_70_1_aSrv" hidden="1">#REF!</definedName>
    <definedName name="FDP_70_1_aUrv" hidden="1">#REF!</definedName>
    <definedName name="FDP_71_1_aUrv" hidden="1">#REF!</definedName>
    <definedName name="FDP_72_1_aDrv" hidden="1">#REF!</definedName>
    <definedName name="FDP_72_1_aUrv" hidden="1">#REF!</definedName>
    <definedName name="FDP_73_1_aSrv" hidden="1">#REF!</definedName>
    <definedName name="FDP_73_1_aUrv" hidden="1">#REF!</definedName>
    <definedName name="FDP_74_1_aDrv" hidden="1">#REF!</definedName>
    <definedName name="FDP_74_1_aSrv" hidden="1">#REF!</definedName>
    <definedName name="FDP_74_1_aUrv" hidden="1">#REF!</definedName>
    <definedName name="FDP_75_1_aSrv" hidden="1">#REF!</definedName>
    <definedName name="FDP_75_1_aUrv" hidden="1">#REF!</definedName>
    <definedName name="FDP_76_1_aDrv" hidden="1">#REF!</definedName>
    <definedName name="FDP_76_1_aSrv" hidden="1">#REF!</definedName>
    <definedName name="FDP_76_1_aUrv" hidden="1">#REF!</definedName>
    <definedName name="FDP_77_1_aSrv" hidden="1">#REF!</definedName>
    <definedName name="FDP_77_1_aUrv" hidden="1">#REF!</definedName>
    <definedName name="FDP_78_1_aSrv" hidden="1">#REF!</definedName>
    <definedName name="FDP_78_1_aUrv" hidden="1">#REF!</definedName>
    <definedName name="FDP_79_1_aUrv" hidden="1">#REF!</definedName>
    <definedName name="FDP_8_1_aDrv" hidden="1">#REF!</definedName>
    <definedName name="FDP_8_1_aUrv" hidden="1">#REF!</definedName>
    <definedName name="FDP_80_1_aSrv" hidden="1">#REF!</definedName>
    <definedName name="FDP_80_1_aUrv" hidden="1">#REF!</definedName>
    <definedName name="FDP_81_1_aSrv" hidden="1">#REF!</definedName>
    <definedName name="FDP_81_1_aUrv" hidden="1">#REF!</definedName>
    <definedName name="FDP_82_1_aUrv" hidden="1">#REF!</definedName>
    <definedName name="FDP_83_1_aS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Srv" hidden="1">#REF!</definedName>
    <definedName name="FDP_87_1_aUrv" hidden="1">#REF!</definedName>
    <definedName name="FDP_88_1_aSrv" hidden="1">#REF!</definedName>
    <definedName name="FDP_88_1_aUrv" hidden="1">#REF!</definedName>
    <definedName name="FDP_89_1_aSrv" hidden="1">#REF!</definedName>
    <definedName name="FDP_89_1_aUrv" hidden="1">#REF!</definedName>
    <definedName name="FDP_9_1_aD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2_1_aUrv" hidden="1">#REF!</definedName>
    <definedName name="FDP_93_1_aDrv" hidden="1">#REF!</definedName>
    <definedName name="FDP_93_1_aUrv" hidden="1">#REF!</definedName>
    <definedName name="FDP_94_1_aSrv" hidden="1">#REF!</definedName>
    <definedName name="FDP_94_1_aUrv" hidden="1">#REF!</definedName>
    <definedName name="FDP_95_1_aUrv" hidden="1">#REF!</definedName>
    <definedName name="FDP_96_1_aUrv" hidden="1">#REF!</definedName>
    <definedName name="FDP_97_1_aSrv" hidden="1">#REF!</definedName>
    <definedName name="FDP_97_1_aUrv" hidden="1">#REF!</definedName>
    <definedName name="FDP_98_1_aDrv" hidden="1">#REF!</definedName>
    <definedName name="FDP_98_1_aUrv" hidden="1">#REF!</definedName>
    <definedName name="FDP_99_1_aUrv" hidden="1">#REF!</definedName>
    <definedName name="FDQ" localSheetId="10" hidden="1">{"detail",#N/A,FALSE,"mfg";"summary",#N/A,FALSE,"mfg"}</definedName>
    <definedName name="FDQ" hidden="1">{"detail",#N/A,FALSE,"mfg";"summary",#N/A,FALSE,"mfg"}</definedName>
    <definedName name="fds" localSheetId="10" hidden="1">#REF!</definedName>
    <definedName name="fds" localSheetId="9" hidden="1">#REF!</definedName>
    <definedName name="fds" localSheetId="8" hidden="1">#REF!</definedName>
    <definedName name="fds" localSheetId="16" hidden="1">#REF!</definedName>
    <definedName name="fds" hidden="1">#REF!</definedName>
    <definedName name="fdsa"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fdsa"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fdsag" localSheetId="10" hidden="1">{"FCB_ALL",#N/A,FALSE,"FCB"}</definedName>
    <definedName name="fdsag" localSheetId="15" hidden="1">{"FCB_ALL",#N/A,FALSE,"FCB"}</definedName>
    <definedName name="fdsag" hidden="1">{"FCB_ALL",#N/A,FALSE,"FCB"}</definedName>
    <definedName name="fdsakfjds" localSheetId="10" hidden="1">{"FCB_ALL",#N/A,FALSE,"FCB";"GREY_ALL",#N/A,FALSE,"GREY"}</definedName>
    <definedName name="fdsakfjds" localSheetId="15" hidden="1">{"FCB_ALL",#N/A,FALSE,"FCB";"GREY_ALL",#N/A,FALSE,"GREY"}</definedName>
    <definedName name="fdsakfjds" hidden="1">{"FCB_ALL",#N/A,FALSE,"FCB";"GREY_ALL",#N/A,FALSE,"GREY"}</definedName>
    <definedName name="fdsfs" localSheetId="10"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d" localSheetId="10"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localSheetId="10" hidden="1">{"FCB_ALL",#N/A,FALSE,"FCB"}</definedName>
    <definedName name="fdsg" localSheetId="15" hidden="1">{"FCB_ALL",#N/A,FALSE,"FCB"}</definedName>
    <definedName name="fdsg" hidden="1">{"FCB_ALL",#N/A,FALSE,"FCB"}</definedName>
    <definedName name="fdsg1" localSheetId="10"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sf" hidden="1">#REF!</definedName>
    <definedName name="fdskj" localSheetId="10" hidden="1">{#N/A,#N/A,FALSE,"Model";#N/A,#N/A,FALSE,"Division"}</definedName>
    <definedName name="fdskj" localSheetId="15" hidden="1">{#N/A,#N/A,FALSE,"Model";#N/A,#N/A,FALSE,"Division"}</definedName>
    <definedName name="fdskj" hidden="1">{#N/A,#N/A,FALSE,"Model";#N/A,#N/A,FALSE,"Division"}</definedName>
    <definedName name="fdssa" localSheetId="10" hidden="1">{"bs",#N/A,FALSE,"SCF"}</definedName>
    <definedName name="fdssa" hidden="1">{"bs",#N/A,FALSE,"SCF"}</definedName>
    <definedName name="fdv" localSheetId="10"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dyhj" localSheetId="10" hidden="1">{"NOPCAPEVA",#N/A,FALSE,"Nopat";"FCFCSTAR",#N/A,FALSE,"FCFVAL";"EVAVL",#N/A,FALSE,"EVAVAL";"LEASE",#N/A,FALSE,"OpLease"}</definedName>
    <definedName name="fdyhj" hidden="1">{"NOPCAPEVA",#N/A,FALSE,"Nopat";"FCFCSTAR",#N/A,FALSE,"FCFVAL";"EVAVL",#N/A,FALSE,"EVAVAL";"LEASE",#N/A,FALSE,"OpLease"}</definedName>
    <definedName name="fe" localSheetId="10" hidden="1">{#N/A,#N/A,FALSE,"Layout GuV"}</definedName>
    <definedName name="fe" localSheetId="15" hidden="1">{#N/A,#N/A,FALSE,"Layout GuV"}</definedName>
    <definedName name="fe" hidden="1">{#N/A,#N/A,FALSE,"Layout GuV"}</definedName>
    <definedName name="feb" localSheetId="10" hidden="1">{"Statement of Income",#N/A,TRUE,"Mar99";"Balance Sheet",#N/A,TRUE,"Mar99"}</definedName>
    <definedName name="feb" localSheetId="15" hidden="1">{"Statement of Income",#N/A,TRUE,"Mar99";"Balance Sheet",#N/A,TRUE,"Mar99"}</definedName>
    <definedName name="feb" hidden="1">{"Statement of Income",#N/A,TRUE,"Mar99";"Balance Sheet",#N/A,TRUE,"Mar99"}</definedName>
    <definedName name="feb02tb" localSheetId="10" hidden="1">{"Statement of Income",#N/A,TRUE,"Mar99";"Balance Sheet",#N/A,TRUE,"Mar99"}</definedName>
    <definedName name="feb02tb" localSheetId="15" hidden="1">{"Statement of Income",#N/A,TRUE,"Mar99";"Balance Sheet",#N/A,TRUE,"Mar99"}</definedName>
    <definedName name="feb02tb" hidden="1">{"Statement of Income",#N/A,TRUE,"Mar99";"Balance Sheet",#N/A,TRUE,"Mar99"}</definedName>
    <definedName name="FederalTaxTable" localSheetId="10">#REF!</definedName>
    <definedName name="FederalTaxTable">#REF!</definedName>
    <definedName name="fedf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Tax" localSheetId="10">#REF!</definedName>
    <definedName name="FedTax">#REF!</definedName>
    <definedName name="FedTaxTable" localSheetId="10">#REF!</definedName>
    <definedName name="FedTaxTable">#REF!</definedName>
    <definedName name="fee" localSheetId="10" hidden="1">{"Vol Qtr 1",#N/A,TRUE,"Wk-CV";"Vol Qtr 2",#N/A,TRUE,"Wk-CV";"Vol Qtr 3",#N/A,TRUE,"Wk-CV";"Vol Qtr 4",#N/A,TRUE,"Wk-CV"}</definedName>
    <definedName name="fee" hidden="1">{"Vol Qtr 1",#N/A,TRUE,"Wk-CV";"Vol Qtr 2",#N/A,TRUE,"Wk-CV";"Vol Qtr 3",#N/A,TRUE,"Wk-CV";"Vol Qtr 4",#N/A,TRUE,"Wk-CV"}</definedName>
    <definedName name="FEE_FOR_SERVICE_ACTIVITy_Bud" localSheetId="10">#REF!</definedName>
    <definedName name="FEE_FOR_SERVICE_ACTIVITy_Bud">#REF!</definedName>
    <definedName name="Fees" localSheetId="10">#REF!</definedName>
    <definedName name="Fees">#REF!</definedName>
    <definedName name="fef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sf" localSheetId="10"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10"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rf" hidden="1">#REF!</definedName>
    <definedName name="fesa" localSheetId="10"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10" hidden="1">{"BA detail",#N/A,FALSE,"Q3YTD "}</definedName>
    <definedName name="fetr" hidden="1">{"BA detail",#N/A,FALSE,"Q3YTD "}</definedName>
    <definedName name="fewq" localSheetId="10" hidden="1">{"Comp_of_Price_Effect",#N/A,FALSE,"QTRDPVAR"}</definedName>
    <definedName name="fewq" hidden="1">{"Comp_of_Price_Effect",#N/A,FALSE,"QTRDPVAR"}</definedName>
    <definedName name="f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d"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10"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DFDFSD"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er" localSheetId="10" hidden="1">{"NOPCAPEVA",#N/A,FALSE,"Nopat";"FCFCSTAR",#N/A,FALSE,"FCFVAL";"EVAVL",#N/A,FALSE,"EVAVAL";"LEASE",#N/A,FALSE,"OpLease"}</definedName>
    <definedName name="ffer" hidden="1">{"NOPCAPEVA",#N/A,FALSE,"Nopat";"FCFCSTAR",#N/A,FALSE,"FCFVAL";"EVAVL",#N/A,FALSE,"EVAVAL";"LEASE",#N/A,FALSE,"OpLease"}</definedName>
    <definedName name="fff" localSheetId="10" hidden="1">{#N/A,#N/A,TRUE,"Notes";#N/A,#N/A,TRUE,"Cap Struct";#N/A,#N/A,TRUE,"OBS";#N/A,#N/A,TRUE,"bal Sheet";#N/A,#N/A,TRUE,"Inc stmt";#N/A,#N/A,TRUE,"csh flw";#N/A,#N/A,TRUE,"debt";#N/A,#N/A,TRUE,"detail 96,97";#N/A,#N/A,TRUE,"Covenants"}</definedName>
    <definedName name="fff" localSheetId="15" hidden="1">{#N/A,#N/A,TRUE,"Notes";#N/A,#N/A,TRUE,"Cap Struct";#N/A,#N/A,TRUE,"OBS";#N/A,#N/A,TRUE,"bal Sheet";#N/A,#N/A,TRUE,"Inc stmt";#N/A,#N/A,TRUE,"csh flw";#N/A,#N/A,TRUE,"debt";#N/A,#N/A,TRUE,"detail 96,97";#N/A,#N/A,TRUE,"Covenants"}</definedName>
    <definedName name="fff" hidden="1">{#N/A,#N/A,TRUE,"Notes";#N/A,#N/A,TRUE,"Cap Struct";#N/A,#N/A,TRUE,"OBS";#N/A,#N/A,TRUE,"bal Sheet";#N/A,#N/A,TRUE,"Inc stmt";#N/A,#N/A,TRUE,"csh flw";#N/A,#N/A,TRUE,"debt";#N/A,#N/A,TRUE,"detail 96,97";#N/A,#N/A,TRUE,"Covenants"}</definedName>
    <definedName name="fff.com" localSheetId="10" hidden="1">{"COM",#N/A,FALSE,"800 10th"}</definedName>
    <definedName name="fff.com" hidden="1">{"COM",#N/A,FALSE,"800 10th"}</definedName>
    <definedName name="fff_1" localSheetId="10" hidden="1">{"e_Target Assumptions",#N/A,FALSE,"Financials";"f_Target Income Statement",#N/A,FALSE,"Financials";"g_Target Balance Sheet",#N/A,FALSE,"Financials";"h_Target Cashflow Statement",#N/A,FALSE,"Financials"}</definedName>
    <definedName name="fff_1" hidden="1">{"e_Target Assumptions",#N/A,FALSE,"Financials";"f_Target Income Statement",#N/A,FALSE,"Financials";"g_Target Balance Sheet",#N/A,FALSE,"Financials";"h_Target Cashflow Statement",#N/A,FALSE,"Financials"}</definedName>
    <definedName name="fff_1_1" localSheetId="10" hidden="1">{"e_Target Assumptions",#N/A,FALSE,"Financials";"f_Target Income Statement",#N/A,FALSE,"Financials";"g_Target Balance Sheet",#N/A,FALSE,"Financials";"h_Target Cashflow Statement",#N/A,FALSE,"Financials"}</definedName>
    <definedName name="fff_1_1" hidden="1">{"e_Target Assumptions",#N/A,FALSE,"Financials";"f_Target Income Statement",#N/A,FALSE,"Financials";"g_Target Balance Sheet",#N/A,FALSE,"Financials";"h_Target Cashflow Statement",#N/A,FALSE,"Financials"}</definedName>
    <definedName name="fff_2" localSheetId="10" hidden="1">{"e_Target Assumptions",#N/A,FALSE,"Financials";"f_Target Income Statement",#N/A,FALSE,"Financials";"g_Target Balance Sheet",#N/A,FALSE,"Financials";"h_Target Cashflow Statement",#N/A,FALSE,"Financials"}</definedName>
    <definedName name="fff_2" hidden="1">{"e_Target Assumptions",#N/A,FALSE,"Financials";"f_Target Income Statement",#N/A,FALSE,"Financials";"g_Target Balance Sheet",#N/A,FALSE,"Financials";"h_Target Cashflow Statement",#N/A,FALSE,"Financials"}</definedName>
    <definedName name="ffff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hidden="1">#REF!</definedName>
    <definedName name="fffffff" localSheetId="10" hidden="1">{#N/A,#N/A,FALSE,"Pharm";#N/A,#N/A,FALSE,"WWCM"}</definedName>
    <definedName name="fffffff" hidden="1">{#N/A,#N/A,FALSE,"Pharm";#N/A,#N/A,FALSE,"WWCM"}</definedName>
    <definedName name="ffy" localSheetId="10" hidden="1">{#N/A,#N/A,FALSE,"FY97";#N/A,#N/A,FALSE,"FY98";#N/A,#N/A,FALSE,"FY99";#N/A,#N/A,FALSE,"FY00";#N/A,#N/A,FALSE,"FY01"}</definedName>
    <definedName name="ffy" localSheetId="15" hidden="1">{#N/A,#N/A,FALSE,"FY97";#N/A,#N/A,FALSE,"FY98";#N/A,#N/A,FALSE,"FY99";#N/A,#N/A,FALSE,"FY00";#N/A,#N/A,FALSE,"FY01"}</definedName>
    <definedName name="ffy" hidden="1">{#N/A,#N/A,FALSE,"FY97";#N/A,#N/A,FALSE,"FY98";#N/A,#N/A,FALSE,"FY99";#N/A,#N/A,FALSE,"FY00";#N/A,#N/A,FALSE,"FY01"}</definedName>
    <definedName name="fg"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_1" localSheetId="10" hidden="1">{#N/A,#N/A,FALSE,"puboff";#N/A,#N/A,FALSE,"valuation";#N/A,#N/A,FALSE,"finanalsis";#N/A,#N/A,FALSE,"split";#N/A,#N/A,FALSE,"ownership"}</definedName>
    <definedName name="fg_1" hidden="1">{#N/A,#N/A,FALSE,"puboff";#N/A,#N/A,FALSE,"valuation";#N/A,#N/A,FALSE,"finanalsis";#N/A,#N/A,FALSE,"split";#N/A,#N/A,FALSE,"ownership"}</definedName>
    <definedName name="fgf" localSheetId="10" hidden="1">{#N/A,#N/A,FALSE,"COVER";#N/A,#N/A,FALSE,"RATIOS";#N/A,#N/A,FALSE,"LEVERAGE";#N/A,#N/A,FALSE,"TIER-1";#N/A,#N/A,FALSE,"RISK BASED ASSETS";#N/A,#N/A,FALSE,"TIER-2"}</definedName>
    <definedName name="fgf" localSheetId="15" hidden="1">{#N/A,#N/A,FALSE,"COVER";#N/A,#N/A,FALSE,"RATIOS";#N/A,#N/A,FALSE,"LEVERAGE";#N/A,#N/A,FALSE,"TIER-1";#N/A,#N/A,FALSE,"RISK BASED ASSETS";#N/A,#N/A,FALSE,"TIER-2"}</definedName>
    <definedName name="fgf" hidden="1">{#N/A,#N/A,FALSE,"COVER";#N/A,#N/A,FALSE,"RATIOS";#N/A,#N/A,FALSE,"LEVERAGE";#N/A,#N/A,FALSE,"TIER-1";#N/A,#N/A,FALSE,"RISK BASED ASSETS";#N/A,#N/A,FALSE,"TIER-2"}</definedName>
    <definedName name="fgfdg" localSheetId="10" hidden="1">{"FCB_ALL",#N/A,FALSE,"FCB";"GREY_ALL",#N/A,FALSE,"GREY"}</definedName>
    <definedName name="fgfdg" localSheetId="15" hidden="1">{"FCB_ALL",#N/A,FALSE,"FCB";"GREY_ALL",#N/A,FALSE,"GREY"}</definedName>
    <definedName name="fgfdg" hidden="1">{"FCB_ALL",#N/A,FALSE,"FCB";"GREY_ALL",#N/A,FALSE,"GREY"}</definedName>
    <definedName name="fgfg" localSheetId="10"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10" hidden="1">{#N/A,#N/A,FALSE,"Umsatz 99";#N/A,#N/A,FALSE,"ER 99 "}</definedName>
    <definedName name="fgfgf" hidden="1">{#N/A,#N/A,FALSE,"Umsatz 99";#N/A,#N/A,FALSE,"ER 99 "}</definedName>
    <definedName name="fgfhty" hidden="1">#REF!</definedName>
    <definedName name="fgfx" localSheetId="10" hidden="1">{#N/A,#N/A,FALSE,"Umsatz 99";#N/A,#N/A,FALSE,"ER 99 "}</definedName>
    <definedName name="fgfx" hidden="1">{#N/A,#N/A,FALSE,"Umsatz 99";#N/A,#N/A,FALSE,"ER 99 "}</definedName>
    <definedName name="fgggg" hidden="1">#REF!</definedName>
    <definedName name="fgh"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fghfghgfh" localSheetId="10" hidden="1">{#N/A,#N/A,FALSE,"KA CH  (2)"}</definedName>
    <definedName name="fghfghfghgfh" hidden="1">{#N/A,#N/A,FALSE,"KA CH  (2)"}</definedName>
    <definedName name="fghfghfghgfhgfh"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10"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10"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gf" localSheetId="10" hidden="1">{"product cost",#N/A,FALSE,"P&amp;L STATEMENT"}</definedName>
    <definedName name="fghgf" hidden="1">{"product cost",#N/A,FALSE,"P&amp;L STATEMENT"}</definedName>
    <definedName name="fgh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jfgjfgj" localSheetId="10"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10" hidden="1">{#N/A,#N/A,FALSE,"REPORT"}</definedName>
    <definedName name="fgkjkh" hidden="1">{#N/A,#N/A,FALSE,"REPORT"}</definedName>
    <definedName name="FGNVFF" localSheetId="10" hidden="1">{#N/A,#N/A,FALSE,"COP CONS SK";#N/A,#N/A,FALSE,"COP CONS RG";#N/A,#N/A,FALSE,"COP CONS SK BC";#N/A,#N/A,FALSE,"COP CONS RG BC";#N/A,#N/A,FALSE,"ALLIANCE SK";#N/A,#N/A,FALSE,"ALLIANCE RG";#N/A,#N/A,FALSE,"CPC SK";#N/A,#N/A,FALSE,"CPC RG"}</definedName>
    <definedName name="FGNVFF" hidden="1">{#N/A,#N/A,FALSE,"COP CONS SK";#N/A,#N/A,FALSE,"COP CONS RG";#N/A,#N/A,FALSE,"COP CONS SK BC";#N/A,#N/A,FALSE,"COP CONS RG BC";#N/A,#N/A,FALSE,"ALLIANCE SK";#N/A,#N/A,FALSE,"ALLIANCE RG";#N/A,#N/A,FALSE,"CPC SK";#N/A,#N/A,FALSE,"CPC RG"}</definedName>
    <definedName name="fgr"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g" localSheetId="10" hidden="1">{"manpower",#N/A,FALSE,"MANPOWER_PAYROLL"}</definedName>
    <definedName name="fgrg" hidden="1">{"manpower",#N/A,FALSE,"MANPOWER_PAYROLL"}</definedName>
    <definedName name="fgsd" localSheetId="10"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fggfsgfsgf" localSheetId="10" hidden="1">{"first",#N/A,FALSE,"FLEXPAC2";"second",#N/A,FALSE,"FLEXPAC2"}</definedName>
    <definedName name="fgsfggfsgfsgf" hidden="1">{"first",#N/A,FALSE,"FLEXPAC2";"second",#N/A,FALSE,"FLEXPAC2"}</definedName>
    <definedName name="fgsg" localSheetId="10" hidden="1">{"consolidated",#N/A,FALSE,"Sheet1";"cms",#N/A,FALSE,"Sheet1";"fse",#N/A,FALSE,"Sheet1"}</definedName>
    <definedName name="fgsg" localSheetId="15" hidden="1">{"consolidated",#N/A,FALSE,"Sheet1";"cms",#N/A,FALSE,"Sheet1";"fse",#N/A,FALSE,"Sheet1"}</definedName>
    <definedName name="fgsg" hidden="1">{"consolidated",#N/A,FALSE,"Sheet1";"cms",#N/A,FALSE,"Sheet1";"fse",#N/A,FALSE,"Sheet1"}</definedName>
    <definedName name="fgsgsg" hidden="1">#REF!</definedName>
    <definedName name="fgt" localSheetId="10"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 localSheetId="10" hidden="1">{#N/A,#N/A,FALSE,"KA CH  (2)"}</definedName>
    <definedName name="fh" hidden="1">{#N/A,#N/A,FALSE,"KA CH  (2)"}</definedName>
    <definedName name="FHDI" localSheetId="10" hidden="1">{#N/A,#N/A,FALSE,"TEL Monthly Inc";#N/A,#N/A,FALSE,"TEL REVENUE";#N/A,#N/A,FALSE,"Tel - Manpower";#N/A,#N/A,FALSE,"Tel Sales Support";#N/A,#N/A,FALSE,"SI - TELCO";#N/A,#N/A,FALSE,"Sales - Telco";#N/A,#N/A,FALSE,"Tel - Mktg";#N/A,#N/A,FALSE,"Tel - Mktg"}</definedName>
    <definedName name="FHDI" hidden="1">{#N/A,#N/A,FALSE,"TEL Monthly Inc";#N/A,#N/A,FALSE,"TEL REVENUE";#N/A,#N/A,FALSE,"Tel - Manpower";#N/A,#N/A,FALSE,"Tel Sales Support";#N/A,#N/A,FALSE,"SI - TELCO";#N/A,#N/A,FALSE,"Sales - Telco";#N/A,#N/A,FALSE,"Tel - Mktg";#N/A,#N/A,FALSE,"Tel - Mktg"}</definedName>
    <definedName name="FHDI_1" localSheetId="10" hidden="1">{#N/A,#N/A,FALSE,"TEL Monthly Inc";#N/A,#N/A,FALSE,"TEL REVENUE";#N/A,#N/A,FALSE,"Tel - Manpower";#N/A,#N/A,FALSE,"Tel Sales Support";#N/A,#N/A,FALSE,"SI - TELCO";#N/A,#N/A,FALSE,"Sales - Telco";#N/A,#N/A,FALSE,"Tel - Mktg";#N/A,#N/A,FALSE,"Tel - Mktg"}</definedName>
    <definedName name="FHDI_1" hidden="1">{#N/A,#N/A,FALSE,"TEL Monthly Inc";#N/A,#N/A,FALSE,"TEL REVENUE";#N/A,#N/A,FALSE,"Tel - Manpower";#N/A,#N/A,FALSE,"Tel Sales Support";#N/A,#N/A,FALSE,"SI - TELCO";#N/A,#N/A,FALSE,"Sales - Telco";#N/A,#N/A,FALSE,"Tel - Mktg";#N/A,#N/A,FALSE,"Tel - Mktg"}</definedName>
    <definedName name="FHDI_1_1" localSheetId="10" hidden="1">{#N/A,#N/A,FALSE,"TEL Monthly Inc";#N/A,#N/A,FALSE,"TEL REVENUE";#N/A,#N/A,FALSE,"Tel - Manpower";#N/A,#N/A,FALSE,"Tel Sales Support";#N/A,#N/A,FALSE,"SI - TELCO";#N/A,#N/A,FALSE,"Sales - Telco";#N/A,#N/A,FALSE,"Tel - Mktg";#N/A,#N/A,FALSE,"Tel - Mktg"}</definedName>
    <definedName name="FHDI_1_1" hidden="1">{#N/A,#N/A,FALSE,"TEL Monthly Inc";#N/A,#N/A,FALSE,"TEL REVENUE";#N/A,#N/A,FALSE,"Tel - Manpower";#N/A,#N/A,FALSE,"Tel Sales Support";#N/A,#N/A,FALSE,"SI - TELCO";#N/A,#N/A,FALSE,"Sales - Telco";#N/A,#N/A,FALSE,"Tel - Mktg";#N/A,#N/A,FALSE,"Tel - Mktg"}</definedName>
    <definedName name="FHDI_1_1_1" localSheetId="10" hidden="1">{#N/A,#N/A,FALSE,"TEL Monthly Inc";#N/A,#N/A,FALSE,"TEL REVENUE";#N/A,#N/A,FALSE,"Tel - Manpower";#N/A,#N/A,FALSE,"Tel Sales Support";#N/A,#N/A,FALSE,"SI - TELCO";#N/A,#N/A,FALSE,"Sales - Telco";#N/A,#N/A,FALSE,"Tel - Mktg";#N/A,#N/A,FALSE,"Tel - Mktg"}</definedName>
    <definedName name="FHDI_1_1_1" hidden="1">{#N/A,#N/A,FALSE,"TEL Monthly Inc";#N/A,#N/A,FALSE,"TEL REVENUE";#N/A,#N/A,FALSE,"Tel - Manpower";#N/A,#N/A,FALSE,"Tel Sales Support";#N/A,#N/A,FALSE,"SI - TELCO";#N/A,#N/A,FALSE,"Sales - Telco";#N/A,#N/A,FALSE,"Tel - Mktg";#N/A,#N/A,FALSE,"Tel - Mktg"}</definedName>
    <definedName name="FHDI_1_1_2" localSheetId="10" hidden="1">{#N/A,#N/A,FALSE,"TEL Monthly Inc";#N/A,#N/A,FALSE,"TEL REVENUE";#N/A,#N/A,FALSE,"Tel - Manpower";#N/A,#N/A,FALSE,"Tel Sales Support";#N/A,#N/A,FALSE,"SI - TELCO";#N/A,#N/A,FALSE,"Sales - Telco";#N/A,#N/A,FALSE,"Tel - Mktg";#N/A,#N/A,FALSE,"Tel - Mktg"}</definedName>
    <definedName name="FHDI_1_1_2" hidden="1">{#N/A,#N/A,FALSE,"TEL Monthly Inc";#N/A,#N/A,FALSE,"TEL REVENUE";#N/A,#N/A,FALSE,"Tel - Manpower";#N/A,#N/A,FALSE,"Tel Sales Support";#N/A,#N/A,FALSE,"SI - TELCO";#N/A,#N/A,FALSE,"Sales - Telco";#N/A,#N/A,FALSE,"Tel - Mktg";#N/A,#N/A,FALSE,"Tel - Mktg"}</definedName>
    <definedName name="FHDI_1_1_3" localSheetId="10" hidden="1">{#N/A,#N/A,FALSE,"TEL Monthly Inc";#N/A,#N/A,FALSE,"TEL REVENUE";#N/A,#N/A,FALSE,"Tel - Manpower";#N/A,#N/A,FALSE,"Tel Sales Support";#N/A,#N/A,FALSE,"SI - TELCO";#N/A,#N/A,FALSE,"Sales - Telco";#N/A,#N/A,FALSE,"Tel - Mktg";#N/A,#N/A,FALSE,"Tel - Mktg"}</definedName>
    <definedName name="FHDI_1_1_3" hidden="1">{#N/A,#N/A,FALSE,"TEL Monthly Inc";#N/A,#N/A,FALSE,"TEL REVENUE";#N/A,#N/A,FALSE,"Tel - Manpower";#N/A,#N/A,FALSE,"Tel Sales Support";#N/A,#N/A,FALSE,"SI - TELCO";#N/A,#N/A,FALSE,"Sales - Telco";#N/A,#N/A,FALSE,"Tel - Mktg";#N/A,#N/A,FALSE,"Tel - Mktg"}</definedName>
    <definedName name="FHDI_1_1_4" localSheetId="10" hidden="1">{#N/A,#N/A,FALSE,"TEL Monthly Inc";#N/A,#N/A,FALSE,"TEL REVENUE";#N/A,#N/A,FALSE,"Tel - Manpower";#N/A,#N/A,FALSE,"Tel Sales Support";#N/A,#N/A,FALSE,"SI - TELCO";#N/A,#N/A,FALSE,"Sales - Telco";#N/A,#N/A,FALSE,"Tel - Mktg";#N/A,#N/A,FALSE,"Tel - Mktg"}</definedName>
    <definedName name="FHDI_1_1_4" hidden="1">{#N/A,#N/A,FALSE,"TEL Monthly Inc";#N/A,#N/A,FALSE,"TEL REVENUE";#N/A,#N/A,FALSE,"Tel - Manpower";#N/A,#N/A,FALSE,"Tel Sales Support";#N/A,#N/A,FALSE,"SI - TELCO";#N/A,#N/A,FALSE,"Sales - Telco";#N/A,#N/A,FALSE,"Tel - Mktg";#N/A,#N/A,FALSE,"Tel - Mktg"}</definedName>
    <definedName name="FHDI_1_1_5" localSheetId="10" hidden="1">{#N/A,#N/A,FALSE,"TEL Monthly Inc";#N/A,#N/A,FALSE,"TEL REVENUE";#N/A,#N/A,FALSE,"Tel - Manpower";#N/A,#N/A,FALSE,"Tel Sales Support";#N/A,#N/A,FALSE,"SI - TELCO";#N/A,#N/A,FALSE,"Sales - Telco";#N/A,#N/A,FALSE,"Tel - Mktg";#N/A,#N/A,FALSE,"Tel - Mktg"}</definedName>
    <definedName name="FHDI_1_1_5" hidden="1">{#N/A,#N/A,FALSE,"TEL Monthly Inc";#N/A,#N/A,FALSE,"TEL REVENUE";#N/A,#N/A,FALSE,"Tel - Manpower";#N/A,#N/A,FALSE,"Tel Sales Support";#N/A,#N/A,FALSE,"SI - TELCO";#N/A,#N/A,FALSE,"Sales - Telco";#N/A,#N/A,FALSE,"Tel - Mktg";#N/A,#N/A,FALSE,"Tel - Mktg"}</definedName>
    <definedName name="FHDI_1_2" localSheetId="10" hidden="1">{#N/A,#N/A,FALSE,"TEL Monthly Inc";#N/A,#N/A,FALSE,"TEL REVENUE";#N/A,#N/A,FALSE,"Tel - Manpower";#N/A,#N/A,FALSE,"Tel Sales Support";#N/A,#N/A,FALSE,"SI - TELCO";#N/A,#N/A,FALSE,"Sales - Telco";#N/A,#N/A,FALSE,"Tel - Mktg";#N/A,#N/A,FALSE,"Tel - Mktg"}</definedName>
    <definedName name="FHDI_1_2" hidden="1">{#N/A,#N/A,FALSE,"TEL Monthly Inc";#N/A,#N/A,FALSE,"TEL REVENUE";#N/A,#N/A,FALSE,"Tel - Manpower";#N/A,#N/A,FALSE,"Tel Sales Support";#N/A,#N/A,FALSE,"SI - TELCO";#N/A,#N/A,FALSE,"Sales - Telco";#N/A,#N/A,FALSE,"Tel - Mktg";#N/A,#N/A,FALSE,"Tel - Mktg"}</definedName>
    <definedName name="FHDI_1_3" localSheetId="10" hidden="1">{#N/A,#N/A,FALSE,"TEL Monthly Inc";#N/A,#N/A,FALSE,"TEL REVENUE";#N/A,#N/A,FALSE,"Tel - Manpower";#N/A,#N/A,FALSE,"Tel Sales Support";#N/A,#N/A,FALSE,"SI - TELCO";#N/A,#N/A,FALSE,"Sales - Telco";#N/A,#N/A,FALSE,"Tel - Mktg";#N/A,#N/A,FALSE,"Tel - Mktg"}</definedName>
    <definedName name="FHDI_1_3" hidden="1">{#N/A,#N/A,FALSE,"TEL Monthly Inc";#N/A,#N/A,FALSE,"TEL REVENUE";#N/A,#N/A,FALSE,"Tel - Manpower";#N/A,#N/A,FALSE,"Tel Sales Support";#N/A,#N/A,FALSE,"SI - TELCO";#N/A,#N/A,FALSE,"Sales - Telco";#N/A,#N/A,FALSE,"Tel - Mktg";#N/A,#N/A,FALSE,"Tel - Mktg"}</definedName>
    <definedName name="FHDI_1_4" localSheetId="10" hidden="1">{#N/A,#N/A,FALSE,"TEL Monthly Inc";#N/A,#N/A,FALSE,"TEL REVENUE";#N/A,#N/A,FALSE,"Tel - Manpower";#N/A,#N/A,FALSE,"Tel Sales Support";#N/A,#N/A,FALSE,"SI - TELCO";#N/A,#N/A,FALSE,"Sales - Telco";#N/A,#N/A,FALSE,"Tel - Mktg";#N/A,#N/A,FALSE,"Tel - Mktg"}</definedName>
    <definedName name="FHDI_1_4" hidden="1">{#N/A,#N/A,FALSE,"TEL Monthly Inc";#N/A,#N/A,FALSE,"TEL REVENUE";#N/A,#N/A,FALSE,"Tel - Manpower";#N/A,#N/A,FALSE,"Tel Sales Support";#N/A,#N/A,FALSE,"SI - TELCO";#N/A,#N/A,FALSE,"Sales - Telco";#N/A,#N/A,FALSE,"Tel - Mktg";#N/A,#N/A,FALSE,"Tel - Mktg"}</definedName>
    <definedName name="FHDI_1_5" localSheetId="10" hidden="1">{#N/A,#N/A,FALSE,"TEL Monthly Inc";#N/A,#N/A,FALSE,"TEL REVENUE";#N/A,#N/A,FALSE,"Tel - Manpower";#N/A,#N/A,FALSE,"Tel Sales Support";#N/A,#N/A,FALSE,"SI - TELCO";#N/A,#N/A,FALSE,"Sales - Telco";#N/A,#N/A,FALSE,"Tel - Mktg";#N/A,#N/A,FALSE,"Tel - Mktg"}</definedName>
    <definedName name="FHDI_1_5" hidden="1">{#N/A,#N/A,FALSE,"TEL Monthly Inc";#N/A,#N/A,FALSE,"TEL REVENUE";#N/A,#N/A,FALSE,"Tel - Manpower";#N/A,#N/A,FALSE,"Tel Sales Support";#N/A,#N/A,FALSE,"SI - TELCO";#N/A,#N/A,FALSE,"Sales - Telco";#N/A,#N/A,FALSE,"Tel - Mktg";#N/A,#N/A,FALSE,"Tel - Mktg"}</definedName>
    <definedName name="FHDI_2" localSheetId="10" hidden="1">{#N/A,#N/A,FALSE,"TEL Monthly Inc";#N/A,#N/A,FALSE,"TEL REVENUE";#N/A,#N/A,FALSE,"Tel - Manpower";#N/A,#N/A,FALSE,"Tel Sales Support";#N/A,#N/A,FALSE,"SI - TELCO";#N/A,#N/A,FALSE,"Sales - Telco";#N/A,#N/A,FALSE,"Tel - Mktg";#N/A,#N/A,FALSE,"Tel - Mktg"}</definedName>
    <definedName name="FHDI_2" hidden="1">{#N/A,#N/A,FALSE,"TEL Monthly Inc";#N/A,#N/A,FALSE,"TEL REVENUE";#N/A,#N/A,FALSE,"Tel - Manpower";#N/A,#N/A,FALSE,"Tel Sales Support";#N/A,#N/A,FALSE,"SI - TELCO";#N/A,#N/A,FALSE,"Sales - Telco";#N/A,#N/A,FALSE,"Tel - Mktg";#N/A,#N/A,FALSE,"Tel - Mktg"}</definedName>
    <definedName name="FHDI_2_1" localSheetId="10" hidden="1">{#N/A,#N/A,FALSE,"TEL Monthly Inc";#N/A,#N/A,FALSE,"TEL REVENUE";#N/A,#N/A,FALSE,"Tel - Manpower";#N/A,#N/A,FALSE,"Tel Sales Support";#N/A,#N/A,FALSE,"SI - TELCO";#N/A,#N/A,FALSE,"Sales - Telco";#N/A,#N/A,FALSE,"Tel - Mktg";#N/A,#N/A,FALSE,"Tel - Mktg"}</definedName>
    <definedName name="FHDI_2_1" hidden="1">{#N/A,#N/A,FALSE,"TEL Monthly Inc";#N/A,#N/A,FALSE,"TEL REVENUE";#N/A,#N/A,FALSE,"Tel - Manpower";#N/A,#N/A,FALSE,"Tel Sales Support";#N/A,#N/A,FALSE,"SI - TELCO";#N/A,#N/A,FALSE,"Sales - Telco";#N/A,#N/A,FALSE,"Tel - Mktg";#N/A,#N/A,FALSE,"Tel - Mktg"}</definedName>
    <definedName name="FHDI_2_2" localSheetId="10" hidden="1">{#N/A,#N/A,FALSE,"TEL Monthly Inc";#N/A,#N/A,FALSE,"TEL REVENUE";#N/A,#N/A,FALSE,"Tel - Manpower";#N/A,#N/A,FALSE,"Tel Sales Support";#N/A,#N/A,FALSE,"SI - TELCO";#N/A,#N/A,FALSE,"Sales - Telco";#N/A,#N/A,FALSE,"Tel - Mktg";#N/A,#N/A,FALSE,"Tel - Mktg"}</definedName>
    <definedName name="FHDI_2_2" hidden="1">{#N/A,#N/A,FALSE,"TEL Monthly Inc";#N/A,#N/A,FALSE,"TEL REVENUE";#N/A,#N/A,FALSE,"Tel - Manpower";#N/A,#N/A,FALSE,"Tel Sales Support";#N/A,#N/A,FALSE,"SI - TELCO";#N/A,#N/A,FALSE,"Sales - Telco";#N/A,#N/A,FALSE,"Tel - Mktg";#N/A,#N/A,FALSE,"Tel - Mktg"}</definedName>
    <definedName name="FHDI_2_3" localSheetId="10" hidden="1">{#N/A,#N/A,FALSE,"TEL Monthly Inc";#N/A,#N/A,FALSE,"TEL REVENUE";#N/A,#N/A,FALSE,"Tel - Manpower";#N/A,#N/A,FALSE,"Tel Sales Support";#N/A,#N/A,FALSE,"SI - TELCO";#N/A,#N/A,FALSE,"Sales - Telco";#N/A,#N/A,FALSE,"Tel - Mktg";#N/A,#N/A,FALSE,"Tel - Mktg"}</definedName>
    <definedName name="FHDI_2_3" hidden="1">{#N/A,#N/A,FALSE,"TEL Monthly Inc";#N/A,#N/A,FALSE,"TEL REVENUE";#N/A,#N/A,FALSE,"Tel - Manpower";#N/A,#N/A,FALSE,"Tel Sales Support";#N/A,#N/A,FALSE,"SI - TELCO";#N/A,#N/A,FALSE,"Sales - Telco";#N/A,#N/A,FALSE,"Tel - Mktg";#N/A,#N/A,FALSE,"Tel - Mktg"}</definedName>
    <definedName name="FHDI_2_4" localSheetId="10" hidden="1">{#N/A,#N/A,FALSE,"TEL Monthly Inc";#N/A,#N/A,FALSE,"TEL REVENUE";#N/A,#N/A,FALSE,"Tel - Manpower";#N/A,#N/A,FALSE,"Tel Sales Support";#N/A,#N/A,FALSE,"SI - TELCO";#N/A,#N/A,FALSE,"Sales - Telco";#N/A,#N/A,FALSE,"Tel - Mktg";#N/A,#N/A,FALSE,"Tel - Mktg"}</definedName>
    <definedName name="FHDI_2_4" hidden="1">{#N/A,#N/A,FALSE,"TEL Monthly Inc";#N/A,#N/A,FALSE,"TEL REVENUE";#N/A,#N/A,FALSE,"Tel - Manpower";#N/A,#N/A,FALSE,"Tel Sales Support";#N/A,#N/A,FALSE,"SI - TELCO";#N/A,#N/A,FALSE,"Sales - Telco";#N/A,#N/A,FALSE,"Tel - Mktg";#N/A,#N/A,FALSE,"Tel - Mktg"}</definedName>
    <definedName name="FHDI_2_5" localSheetId="10" hidden="1">{#N/A,#N/A,FALSE,"TEL Monthly Inc";#N/A,#N/A,FALSE,"TEL REVENUE";#N/A,#N/A,FALSE,"Tel - Manpower";#N/A,#N/A,FALSE,"Tel Sales Support";#N/A,#N/A,FALSE,"SI - TELCO";#N/A,#N/A,FALSE,"Sales - Telco";#N/A,#N/A,FALSE,"Tel - Mktg";#N/A,#N/A,FALSE,"Tel - Mktg"}</definedName>
    <definedName name="FHDI_2_5" hidden="1">{#N/A,#N/A,FALSE,"TEL Monthly Inc";#N/A,#N/A,FALSE,"TEL REVENUE";#N/A,#N/A,FALSE,"Tel - Manpower";#N/A,#N/A,FALSE,"Tel Sales Support";#N/A,#N/A,FALSE,"SI - TELCO";#N/A,#N/A,FALSE,"Sales - Telco";#N/A,#N/A,FALSE,"Tel - Mktg";#N/A,#N/A,FALSE,"Tel - Mktg"}</definedName>
    <definedName name="FHDI_3" localSheetId="10" hidden="1">{#N/A,#N/A,FALSE,"TEL Monthly Inc";#N/A,#N/A,FALSE,"TEL REVENUE";#N/A,#N/A,FALSE,"Tel - Manpower";#N/A,#N/A,FALSE,"Tel Sales Support";#N/A,#N/A,FALSE,"SI - TELCO";#N/A,#N/A,FALSE,"Sales - Telco";#N/A,#N/A,FALSE,"Tel - Mktg";#N/A,#N/A,FALSE,"Tel - Mktg"}</definedName>
    <definedName name="FHDI_3" hidden="1">{#N/A,#N/A,FALSE,"TEL Monthly Inc";#N/A,#N/A,FALSE,"TEL REVENUE";#N/A,#N/A,FALSE,"Tel - Manpower";#N/A,#N/A,FALSE,"Tel Sales Support";#N/A,#N/A,FALSE,"SI - TELCO";#N/A,#N/A,FALSE,"Sales - Telco";#N/A,#N/A,FALSE,"Tel - Mktg";#N/A,#N/A,FALSE,"Tel - Mktg"}</definedName>
    <definedName name="FHDI_3_1" localSheetId="10" hidden="1">{#N/A,#N/A,FALSE,"TEL Monthly Inc";#N/A,#N/A,FALSE,"TEL REVENUE";#N/A,#N/A,FALSE,"Tel - Manpower";#N/A,#N/A,FALSE,"Tel Sales Support";#N/A,#N/A,FALSE,"SI - TELCO";#N/A,#N/A,FALSE,"Sales - Telco";#N/A,#N/A,FALSE,"Tel - Mktg";#N/A,#N/A,FALSE,"Tel - Mktg"}</definedName>
    <definedName name="FHDI_3_1" hidden="1">{#N/A,#N/A,FALSE,"TEL Monthly Inc";#N/A,#N/A,FALSE,"TEL REVENUE";#N/A,#N/A,FALSE,"Tel - Manpower";#N/A,#N/A,FALSE,"Tel Sales Support";#N/A,#N/A,FALSE,"SI - TELCO";#N/A,#N/A,FALSE,"Sales - Telco";#N/A,#N/A,FALSE,"Tel - Mktg";#N/A,#N/A,FALSE,"Tel - Mktg"}</definedName>
    <definedName name="FHDI_3_2" localSheetId="10" hidden="1">{#N/A,#N/A,FALSE,"TEL Monthly Inc";#N/A,#N/A,FALSE,"TEL REVENUE";#N/A,#N/A,FALSE,"Tel - Manpower";#N/A,#N/A,FALSE,"Tel Sales Support";#N/A,#N/A,FALSE,"SI - TELCO";#N/A,#N/A,FALSE,"Sales - Telco";#N/A,#N/A,FALSE,"Tel - Mktg";#N/A,#N/A,FALSE,"Tel - Mktg"}</definedName>
    <definedName name="FHDI_3_2" hidden="1">{#N/A,#N/A,FALSE,"TEL Monthly Inc";#N/A,#N/A,FALSE,"TEL REVENUE";#N/A,#N/A,FALSE,"Tel - Manpower";#N/A,#N/A,FALSE,"Tel Sales Support";#N/A,#N/A,FALSE,"SI - TELCO";#N/A,#N/A,FALSE,"Sales - Telco";#N/A,#N/A,FALSE,"Tel - Mktg";#N/A,#N/A,FALSE,"Tel - Mktg"}</definedName>
    <definedName name="FHDI_3_3" localSheetId="10" hidden="1">{#N/A,#N/A,FALSE,"TEL Monthly Inc";#N/A,#N/A,FALSE,"TEL REVENUE";#N/A,#N/A,FALSE,"Tel - Manpower";#N/A,#N/A,FALSE,"Tel Sales Support";#N/A,#N/A,FALSE,"SI - TELCO";#N/A,#N/A,FALSE,"Sales - Telco";#N/A,#N/A,FALSE,"Tel - Mktg";#N/A,#N/A,FALSE,"Tel - Mktg"}</definedName>
    <definedName name="FHDI_3_3" hidden="1">{#N/A,#N/A,FALSE,"TEL Monthly Inc";#N/A,#N/A,FALSE,"TEL REVENUE";#N/A,#N/A,FALSE,"Tel - Manpower";#N/A,#N/A,FALSE,"Tel Sales Support";#N/A,#N/A,FALSE,"SI - TELCO";#N/A,#N/A,FALSE,"Sales - Telco";#N/A,#N/A,FALSE,"Tel - Mktg";#N/A,#N/A,FALSE,"Tel - Mktg"}</definedName>
    <definedName name="FHDI_3_4" localSheetId="10" hidden="1">{#N/A,#N/A,FALSE,"TEL Monthly Inc";#N/A,#N/A,FALSE,"TEL REVENUE";#N/A,#N/A,FALSE,"Tel - Manpower";#N/A,#N/A,FALSE,"Tel Sales Support";#N/A,#N/A,FALSE,"SI - TELCO";#N/A,#N/A,FALSE,"Sales - Telco";#N/A,#N/A,FALSE,"Tel - Mktg";#N/A,#N/A,FALSE,"Tel - Mktg"}</definedName>
    <definedName name="FHDI_3_4" hidden="1">{#N/A,#N/A,FALSE,"TEL Monthly Inc";#N/A,#N/A,FALSE,"TEL REVENUE";#N/A,#N/A,FALSE,"Tel - Manpower";#N/A,#N/A,FALSE,"Tel Sales Support";#N/A,#N/A,FALSE,"SI - TELCO";#N/A,#N/A,FALSE,"Sales - Telco";#N/A,#N/A,FALSE,"Tel - Mktg";#N/A,#N/A,FALSE,"Tel - Mktg"}</definedName>
    <definedName name="FHDI_3_5" localSheetId="10" hidden="1">{#N/A,#N/A,FALSE,"TEL Monthly Inc";#N/A,#N/A,FALSE,"TEL REVENUE";#N/A,#N/A,FALSE,"Tel - Manpower";#N/A,#N/A,FALSE,"Tel Sales Support";#N/A,#N/A,FALSE,"SI - TELCO";#N/A,#N/A,FALSE,"Sales - Telco";#N/A,#N/A,FALSE,"Tel - Mktg";#N/A,#N/A,FALSE,"Tel - Mktg"}</definedName>
    <definedName name="FHDI_3_5" hidden="1">{#N/A,#N/A,FALSE,"TEL Monthly Inc";#N/A,#N/A,FALSE,"TEL REVENUE";#N/A,#N/A,FALSE,"Tel - Manpower";#N/A,#N/A,FALSE,"Tel Sales Support";#N/A,#N/A,FALSE,"SI - TELCO";#N/A,#N/A,FALSE,"Sales - Telco";#N/A,#N/A,FALSE,"Tel - Mktg";#N/A,#N/A,FALSE,"Tel - Mktg"}</definedName>
    <definedName name="FHDI_4" localSheetId="10" hidden="1">{#N/A,#N/A,FALSE,"TEL Monthly Inc";#N/A,#N/A,FALSE,"TEL REVENUE";#N/A,#N/A,FALSE,"Tel - Manpower";#N/A,#N/A,FALSE,"Tel Sales Support";#N/A,#N/A,FALSE,"SI - TELCO";#N/A,#N/A,FALSE,"Sales - Telco";#N/A,#N/A,FALSE,"Tel - Mktg";#N/A,#N/A,FALSE,"Tel - Mktg"}</definedName>
    <definedName name="FHDI_4" hidden="1">{#N/A,#N/A,FALSE,"TEL Monthly Inc";#N/A,#N/A,FALSE,"TEL REVENUE";#N/A,#N/A,FALSE,"Tel - Manpower";#N/A,#N/A,FALSE,"Tel Sales Support";#N/A,#N/A,FALSE,"SI - TELCO";#N/A,#N/A,FALSE,"Sales - Telco";#N/A,#N/A,FALSE,"Tel - Mktg";#N/A,#N/A,FALSE,"Tel - Mktg"}</definedName>
    <definedName name="FHDI_5" localSheetId="10" hidden="1">{#N/A,#N/A,FALSE,"TEL Monthly Inc";#N/A,#N/A,FALSE,"TEL REVENUE";#N/A,#N/A,FALSE,"Tel - Manpower";#N/A,#N/A,FALSE,"Tel Sales Support";#N/A,#N/A,FALSE,"SI - TELCO";#N/A,#N/A,FALSE,"Sales - Telco";#N/A,#N/A,FALSE,"Tel - Mktg";#N/A,#N/A,FALSE,"Tel - Mktg"}</definedName>
    <definedName name="FHDI_5" hidden="1">{#N/A,#N/A,FALSE,"TEL Monthly Inc";#N/A,#N/A,FALSE,"TEL REVENUE";#N/A,#N/A,FALSE,"Tel - Manpower";#N/A,#N/A,FALSE,"Tel Sales Support";#N/A,#N/A,FALSE,"SI - TELCO";#N/A,#N/A,FALSE,"Sales - Telco";#N/A,#N/A,FALSE,"Tel - Mktg";#N/A,#N/A,FALSE,"Tel - Mktg"}</definedName>
    <definedName name="fhfgh" localSheetId="10"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10"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rtz" localSheetId="10"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HSGHFS" hidden="1">#REF!</definedName>
    <definedName name="fhshf" hidden="1">#REF!</definedName>
    <definedName name="fhshjdjdj" hidden="1">#REF!</definedName>
    <definedName name="fiew" hidden="1">#REF!</definedName>
    <definedName name="Fil">#REF!</definedName>
    <definedName name="File.Type" hidden="1">#REF!</definedName>
    <definedName name="fill" hidden="1">#REF!</definedName>
    <definedName name="fill2" hidden="1">#REF!</definedName>
    <definedName name="Filll" hidden="1">#REF!</definedName>
    <definedName name="filmsum">#REF!</definedName>
    <definedName name="fin" localSheetId="10" hidden="1">{"rev_history_revenueDetail",#N/A,FALSE,"historical rev us";"rev_history_minutesDetail",#N/A,FALSE,"historical rev us"}</definedName>
    <definedName name="fin" hidden="1">{"rev_history_revenueDetail",#N/A,FALSE,"historical rev us";"rev_history_minutesDetail",#N/A,FALSE,"historical rev us"}</definedName>
    <definedName name="fina" localSheetId="10" hidden="1">{"Balance Sheet",#N/A,FALSE,"CONS BS";"Income Stmt",#N/A,FALSE,"CONS IS";"Cash Flow",#N/A,FALSE,"CONS BS";"Debt Service",#N/A,FALSE,"CONS BS";"Pref Div",#N/A,FALSE,"PREF STK ";"Check figures",#N/A,FALSE,"CONS BS";"CNA Je's",#N/A,FALSE,"CNA Je's"}</definedName>
    <definedName name="fina" hidden="1">{"Balance Sheet",#N/A,FALSE,"CONS BS";"Income Stmt",#N/A,FALSE,"CONS IS";"Cash Flow",#N/A,FALSE,"CONS BS";"Debt Service",#N/A,FALSE,"CONS BS";"Pref Div",#N/A,FALSE,"PREF STK ";"Check figures",#N/A,FALSE,"CONS BS";"CNA Je's",#N/A,FALSE,"CNA Je's"}</definedName>
    <definedName name="fina_0" localSheetId="10" hidden="1">{"Balance Sheet",#N/A,FALSE,"CONS BS";"Income Stmt",#N/A,FALSE,"CONS IS";"Cash Flow",#N/A,FALSE,"CONS BS";"Debt Service",#N/A,FALSE,"CONS BS";"Pref Div",#N/A,FALSE,"PREF STK ";"Check figures",#N/A,FALSE,"CONS BS";"CNA Je's",#N/A,FALSE,"CNA Je's"}</definedName>
    <definedName name="fina_0" hidden="1">{"Balance Sheet",#N/A,FALSE,"CONS BS";"Income Stmt",#N/A,FALSE,"CONS IS";"Cash Flow",#N/A,FALSE,"CONS BS";"Debt Service",#N/A,FALSE,"CONS BS";"Pref Div",#N/A,FALSE,"PREF STK ";"Check figures",#N/A,FALSE,"CONS BS";"CNA Je's",#N/A,FALSE,"CNA Je's"}</definedName>
    <definedName name="fina_26" localSheetId="10" hidden="1">{"Balance Sheet",#N/A,FALSE,"CONS BS";"Income Stmt",#N/A,FALSE,"CONS IS";"Cash Flow",#N/A,FALSE,"CONS BS";"Debt Service",#N/A,FALSE,"CONS BS";"Pref Div",#N/A,FALSE,"PREF STK ";"Check figures",#N/A,FALSE,"CONS BS";"CNA Je's",#N/A,FALSE,"CNA Je's"}</definedName>
    <definedName name="fina_26" hidden="1">{"Balance Sheet",#N/A,FALSE,"CONS BS";"Income Stmt",#N/A,FALSE,"CONS IS";"Cash Flow",#N/A,FALSE,"CONS BS";"Debt Service",#N/A,FALSE,"CONS BS";"Pref Div",#N/A,FALSE,"PREF STK ";"Check figures",#N/A,FALSE,"CONS BS";"CNA Je's",#N/A,FALSE,"CNA Je's"}</definedName>
    <definedName name="fina_3" localSheetId="10" hidden="1">{"Balance Sheet",#N/A,FALSE,"CONS BS";"Income Stmt",#N/A,FALSE,"CONS IS";"Cash Flow",#N/A,FALSE,"CONS BS";"Debt Service",#N/A,FALSE,"CONS BS";"Pref Div",#N/A,FALSE,"PREF STK ";"Check figures",#N/A,FALSE,"CONS BS";"CNA Je's",#N/A,FALSE,"CNA Je's"}</definedName>
    <definedName name="fina_3" hidden="1">{"Balance Sheet",#N/A,FALSE,"CONS BS";"Income Stmt",#N/A,FALSE,"CONS IS";"Cash Flow",#N/A,FALSE,"CONS BS";"Debt Service",#N/A,FALSE,"CONS BS";"Pref Div",#N/A,FALSE,"PREF STK ";"Check figures",#N/A,FALSE,"CONS BS";"CNA Je's",#N/A,FALSE,"CNA Je's"}</definedName>
    <definedName name="fina_33" localSheetId="10" hidden="1">{"Balance Sheet",#N/A,FALSE,"CONS BS";"Income Stmt",#N/A,FALSE,"CONS IS";"Cash Flow",#N/A,FALSE,"CONS BS";"Debt Service",#N/A,FALSE,"CONS BS";"Pref Div",#N/A,FALSE,"PREF STK ";"Check figures",#N/A,FALSE,"CONS BS";"CNA Je's",#N/A,FALSE,"CNA Je's"}</definedName>
    <definedName name="fina_33" hidden="1">{"Balance Sheet",#N/A,FALSE,"CONS BS";"Income Stmt",#N/A,FALSE,"CONS IS";"Cash Flow",#N/A,FALSE,"CONS BS";"Debt Service",#N/A,FALSE,"CONS BS";"Pref Div",#N/A,FALSE,"PREF STK ";"Check figures",#N/A,FALSE,"CONS BS";"CNA Je's",#N/A,FALSE,"CNA Je's"}</definedName>
    <definedName name="fina_4" localSheetId="10" hidden="1">{"Balance Sheet",#N/A,FALSE,"CONS BS";"Income Stmt",#N/A,FALSE,"CONS IS";"Cash Flow",#N/A,FALSE,"CONS BS";"Debt Service",#N/A,FALSE,"CONS BS";"Pref Div",#N/A,FALSE,"PREF STK ";"Check figures",#N/A,FALSE,"CONS BS";"CNA Je's",#N/A,FALSE,"CNA Je's"}</definedName>
    <definedName name="fina_4" hidden="1">{"Balance Sheet",#N/A,FALSE,"CONS BS";"Income Stmt",#N/A,FALSE,"CONS IS";"Cash Flow",#N/A,FALSE,"CONS BS";"Debt Service",#N/A,FALSE,"CONS BS";"Pref Div",#N/A,FALSE,"PREF STK ";"Check figures",#N/A,FALSE,"CONS BS";"CNA Je's",#N/A,FALSE,"CNA Je's"}</definedName>
    <definedName name="fina_44" localSheetId="10" hidden="1">{"Balance Sheet",#N/A,FALSE,"CONS BS";"Income Stmt",#N/A,FALSE,"CONS IS";"Cash Flow",#N/A,FALSE,"CONS BS";"Debt Service",#N/A,FALSE,"CONS BS";"Pref Div",#N/A,FALSE,"PREF STK ";"Check figures",#N/A,FALSE,"CONS BS";"CNA Je's",#N/A,FALSE,"CNA Je's"}</definedName>
    <definedName name="fina_44" hidden="1">{"Balance Sheet",#N/A,FALSE,"CONS BS";"Income Stmt",#N/A,FALSE,"CONS IS";"Cash Flow",#N/A,FALSE,"CONS BS";"Debt Service",#N/A,FALSE,"CONS BS";"Pref Div",#N/A,FALSE,"PREF STK ";"Check figures",#N/A,FALSE,"CONS BS";"CNA Je's",#N/A,FALSE,"CNA Je's"}</definedName>
    <definedName name="fina_6" localSheetId="10" hidden="1">{"Balance Sheet",#N/A,FALSE,"CONS BS";"Income Stmt",#N/A,FALSE,"CONS IS";"Cash Flow",#N/A,FALSE,"CONS BS";"Debt Service",#N/A,FALSE,"CONS BS";"Pref Div",#N/A,FALSE,"PREF STK ";"Check figures",#N/A,FALSE,"CONS BS";"CNA Je's",#N/A,FALSE,"CNA Je's"}</definedName>
    <definedName name="fina_6" hidden="1">{"Balance Sheet",#N/A,FALSE,"CONS BS";"Income Stmt",#N/A,FALSE,"CONS IS";"Cash Flow",#N/A,FALSE,"CONS BS";"Debt Service",#N/A,FALSE,"CONS BS";"Pref Div",#N/A,FALSE,"PREF STK ";"Check figures",#N/A,FALSE,"CONS BS";"CNA Je's",#N/A,FALSE,"CNA Je's"}</definedName>
    <definedName name="fina_66" localSheetId="10" hidden="1">{"Balance Sheet",#N/A,FALSE,"CONS BS";"Income Stmt",#N/A,FALSE,"CONS IS";"Cash Flow",#N/A,FALSE,"CONS BS";"Debt Service",#N/A,FALSE,"CONS BS";"Pref Div",#N/A,FALSE,"PREF STK ";"Check figures",#N/A,FALSE,"CONS BS";"CNA Je's",#N/A,FALSE,"CNA Je's"}</definedName>
    <definedName name="fina_66" hidden="1">{"Balance Sheet",#N/A,FALSE,"CONS BS";"Income Stmt",#N/A,FALSE,"CONS IS";"Cash Flow",#N/A,FALSE,"CONS BS";"Debt Service",#N/A,FALSE,"CONS BS";"Pref Div",#N/A,FALSE,"PREF STK ";"Check figures",#N/A,FALSE,"CONS BS";"CNA Je's",#N/A,FALSE,"CNA Je's"}</definedName>
    <definedName name="fina_7" localSheetId="10" hidden="1">{"Balance Sheet",#N/A,FALSE,"CONS BS";"Income Stmt",#N/A,FALSE,"CONS IS";"Cash Flow",#N/A,FALSE,"CONS BS";"Debt Service",#N/A,FALSE,"CONS BS";"Pref Div",#N/A,FALSE,"PREF STK ";"Check figures",#N/A,FALSE,"CONS BS";"CNA Je's",#N/A,FALSE,"CNA Je's"}</definedName>
    <definedName name="fina_7" hidden="1">{"Balance Sheet",#N/A,FALSE,"CONS BS";"Income Stmt",#N/A,FALSE,"CONS IS";"Cash Flow",#N/A,FALSE,"CONS BS";"Debt Service",#N/A,FALSE,"CONS BS";"Pref Div",#N/A,FALSE,"PREF STK ";"Check figures",#N/A,FALSE,"CONS BS";"CNA Je's",#N/A,FALSE,"CNA Je's"}</definedName>
    <definedName name="fina_77" localSheetId="10" hidden="1">{"Balance Sheet",#N/A,FALSE,"CONS BS";"Income Stmt",#N/A,FALSE,"CONS IS";"Cash Flow",#N/A,FALSE,"CONS BS";"Debt Service",#N/A,FALSE,"CONS BS";"Pref Div",#N/A,FALSE,"PREF STK ";"Check figures",#N/A,FALSE,"CONS BS";"CNA Je's",#N/A,FALSE,"CNA Je's"}</definedName>
    <definedName name="fina_77" hidden="1">{"Balance Sheet",#N/A,FALSE,"CONS BS";"Income Stmt",#N/A,FALSE,"CONS IS";"Cash Flow",#N/A,FALSE,"CONS BS";"Debt Service",#N/A,FALSE,"CONS BS";"Pref Div",#N/A,FALSE,"PREF STK ";"Check figures",#N/A,FALSE,"CONS BS";"CNA Je's",#N/A,FALSE,"CNA Je's"}</definedName>
    <definedName name="fina0" localSheetId="10" hidden="1">{"Balance Sheet",#N/A,FALSE,"CONS BS";"Income Stmt",#N/A,FALSE,"CONS IS";"Cash Flow",#N/A,FALSE,"CONS BS";"Debt Service",#N/A,FALSE,"CONS BS";"Pref Div",#N/A,FALSE,"PREF STK ";"Check figures",#N/A,FALSE,"CONS BS";"CNA Je's",#N/A,FALSE,"CNA Je's"}</definedName>
    <definedName name="fina0" hidden="1">{"Balance Sheet",#N/A,FALSE,"CONS BS";"Income Stmt",#N/A,FALSE,"CONS IS";"Cash Flow",#N/A,FALSE,"CONS BS";"Debt Service",#N/A,FALSE,"CONS BS";"Pref Div",#N/A,FALSE,"PREF STK ";"Check figures",#N/A,FALSE,"CONS BS";"CNA Je's",#N/A,FALSE,"CNA Je's"}</definedName>
    <definedName name="fina1" localSheetId="10" hidden="1">{"Balance Sheet",#N/A,FALSE,"CONS BS";"Income Stmt",#N/A,FALSE,"CONS IS";"Cash Flow",#N/A,FALSE,"CONS BS";"Debt Service",#N/A,FALSE,"CONS BS";"Pref Div",#N/A,FALSE,"PREF STK ";"Check figures",#N/A,FALSE,"CONS BS";"CNA Je's",#N/A,FALSE,"CNA Je's"}</definedName>
    <definedName name="fina1" hidden="1">{"Balance Sheet",#N/A,FALSE,"CONS BS";"Income Stmt",#N/A,FALSE,"CONS IS";"Cash Flow",#N/A,FALSE,"CONS BS";"Debt Service",#N/A,FALSE,"CONS BS";"Pref Div",#N/A,FALSE,"PREF STK ";"Check figures",#N/A,FALSE,"CONS BS";"CNA Je's",#N/A,FALSE,"CNA Je's"}</definedName>
    <definedName name="fina2" localSheetId="10" hidden="1">{"Balance Sheet",#N/A,FALSE,"CONS BS";"Income Stmt",#N/A,FALSE,"CONS IS";"Cash Flow",#N/A,FALSE,"CONS BS";"Debt Service",#N/A,FALSE,"CONS BS";"Pref Div",#N/A,FALSE,"PREF STK ";"Check figures",#N/A,FALSE,"CONS BS";"CNA Je's",#N/A,FALSE,"CNA Je's"}</definedName>
    <definedName name="fina2" hidden="1">{"Balance Sheet",#N/A,FALSE,"CONS BS";"Income Stmt",#N/A,FALSE,"CONS IS";"Cash Flow",#N/A,FALSE,"CONS BS";"Debt Service",#N/A,FALSE,"CONS BS";"Pref Div",#N/A,FALSE,"PREF STK ";"Check figures",#N/A,FALSE,"CONS BS";"CNA Je's",#N/A,FALSE,"CNA Je's"}</definedName>
    <definedName name="fina26" localSheetId="10" hidden="1">{"Balance Sheet",#N/A,FALSE,"CONS BS";"Income Stmt",#N/A,FALSE,"CONS IS";"Cash Flow",#N/A,FALSE,"CONS BS";"Debt Service",#N/A,FALSE,"CONS BS";"Pref Div",#N/A,FALSE,"PREF STK ";"Check figures",#N/A,FALSE,"CONS BS";"CNA Je's",#N/A,FALSE,"CNA Je's"}</definedName>
    <definedName name="fina26" hidden="1">{"Balance Sheet",#N/A,FALSE,"CONS BS";"Income Stmt",#N/A,FALSE,"CONS IS";"Cash Flow",#N/A,FALSE,"CONS BS";"Debt Service",#N/A,FALSE,"CONS BS";"Pref Div",#N/A,FALSE,"PREF STK ";"Check figures",#N/A,FALSE,"CONS BS";"CNA Je's",#N/A,FALSE,"CNA Je's"}</definedName>
    <definedName name="fina27" localSheetId="10" hidden="1">{"Balance Sheet",#N/A,FALSE,"CONS BS";"Income Stmt",#N/A,FALSE,"CONS IS";"Cash Flow",#N/A,FALSE,"CONS BS";"Debt Service",#N/A,FALSE,"CONS BS";"Pref Div",#N/A,FALSE,"PREF STK ";"Check figures",#N/A,FALSE,"CONS BS";"CNA Je's",#N/A,FALSE,"CNA Je's"}</definedName>
    <definedName name="fina27" hidden="1">{"Balance Sheet",#N/A,FALSE,"CONS BS";"Income Stmt",#N/A,FALSE,"CONS IS";"Cash Flow",#N/A,FALSE,"CONS BS";"Debt Service",#N/A,FALSE,"CONS BS";"Pref Div",#N/A,FALSE,"PREF STK ";"Check figures",#N/A,FALSE,"CONS BS";"CNA Je's",#N/A,FALSE,"CNA Je's"}</definedName>
    <definedName name="fina3" localSheetId="10" hidden="1">{"Balance Sheet",#N/A,FALSE,"CONS BS";"Income Stmt",#N/A,FALSE,"CONS IS";"Cash Flow",#N/A,FALSE,"CONS BS";"Debt Service",#N/A,FALSE,"CONS BS";"Pref Div",#N/A,FALSE,"PREF STK ";"Check figures",#N/A,FALSE,"CONS BS";"CNA Je's",#N/A,FALSE,"CNA Je's"}</definedName>
    <definedName name="fina3" hidden="1">{"Balance Sheet",#N/A,FALSE,"CONS BS";"Income Stmt",#N/A,FALSE,"CONS IS";"Cash Flow",#N/A,FALSE,"CONS BS";"Debt Service",#N/A,FALSE,"CONS BS";"Pref Div",#N/A,FALSE,"PREF STK ";"Check figures",#N/A,FALSE,"CONS BS";"CNA Je's",#N/A,FALSE,"CNA Je's"}</definedName>
    <definedName name="fina33" localSheetId="10" hidden="1">{"Balance Sheet",#N/A,FALSE,"CONS BS";"Income Stmt",#N/A,FALSE,"CONS IS";"Cash Flow",#N/A,FALSE,"CONS BS";"Debt Service",#N/A,FALSE,"CONS BS";"Pref Div",#N/A,FALSE,"PREF STK ";"Check figures",#N/A,FALSE,"CONS BS";"CNA Je's",#N/A,FALSE,"CNA Je's"}</definedName>
    <definedName name="fina33" hidden="1">{"Balance Sheet",#N/A,FALSE,"CONS BS";"Income Stmt",#N/A,FALSE,"CONS IS";"Cash Flow",#N/A,FALSE,"CONS BS";"Debt Service",#N/A,FALSE,"CONS BS";"Pref Div",#N/A,FALSE,"PREF STK ";"Check figures",#N/A,FALSE,"CONS BS";"CNA Je's",#N/A,FALSE,"CNA Je's"}</definedName>
    <definedName name="fina4" localSheetId="10" hidden="1">{"Balance Sheet",#N/A,FALSE,"CONS BS";"Income Stmt",#N/A,FALSE,"CONS IS";"Cash Flow",#N/A,FALSE,"CONS BS";"Debt Service",#N/A,FALSE,"CONS BS";"Pref Div",#N/A,FALSE,"PREF STK ";"Check figures",#N/A,FALSE,"CONS BS";"CNA Je's",#N/A,FALSE,"CNA Je's"}</definedName>
    <definedName name="fina4" hidden="1">{"Balance Sheet",#N/A,FALSE,"CONS BS";"Income Stmt",#N/A,FALSE,"CONS IS";"Cash Flow",#N/A,FALSE,"CONS BS";"Debt Service",#N/A,FALSE,"CONS BS";"Pref Div",#N/A,FALSE,"PREF STK ";"Check figures",#N/A,FALSE,"CONS BS";"CNA Je's",#N/A,FALSE,"CNA Je's"}</definedName>
    <definedName name="fina44" localSheetId="10" hidden="1">{"Balance Sheet",#N/A,FALSE,"CONS BS";"Income Stmt",#N/A,FALSE,"CONS IS";"Cash Flow",#N/A,FALSE,"CONS BS";"Debt Service",#N/A,FALSE,"CONS BS";"Pref Div",#N/A,FALSE,"PREF STK ";"Check figures",#N/A,FALSE,"CONS BS";"CNA Je's",#N/A,FALSE,"CNA Je's"}</definedName>
    <definedName name="fina44" hidden="1">{"Balance Sheet",#N/A,FALSE,"CONS BS";"Income Stmt",#N/A,FALSE,"CONS IS";"Cash Flow",#N/A,FALSE,"CONS BS";"Debt Service",#N/A,FALSE,"CONS BS";"Pref Div",#N/A,FALSE,"PREF STK ";"Check figures",#N/A,FALSE,"CONS BS";"CNA Je's",#N/A,FALSE,"CNA Je's"}</definedName>
    <definedName name="fina5" localSheetId="10" hidden="1">{"Balance Sheet",#N/A,FALSE,"CONS BS";"Income Stmt",#N/A,FALSE,"CONS IS";"Cash Flow",#N/A,FALSE,"CONS BS";"Debt Service",#N/A,FALSE,"CONS BS";"Pref Div",#N/A,FALSE,"PREF STK ";"Check figures",#N/A,FALSE,"CONS BS";"CNA Je's",#N/A,FALSE,"CNA Je's"}</definedName>
    <definedName name="fina5" hidden="1">{"Balance Sheet",#N/A,FALSE,"CONS BS";"Income Stmt",#N/A,FALSE,"CONS IS";"Cash Flow",#N/A,FALSE,"CONS BS";"Debt Service",#N/A,FALSE,"CONS BS";"Pref Div",#N/A,FALSE,"PREF STK ";"Check figures",#N/A,FALSE,"CONS BS";"CNA Je's",#N/A,FALSE,"CNA Je's"}</definedName>
    <definedName name="fina6" localSheetId="10" hidden="1">{"Balance Sheet",#N/A,FALSE,"CONS BS";"Income Stmt",#N/A,FALSE,"CONS IS";"Cash Flow",#N/A,FALSE,"CONS BS";"Debt Service",#N/A,FALSE,"CONS BS";"Pref Div",#N/A,FALSE,"PREF STK ";"Check figures",#N/A,FALSE,"CONS BS";"CNA Je's",#N/A,FALSE,"CNA Je's"}</definedName>
    <definedName name="fina6" hidden="1">{"Balance Sheet",#N/A,FALSE,"CONS BS";"Income Stmt",#N/A,FALSE,"CONS IS";"Cash Flow",#N/A,FALSE,"CONS BS";"Debt Service",#N/A,FALSE,"CONS BS";"Pref Div",#N/A,FALSE,"PREF STK ";"Check figures",#N/A,FALSE,"CONS BS";"CNA Je's",#N/A,FALSE,"CNA Je's"}</definedName>
    <definedName name="fina66" localSheetId="10" hidden="1">{"Balance Sheet",#N/A,FALSE,"CONS BS";"Income Stmt",#N/A,FALSE,"CONS IS";"Cash Flow",#N/A,FALSE,"CONS BS";"Debt Service",#N/A,FALSE,"CONS BS";"Pref Div",#N/A,FALSE,"PREF STK ";"Check figures",#N/A,FALSE,"CONS BS";"CNA Je's",#N/A,FALSE,"CNA Je's"}</definedName>
    <definedName name="fina66" hidden="1">{"Balance Sheet",#N/A,FALSE,"CONS BS";"Income Stmt",#N/A,FALSE,"CONS IS";"Cash Flow",#N/A,FALSE,"CONS BS";"Debt Service",#N/A,FALSE,"CONS BS";"Pref Div",#N/A,FALSE,"PREF STK ";"Check figures",#N/A,FALSE,"CONS BS";"CNA Je's",#N/A,FALSE,"CNA Je's"}</definedName>
    <definedName name="fina7" localSheetId="10" hidden="1">{"Balance Sheet",#N/A,FALSE,"CONS BS";"Income Stmt",#N/A,FALSE,"CONS IS";"Cash Flow",#N/A,FALSE,"CONS BS";"Debt Service",#N/A,FALSE,"CONS BS";"Pref Div",#N/A,FALSE,"PREF STK ";"Check figures",#N/A,FALSE,"CONS BS";"CNA Je's",#N/A,FALSE,"CNA Je's"}</definedName>
    <definedName name="fina7" hidden="1">{"Balance Sheet",#N/A,FALSE,"CONS BS";"Income Stmt",#N/A,FALSE,"CONS IS";"Cash Flow",#N/A,FALSE,"CONS BS";"Debt Service",#N/A,FALSE,"CONS BS";"Pref Div",#N/A,FALSE,"PREF STK ";"Check figures",#N/A,FALSE,"CONS BS";"CNA Je's",#N/A,FALSE,"CNA Je's"}</definedName>
    <definedName name="fina77" localSheetId="10" hidden="1">{"Balance Sheet",#N/A,FALSE,"CONS BS";"Income Stmt",#N/A,FALSE,"CONS IS";"Cash Flow",#N/A,FALSE,"CONS BS";"Debt Service",#N/A,FALSE,"CONS BS";"Pref Div",#N/A,FALSE,"PREF STK ";"Check figures",#N/A,FALSE,"CONS BS";"CNA Je's",#N/A,FALSE,"CNA Je's"}</definedName>
    <definedName name="fina77" hidden="1">{"Balance Sheet",#N/A,FALSE,"CONS BS";"Income Stmt",#N/A,FALSE,"CONS IS";"Cash Flow",#N/A,FALSE,"CONS BS";"Debt Service",#N/A,FALSE,"CONS BS";"Pref Div",#N/A,FALSE,"PREF STK ";"Check figures",#N/A,FALSE,"CONS BS";"CNA Je's",#N/A,FALSE,"CNA Je's"}</definedName>
    <definedName name="finaa" localSheetId="10" hidden="1">{"Balance Sheet",#N/A,FALSE,"CONS BS";"Income Stmt",#N/A,FALSE,"CONS IS";"Cash Flow",#N/A,FALSE,"CONS BS";"Debt Service",#N/A,FALSE,"CONS BS";"Pref Div",#N/A,FALSE,"PREF STK ";"Check figures",#N/A,FALSE,"CONS BS";"CNA Je's",#N/A,FALSE,"CNA Je's"}</definedName>
    <definedName name="finaa" hidden="1">{"Balance Sheet",#N/A,FALSE,"CONS BS";"Income Stmt",#N/A,FALSE,"CONS IS";"Cash Flow",#N/A,FALSE,"CONS BS";"Debt Service",#N/A,FALSE,"CONS BS";"Pref Div",#N/A,FALSE,"PREF STK ";"Check figures",#N/A,FALSE,"CONS BS";"CNA Je's",#N/A,FALSE,"CNA Je's"}</definedName>
    <definedName name="Final" localSheetId="10"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Summary"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 localSheetId="10" hidden="1">{"Balance Sheet",#N/A,FALSE,"CONS BS";"Income Stmt",#N/A,FALSE,"CONS IS";"Cash Flow",#N/A,FALSE,"CONS BS";"Debt Service",#N/A,FALSE,"CONS BS";"Pref Div",#N/A,FALSE,"PREF STK ";"Check figures",#N/A,FALSE,"CONS BS";"CNA Je's",#N/A,FALSE,"CNA Je's"}</definedName>
    <definedName name="financia" hidden="1">{"Balance Sheet",#N/A,FALSE,"CONS BS";"Income Stmt",#N/A,FALSE,"CONS IS";"Cash Flow",#N/A,FALSE,"CONS BS";"Debt Service",#N/A,FALSE,"CONS BS";"Pref Div",#N/A,FALSE,"PREF STK ";"Check figures",#N/A,FALSE,"CONS BS";"CNA Je's",#N/A,FALSE,"CNA Je's"}</definedName>
    <definedName name="financial" localSheetId="1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10"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Overview_Dental_Range" hidden="1">#REF!</definedName>
    <definedName name="finast1" localSheetId="10" hidden="1">{"Balance Sheet",#N/A,FALSE,"CONS BS";"Income Stmt",#N/A,FALSE,"CONS IS";"Cash Flow",#N/A,FALSE,"CONS BS";"Debt Service",#N/A,FALSE,"CONS BS";"Pref Div",#N/A,FALSE,"PREF STK ";"Check figures",#N/A,FALSE,"CONS BS";"CNA Je's",#N/A,FALSE,"CNA Je's"}</definedName>
    <definedName name="finast1" hidden="1">{"Balance Sheet",#N/A,FALSE,"CONS BS";"Income Stmt",#N/A,FALSE,"CONS IS";"Cash Flow",#N/A,FALSE,"CONS BS";"Debt Service",#N/A,FALSE,"CONS BS";"Pref Div",#N/A,FALSE,"PREF STK ";"Check figures",#N/A,FALSE,"CONS BS";"CNA Je's",#N/A,FALSE,"CNA Je's"}</definedName>
    <definedName name="finast11" localSheetId="10" hidden="1">{"Balance Sheet",#N/A,FALSE,"CONS BS";"Income Stmt",#N/A,FALSE,"CONS IS";"Cash Flow",#N/A,FALSE,"CONS BS";"Debt Service",#N/A,FALSE,"CONS BS";"Pref Div",#N/A,FALSE,"PREF STK ";"Check figures",#N/A,FALSE,"CONS BS";"CNA Je's",#N/A,FALSE,"CNA Je's"}</definedName>
    <definedName name="finast11" hidden="1">{"Balance Sheet",#N/A,FALSE,"CONS BS";"Income Stmt",#N/A,FALSE,"CONS IS";"Cash Flow",#N/A,FALSE,"CONS BS";"Debt Service",#N/A,FALSE,"CONS BS";"Pref Div",#N/A,FALSE,"PREF STK ";"Check figures",#N/A,FALSE,"CONS BS";"CNA Je's",#N/A,FALSE,"CNA Je's"}</definedName>
    <definedName name="finast2" localSheetId="10" hidden="1">{"Balance Sheet",#N/A,FALSE,"CONS BS";"Income Stmt",#N/A,FALSE,"CONS IS";"Cash Flow",#N/A,FALSE,"CONS BS";"Debt Service",#N/A,FALSE,"CONS BS";"Pref Div",#N/A,FALSE,"PREF STK ";"Check figures",#N/A,FALSE,"CONS BS";"CNA Je's",#N/A,FALSE,"CNA Je's"}</definedName>
    <definedName name="finast2" hidden="1">{"Balance Sheet",#N/A,FALSE,"CONS BS";"Income Stmt",#N/A,FALSE,"CONS IS";"Cash Flow",#N/A,FALSE,"CONS BS";"Debt Service",#N/A,FALSE,"CONS BS";"Pref Div",#N/A,FALSE,"PREF STK ";"Check figures",#N/A,FALSE,"CONS BS";"CNA Je's",#N/A,FALSE,"CNA Je's"}</definedName>
    <definedName name="finast22" localSheetId="10" hidden="1">{"Balance Sheet",#N/A,FALSE,"CONS BS";"Income Stmt",#N/A,FALSE,"CONS IS";"Cash Flow",#N/A,FALSE,"CONS BS";"Debt Service",#N/A,FALSE,"CONS BS";"Pref Div",#N/A,FALSE,"PREF STK ";"Check figures",#N/A,FALSE,"CONS BS";"CNA Je's",#N/A,FALSE,"CNA Je's"}</definedName>
    <definedName name="finast22" hidden="1">{"Balance Sheet",#N/A,FALSE,"CONS BS";"Income Stmt",#N/A,FALSE,"CONS IS";"Cash Flow",#N/A,FALSE,"CONS BS";"Debt Service",#N/A,FALSE,"CONS BS";"Pref Div",#N/A,FALSE,"PREF STK ";"Check figures",#N/A,FALSE,"CONS BS";"CNA Je's",#N/A,FALSE,"CNA Je's"}</definedName>
    <definedName name="Fired_Hour_Fee">#REF!</definedName>
    <definedName name="First">INDIRECT("Sales!$A$5:$AF$800")</definedName>
    <definedName name="FIRST_MONTH" localSheetId="10">#REF!</definedName>
    <definedName name="FIRST_MONTH">#REF!</definedName>
    <definedName name="First_Reporting_Year" localSheetId="10">#REF!</definedName>
    <definedName name="First_Reporting_Year">'STOC Accounting Diligence Datab'!$B$24</definedName>
    <definedName name="FIRST_YEAR" localSheetId="10">#REF!</definedName>
    <definedName name="FIRST_YEAR">#REF!</definedName>
    <definedName name="FirstRow">ROW(#REF!)</definedName>
    <definedName name="fish" localSheetId="10" hidden="1">{#N/A,#N/A,FALSE,"VALSUM";#N/A,#N/A,FALSE,"MKT.COMPS";#N/A,#N/A,FALSE,"ACQ.MULT.";#N/A,#N/A,FALSE,"DCF - LBO"}</definedName>
    <definedName name="fish" hidden="1">{#N/A,#N/A,FALSE,"VALSUM";#N/A,#N/A,FALSE,"MKT.COMPS";#N/A,#N/A,FALSE,"ACQ.MULT.";#N/A,#N/A,FALSE,"DCF - LBO"}</definedName>
    <definedName name="fishfac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Mth">#REF!</definedName>
    <definedName name="FisYr">#REF!</definedName>
    <definedName name="five" hidden="1">#REF!,#REF!,#REF!</definedName>
    <definedName name="fiwoewi" localSheetId="10" hidden="1">{#N/A,#N/A,FALSE,"COVER";#N/A,#N/A,FALSE,"SUMP&amp;L";#N/A,#N/A,FALSE,"SUBSP&amp;L";#N/A,#N/A,FALSE,"SALESANAL"}</definedName>
    <definedName name="fiwoewi" hidden="1">{#N/A,#N/A,FALSE,"COVER";#N/A,#N/A,FALSE,"SUMP&amp;L";#N/A,#N/A,FALSE,"SUBSP&amp;L";#N/A,#N/A,FALSE,"SALESANAL"}</definedName>
    <definedName name="FIXED" localSheetId="10" hidden="1">{"Material",#N/A,TRUE,"Summary";"Mfg",#N/A,TRUE,"Summary";"mfgbymo",#N/A,TRUE,"By Month";"Mtlbymo",#N/A,TRUE,"By Month"}</definedName>
    <definedName name="FIXED" hidden="1">{"Material",#N/A,TRUE,"Summary";"Mfg",#N/A,TRUE,"Summary";"mfgbymo",#N/A,TRUE,"By Month";"Mtlbymo",#N/A,TRUE,"By Month"}</definedName>
    <definedName name="Fixed.Assets" localSheetId="10" hidden="1">{#N/A,#N/A,FALSE,"Income";#N/A,#N/A,FALSE,"Cost of Goods Sold";#N/A,#N/A,FALSE,"Other Costs";#N/A,#N/A,FALSE,"Other Income";#N/A,#N/A,FALSE,"Taxes";#N/A,#N/A,FALSE,"Other Deductions";#N/A,#N/A,FALSE,"Compensation of Officers"}</definedName>
    <definedName name="Fixed.Assets" hidden="1">{#N/A,#N/A,FALSE,"Income";#N/A,#N/A,FALSE,"Cost of Goods Sold";#N/A,#N/A,FALSE,"Other Costs";#N/A,#N/A,FALSE,"Other Income";#N/A,#N/A,FALSE,"Taxes";#N/A,#N/A,FALSE,"Other Deductions";#N/A,#N/A,FALSE,"Compensation of Officers"}</definedName>
    <definedName name="FIXED_1" localSheetId="10" hidden="1">{"Material",#N/A,TRUE,"Summary";"Mfg",#N/A,TRUE,"Summary";"mfgbymo",#N/A,TRUE,"By Month";"Mtlbymo",#N/A,TRUE,"By Month"}</definedName>
    <definedName name="FIXED_1" hidden="1">{"Material",#N/A,TRUE,"Summary";"Mfg",#N/A,TRUE,"Summary";"mfgbymo",#N/A,TRUE,"By Month";"Mtlbymo",#N/A,TRUE,"By Month"}</definedName>
    <definedName name="FIXED_1_1" localSheetId="10" hidden="1">{"Material",#N/A,TRUE,"Summary";"Mfg",#N/A,TRUE,"Summary";"mfgbymo",#N/A,TRUE,"By Month";"Mtlbymo",#N/A,TRUE,"By Month"}</definedName>
    <definedName name="FIXED_1_1" hidden="1">{"Material",#N/A,TRUE,"Summary";"Mfg",#N/A,TRUE,"Summary";"mfgbymo",#N/A,TRUE,"By Month";"Mtlbymo",#N/A,TRUE,"By Month"}</definedName>
    <definedName name="FIXED_2" localSheetId="10" hidden="1">{"Material",#N/A,TRUE,"Summary";"Mfg",#N/A,TRUE,"Summary";"mfgbymo",#N/A,TRUE,"By Month";"Mtlbymo",#N/A,TRUE,"By Month"}</definedName>
    <definedName name="FIXED_2" hidden="1">{"Material",#N/A,TRUE,"Summary";"Mfg",#N/A,TRUE,"Summary";"mfgbymo",#N/A,TRUE,"By Month";"Mtlbymo",#N/A,TRUE,"By Month"}</definedName>
    <definedName name="Fixed_assets">#REF!</definedName>
    <definedName name="Fixed_costs">#REF!</definedName>
    <definedName name="FixedPositions">#REF!</definedName>
    <definedName name="fj" hidden="1">#REF!</definedName>
    <definedName name="fjaefj" hidden="1">#N/A</definedName>
    <definedName name="FJEZK" localSheetId="10" hidden="1">{#N/A,#N/A,FALSE,"Pharm";#N/A,#N/A,FALSE,"WWCM"}</definedName>
    <definedName name="FJEZK" hidden="1">{#N/A,#N/A,FALSE,"Pharm";#N/A,#N/A,FALSE,"WWCM"}</definedName>
    <definedName name="FJKGLJG" localSheetId="10" hidden="1">{0,0,0,0;0,0,0,0;0,0,0,0;0,0,0,0;"",0,0,0}</definedName>
    <definedName name="FJKGLJG" hidden="1">{0,0,0,0;0,0,0,0;0,0,0,0;0,0,0,0;"",0,0,0}</definedName>
    <definedName name="fjlk" localSheetId="10"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 hidden="1">#REF!</definedName>
    <definedName name="flajdfljad" localSheetId="10" hidden="1">{"Income Statement",#N/A,FALSE,"Annual";"Balance Sheet",#N/A,FALSE,"Annual";"Cash Flow Statement",#N/A,FALSE,"Annual";"ROIC",#N/A,FALSE,"Annual"}</definedName>
    <definedName name="flajdfljad" hidden="1">{"Income Statement",#N/A,FALSE,"Annual";"Balance Sheet",#N/A,FALSE,"Annual";"Cash Flow Statement",#N/A,FALSE,"Annual";"ROIC",#N/A,FALSE,"Annual"}</definedName>
    <definedName name="FloatingLabels" localSheetId="10">#REF!</definedName>
    <definedName name="FloatingLabels">#REF!</definedName>
    <definedName name="FLOOR" localSheetId="10">#REF!</definedName>
    <definedName name="FLOOR">#REF!</definedName>
    <definedName name="FncDistList" localSheetId="10">#REF!</definedName>
    <definedName name="FncDistList">#REF!</definedName>
    <definedName name="FncList">#REF!</definedName>
    <definedName name="FncName">#REF!</definedName>
    <definedName name="FootnoteDefaults" localSheetId="10" hidden="1">{1;TRUE;5;"Times New Roman";FALSE;FALSE;TRUE;18;8;-4.5;-4;1;2;2;1;TRUE;5}</definedName>
    <definedName name="FootnoteDefaults" hidden="1">{1;TRUE;5;"Times New Roman";FALSE;FALSE;TRUE;18;8;-4.5;-4;1;2;2;1;TRUE;5}</definedName>
    <definedName name="fop" localSheetId="10"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p_1" localSheetId="10" hidden="1">{#N/A,#N/A,FALSE,"Title";#N/A,#N/A,FALSE,"Index";#N/A,#N/A,FALSE,"1";#N/A,#N/A,FALSE,"2";#N/A,#N/A,FALSE,"3";#N/A,#N/A,FALSE,"4";#N/A,#N/A,FALSE,"5";#N/A,#N/A,FALSE,"6";#N/A,#N/A,FALSE,"7";#N/A,#N/A,FALSE,"8"}</definedName>
    <definedName name="fop_1" hidden="1">{#N/A,#N/A,FALSE,"Title";#N/A,#N/A,FALSE,"Index";#N/A,#N/A,FALSE,"1";#N/A,#N/A,FALSE,"2";#N/A,#N/A,FALSE,"3";#N/A,#N/A,FALSE,"4";#N/A,#N/A,FALSE,"5";#N/A,#N/A,FALSE,"6";#N/A,#N/A,FALSE,"7";#N/A,#N/A,FALSE,"8"}</definedName>
    <definedName name="Forecast" localSheetId="10">#REF!</definedName>
    <definedName name="Forecast">#REF!</definedName>
    <definedName name="Forecast_2006" localSheetId="10" hidden="1">{"'Graphs'!$H$5"}</definedName>
    <definedName name="Forecast_2006">{"'Graphs'!$H$5"}</definedName>
    <definedName name="Foreign" localSheetId="10" hidden="1">{#N/A,#N/A,FALSE,"Income";#N/A,#N/A,FALSE,"Cost of Goods Sold";#N/A,#N/A,FALSE,"Other Costs";#N/A,#N/A,FALSE,"Other Income";#N/A,#N/A,FALSE,"Taxes";#N/A,#N/A,FALSE,"Other Deductions";#N/A,#N/A,FALSE,"Compensation of Officers"}</definedName>
    <definedName name="Foreign" hidden="1">{#N/A,#N/A,FALSE,"Income";#N/A,#N/A,FALSE,"Cost of Goods Sold";#N/A,#N/A,FALSE,"Other Costs";#N/A,#N/A,FALSE,"Other Income";#N/A,#N/A,FALSE,"Taxes";#N/A,#N/A,FALSE,"Other Deductions";#N/A,#N/A,FALSE,"Compensation of Officers"}</definedName>
    <definedName name="Foreign.Info" localSheetId="10"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ex1">#REF!</definedName>
    <definedName name="forgeti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at1" localSheetId="10">#REF!</definedName>
    <definedName name="format1">#REF!</definedName>
    <definedName name="Formatted" localSheetId="10" hidden="1">{"'Sheet1'!$A$1:$F$101"}</definedName>
    <definedName name="Formatted" hidden="1">{"'Sheet1'!$A$1:$F$101"}</definedName>
    <definedName name="four" hidden="1">#REF!,#REF!,#REF!,#REF!</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Pivot">#REF!</definedName>
    <definedName name="fr"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AMEsum">#REF!</definedName>
    <definedName name="Fred" localSheetId="10" hidden="1">{#N/A,#N/A,FALSE,"ALCO SK";#N/A,#N/A,FALSE,"ALCO RG";#N/A,#N/A,FALSE,"ALCO SK BC";#N/A,#N/A,FALSE,"ALCO RG BC";#N/A,#N/A,FALSE,"VALY SK";#N/A,#N/A,FALSE,"VALY RG"}</definedName>
    <definedName name="Fred" hidden="1">{#N/A,#N/A,FALSE,"ALCO SK";#N/A,#N/A,FALSE,"ALCO RG";#N/A,#N/A,FALSE,"ALCO SK BC";#N/A,#N/A,FALSE,"ALCO RG BC";#N/A,#N/A,FALSE,"VALY SK";#N/A,#N/A,FALSE,"VALY RG"}</definedName>
    <definedName name="freg" localSheetId="10" hidden="1">{"NOPCAPEVA",#N/A,FALSE,"Nopat";"FCFCSTAR",#N/A,FALSE,"FCFVAL";"EVAVL",#N/A,FALSE,"EVAVAL";"LEASE",#N/A,FALSE,"OpLease"}</definedName>
    <definedName name="freg" hidden="1">{"NOPCAPEVA",#N/A,FALSE,"Nopat";"FCFCSTAR",#N/A,FALSE,"FCFVAL";"EVAVL",#N/A,FALSE,"EVAVAL";"LEASE",#N/A,FALSE,"OpLease"}</definedName>
    <definedName name="Freight_COGS">#REF!</definedName>
    <definedName name="Fremont"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Fremont"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fresfg"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UD_CHECK_SIDE">TRUE</definedName>
    <definedName name="FREUD_EXCEL_AUTOFMT">TRUE</definedName>
    <definedName name="FREUD_EXCEL_COMABBR">"TSCO"</definedName>
    <definedName name="FREUD_EXCEL_COMPANY">"Tesco Stores"</definedName>
    <definedName name="FREUD_EXCEL_COUNTRY_ABBR">"uk"</definedName>
    <definedName name="FREUD_EXCEL_DATE">" "</definedName>
    <definedName name="FREUD_EXCEL_DISPHIDDEN">FALSE</definedName>
    <definedName name="FREUD_EXCEL_ENDDATE">"'"</definedName>
    <definedName name="FREUD_EXCEL_LINKEND">195</definedName>
    <definedName name="FREUD_EXCEL_PATTERN">"[TSCOF.XLS]FREUDSTD_PAT"</definedName>
    <definedName name="FREUD_EXCEL_SHEETID">" "</definedName>
    <definedName name="FREUD_EXCEL_SHEETTYPE">"FEF2"</definedName>
    <definedName name="FREUD_EXCEL_STARTDATE">"'"</definedName>
    <definedName name="FREUD_EXCEL_SWITCH1">1</definedName>
    <definedName name="FREUD_EXCEL_SWITCH2">1</definedName>
    <definedName name="FREUD_EXCEL_SWITCH3">1</definedName>
    <definedName name="FREUD_EXCEL_SWITCH4">TRUE</definedName>
    <definedName name="FREUD_EXCEL_SWITCH5">TRUE</definedName>
    <definedName name="FREUD_EXCEL_TEMPLATE">"[TSCOF.XLS]FREUDSTD_TPL"</definedName>
    <definedName name="FREUD_EXCEL_VERSION">2</definedName>
    <definedName name="FREUD_FEF_VERSION">1</definedName>
    <definedName name="FREUD_REPORT_AREAF">" "</definedName>
    <definedName name="FREUD_REPORT_AREAH">" "</definedName>
    <definedName name="FREUD_REPORT_LINES">1</definedName>
    <definedName name="FREUD_REPORT_REPEATF">0</definedName>
    <definedName name="FREUD_REPORT_REPEATH">0</definedName>
    <definedName name="FREUD_SUMMARY_COMP_ABBR">"TSCO"</definedName>
    <definedName name="FREUDLINK">1</definedName>
    <definedName name="FRF" localSheetId="10" hidden="1">{#N/A,#N/A,FALSE,"1";#N/A,#N/A,FALSE,"2";#N/A,#N/A,FALSE,"16 - 17";#N/A,#N/A,FALSE,"18 - 19";#N/A,#N/A,FALSE,"26";#N/A,#N/A,FALSE,"27";#N/A,#N/A,FALSE,"28"}</definedName>
    <definedName name="FRF" hidden="1">{#N/A,#N/A,FALSE,"1";#N/A,#N/A,FALSE,"2";#N/A,#N/A,FALSE,"16 - 17";#N/A,#N/A,FALSE,"18 - 19";#N/A,#N/A,FALSE,"26";#N/A,#N/A,FALSE,"27";#N/A,#N/A,FALSE,"28"}</definedName>
    <definedName name="FRFERFE" localSheetId="10" hidden="1">{#N/A,#N/A,FALSE,"Pharm";#N/A,#N/A,FALSE,"WWCM"}</definedName>
    <definedName name="FRFERFE" hidden="1">{#N/A,#N/A,FALSE,"Pharm";#N/A,#N/A,FALSE,"WWCM"}</definedName>
    <definedName name="frty" localSheetId="10" hidden="1">{"PRS",#N/A,FALSE,"CM"}</definedName>
    <definedName name="frty" hidden="1">{"PRS",#N/A,FALSE,"CM"}</definedName>
    <definedName name="frtyu8ofyk" localSheetId="10" hidden="1">{"Commish",#N/A,FALSE,"LAWTC"}</definedName>
    <definedName name="frtyu8ofyk" hidden="1">{"Commish",#N/A,FALSE,"LAWTC"}</definedName>
    <definedName name="FS" localSheetId="10" hidden="1">{#N/A,#N/A,FALSE,"mdr.XLS";"db",#N/A,FALSE,"mdr.XLS";#N/A,#N/A,FALSE,"Forside ";#N/A,#N/A,FALSE,"INVEST.XLS"}</definedName>
    <definedName name="FS" hidden="1">{#N/A,#N/A,FALSE,"mdr.XLS";"db",#N/A,FALSE,"mdr.XLS";#N/A,#N/A,FALSE,"Forside ";#N/A,#N/A,FALSE,"INVEST.XLS"}</definedName>
    <definedName name="fsa" localSheetId="10" hidden="1">{"AnnInc",#N/A,TRUE,"Inc";"QtrInc1",#N/A,TRUE,"Inc";"Balance",#N/A,TRUE,"Bal";"Cflow",#N/A,TRUE,"Cash"}</definedName>
    <definedName name="fsa" hidden="1">{"AnnInc",#N/A,TRUE,"Inc";"QtrInc1",#N/A,TRUE,"Inc";"Balance",#N/A,TRUE,"Bal";"Cflow",#N/A,TRUE,"Cash"}</definedName>
    <definedName name="fsdbdf" hidden="1">"c330"</definedName>
    <definedName name="fsdvnslc.asdfkusad" localSheetId="10" hidden="1">{"works expense",#N/A,FALSE,"WORKS EXPENSE"}</definedName>
    <definedName name="fsdvnslc.asdfkusad" hidden="1">{"works expense",#N/A,FALSE,"WORKS EXPENSE"}</definedName>
    <definedName name="fsfs" localSheetId="10" hidden="1">{#N/A,#N/A,FALSE,"Calc";#N/A,#N/A,FALSE,"Sensitivity";#N/A,#N/A,FALSE,"LT Earn.Dil.";#N/A,#N/A,FALSE,"Dil. AVP"}</definedName>
    <definedName name="fsfs" localSheetId="15" hidden="1">{#N/A,#N/A,FALSE,"Calc";#N/A,#N/A,FALSE,"Sensitivity";#N/A,#N/A,FALSE,"LT Earn.Dil.";#N/A,#N/A,FALSE,"Dil. AVP"}</definedName>
    <definedName name="fsfs" hidden="1">{#N/A,#N/A,FALSE,"Calc";#N/A,#N/A,FALSE,"Sensitivity";#N/A,#N/A,FALSE,"LT Earn.Dil.";#N/A,#N/A,FALSE,"Dil. AVP"}</definedName>
    <definedName name="FSFS2" localSheetId="10" hidden="1">{#N/A,#N/A,FALSE,"mdr.XLS";"db",#N/A,FALSE,"mdr.XLS";#N/A,#N/A,FALSE,"Forside ";#N/A,#N/A,FALSE,"INVEST.XLS"}</definedName>
    <definedName name="FSFS2" hidden="1">{#N/A,#N/A,FALSE,"mdr.XLS";"db",#N/A,FALSE,"mdr.XLS";#N/A,#N/A,FALSE,"Forside ";#N/A,#N/A,FALSE,"INVEST.XLS"}</definedName>
    <definedName name="FSFS7" localSheetId="10" hidden="1">{#N/A,#N/A,FALSE,"mdr.XLS";"db",#N/A,FALSE,"mdr.XLS";#N/A,#N/A,FALSE,"Forside ";#N/A,#N/A,FALSE,"INVEST.XLS"}</definedName>
    <definedName name="FSFS7" hidden="1">{#N/A,#N/A,FALSE,"mdr.XLS";"db",#N/A,FALSE,"mdr.XLS";#N/A,#N/A,FALSE,"Forside ";#N/A,#N/A,FALSE,"INVEST.XLS"}</definedName>
    <definedName name="fsgdr" localSheetId="10" hidden="1">{"FCB_ALL",#N/A,FALSE,"FCB"}</definedName>
    <definedName name="fsgdr" localSheetId="15" hidden="1">{"FCB_ALL",#N/A,FALSE,"FCB"}</definedName>
    <definedName name="fsgdr" hidden="1">{"FCB_ALL",#N/A,FALSE,"FCB"}</definedName>
    <definedName name="FSoPacific">#REF!</definedName>
    <definedName name="fsr" localSheetId="10" hidden="1">{"FCB_ALL",#N/A,FALSE,"FCB"}</definedName>
    <definedName name="fsr" localSheetId="15" hidden="1">{"FCB_ALL",#N/A,FALSE,"FCB"}</definedName>
    <definedName name="fsr" hidden="1">{"FCB_ALL",#N/A,FALSE,"FCB"}</definedName>
    <definedName name="fsssadfd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T">#REF!</definedName>
    <definedName name="fsv" localSheetId="10" hidden="1">{"FCB_ALL",#N/A,FALSE,"FCB";"GREY_ALL",#N/A,FALSE,"GREY"}</definedName>
    <definedName name="fsv" localSheetId="15" hidden="1">{"FCB_ALL",#N/A,FALSE,"FCB";"GREY_ALL",#N/A,FALSE,"GREY"}</definedName>
    <definedName name="fsv" hidden="1">{"FCB_ALL",#N/A,FALSE,"FCB";"GREY_ALL",#N/A,FALSE,"GREY"}</definedName>
    <definedName name="FSWRN.FRP" localSheetId="10"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FRP_1" localSheetId="10" hidden="1">{#N/A,#N/A,FALSE,"Title";#N/A,#N/A,FALSE,"Index";#N/A,#N/A,FALSE,"1";#N/A,#N/A,FALSE,"2";#N/A,#N/A,FALSE,"3";#N/A,#N/A,FALSE,"4";#N/A,#N/A,FALSE,"5";#N/A,#N/A,FALSE,"6";#N/A,#N/A,FALSE,"7";#N/A,#N/A,FALSE,"8"}</definedName>
    <definedName name="FSWRN.FRP_1" hidden="1">{#N/A,#N/A,FALSE,"Title";#N/A,#N/A,FALSE,"Index";#N/A,#N/A,FALSE,"1";#N/A,#N/A,FALSE,"2";#N/A,#N/A,FALSE,"3";#N/A,#N/A,FALSE,"4";#N/A,#N/A,FALSE,"5";#N/A,#N/A,FALSE,"6";#N/A,#N/A,FALSE,"7";#N/A,#N/A,FALSE,"8"}</definedName>
    <definedName name="fswrn.ird" localSheetId="10"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ird_1" localSheetId="10" hidden="1">{#N/A,#N/A,FALSE,"Title";#N/A,#N/A,FALSE,"Index";#N/A,#N/A,FALSE,"1";#N/A,#N/A,FALSE,"2";#N/A,#N/A,FALSE,"3";#N/A,#N/A,FALSE,"4";#N/A,#N/A,FALSE,"5";#N/A,#N/A,FALSE,"6";#N/A,#N/A,FALSE,"7";#N/A,#N/A,FALSE,"8"}</definedName>
    <definedName name="fswrn.ird_1" hidden="1">{#N/A,#N/A,FALSE,"Title";#N/A,#N/A,FALSE,"Index";#N/A,#N/A,FALSE,"1";#N/A,#N/A,FALSE,"2";#N/A,#N/A,FALSE,"3";#N/A,#N/A,FALSE,"4";#N/A,#N/A,FALSE,"5";#N/A,#N/A,FALSE,"6";#N/A,#N/A,FALSE,"7";#N/A,#N/A,FALSE,"8"}</definedName>
    <definedName name="FSWRN.QUARTFRP" localSheetId="10"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SWRN.QUARTFRP_1" localSheetId="10" hidden="1">{#N/A,#N/A,FALSE,"Title";#N/A,#N/A,FALSE,"Index";#N/A,#N/A,FALSE,"1";#N/A,#N/A,FALSE,"2";#N/A,#N/A,FALSE,"3";#N/A,#N/A,FALSE,"4";#N/A,#N/A,FALSE,"5";#N/A,#N/A,FALSE,"5A";#N/A,#N/A,FALSE,"6";#N/A,#N/A,FALSE,"7";#N/A,#N/A,FALSE,"8"}</definedName>
    <definedName name="FSWRN.QUARTFRP_1" hidden="1">{#N/A,#N/A,FALSE,"Title";#N/A,#N/A,FALSE,"Index";#N/A,#N/A,FALSE,"1";#N/A,#N/A,FALSE,"2";#N/A,#N/A,FALSE,"3";#N/A,#N/A,FALSE,"4";#N/A,#N/A,FALSE,"5";#N/A,#N/A,FALSE,"5A";#N/A,#N/A,FALSE,"6";#N/A,#N/A,FALSE,"7";#N/A,#N/A,FALSE,"8"}</definedName>
    <definedName name="FT_Position" localSheetId="10">#REF!</definedName>
    <definedName name="FT_Position">#REF!</definedName>
    <definedName name="FT_Status" localSheetId="10">#REF!</definedName>
    <definedName name="FT_Status">#REF!</definedName>
    <definedName name="FTable" localSheetId="10">#REF!</definedName>
    <definedName name="FTable">#REF!</definedName>
    <definedName name="FTableHeader">#REF!</definedName>
    <definedName name="ftebasic">#REF!</definedName>
    <definedName name="ftyf" localSheetId="10" hidden="1">{"FCB_ALL",#N/A,FALSE,"FCB";"GREY_ALL",#N/A,FALSE,"GREY"}</definedName>
    <definedName name="ftyf" localSheetId="15" hidden="1">{"FCB_ALL",#N/A,FALSE,"FCB";"GREY_ALL",#N/A,FALSE,"GREY"}</definedName>
    <definedName name="ftyf" hidden="1">{"FCB_ALL",#N/A,FALSE,"FCB";"GREY_ALL",#N/A,FALSE,"GREY"}</definedName>
    <definedName name="fu" localSheetId="10" hidden="1">{"12mois",#N/A,FALSE,"Income Statement";"12moopexp",#N/A,FALSE,"Operating Expenses";"12mobs",#N/A,FALSE,"Balance Sheet";"12mocashflow",#N/A,FALSE,"Statement of Cash Flows";"perfmeas",#N/A,FALSE,"Financial Perf Measures"}</definedName>
    <definedName name="fu" hidden="1">{"12mois",#N/A,FALSE,"Income Statement";"12moopexp",#N/A,FALSE,"Operating Expenses";"12mobs",#N/A,FALSE,"Balance Sheet";"12mocashflow",#N/A,FALSE,"Statement of Cash Flows";"perfmeas",#N/A,FALSE,"Financial Perf Measures"}</definedName>
    <definedName name="fuck" localSheetId="10" hidden="1">{"by departments",#N/A,TRUE,"FORECAST";"cap_headcount",#N/A,TRUE,"FORECAST";"summary",#N/A,TRUE,"FORECAST"}</definedName>
    <definedName name="fuck" localSheetId="15" hidden="1">{"by departments",#N/A,TRUE,"FORECAST";"cap_headcount",#N/A,TRUE,"FORECAST";"summary",#N/A,TRUE,"FORECAST"}</definedName>
    <definedName name="fuck" hidden="1">{"by departments",#N/A,TRUE,"FORECAST";"cap_headcount",#N/A,TRUE,"FORECAST";"summary",#N/A,TRUE,"FORECAST"}</definedName>
    <definedName name="fuckme" localSheetId="10" hidden="1">{"SUMMARY",#N/A,TRUE,"SUMMARY";"compare",#N/A,TRUE,"Vs. Bus Plan";"ratios",#N/A,TRUE,"Ratios";"REVENUE",#N/A,TRUE,"Revenue";"expenses",#N/A,TRUE,"1996 budget";"payroll",#N/A,TRUE,"Payroll"}</definedName>
    <definedName name="fuckme" localSheetId="15"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co_wrn.test1." localSheetId="10" hidden="1">{"Income Statement",#N/A,FALSE,"CFMODEL";"Balance Sheet",#N/A,FALSE,"CFMODEL"}</definedName>
    <definedName name="fuelco_wrn.test1." hidden="1">{"Income Statement",#N/A,FALSE,"CFMODEL";"Balance Sheet",#N/A,FALSE,"CFMODEL"}</definedName>
    <definedName name="fuelco_wrn.test2." localSheetId="10" hidden="1">{"SourcesUses",#N/A,TRUE,"CFMODEL";"TransOverview",#N/A,TRUE,"CFMODEL"}</definedName>
    <definedName name="fuelco_wrn.test2." hidden="1">{"SourcesUses",#N/A,TRUE,"CFMODEL";"TransOverview",#N/A,TRUE,"CFMODEL"}</definedName>
    <definedName name="fuelco_wrn.test3." localSheetId="10" hidden="1">{"SourcesUses",#N/A,TRUE,#N/A;"TransOverview",#N/A,TRUE,"CFMODEL"}</definedName>
    <definedName name="fuelco_wrn.test3." hidden="1">{"SourcesUses",#N/A,TRUE,#N/A;"TransOverview",#N/A,TRUE,"CFMODEL"}</definedName>
    <definedName name="fuelco_wrn.test4." localSheetId="10" hidden="1">{"SourcesUses",#N/A,TRUE,"FundsFlow";"TransOverview",#N/A,TRUE,"FundsFlow"}</definedName>
    <definedName name="fuelco_wrn.test4." hidden="1">{"SourcesUses",#N/A,TRUE,"FundsFlow";"TransOverview",#N/A,TRUE,"FundsFlow"}</definedName>
    <definedName name="Full_Print">#REF!</definedName>
    <definedName name="fun"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ctional_Area">#REF!</definedName>
    <definedName name="FundCode" hidden="1">#REF!</definedName>
    <definedName name="fundIV"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rnitures">#REF!</definedName>
    <definedName name="FVG" localSheetId="10" hidden="1">{#N/A,#N/A,FALSE,"Pharm";#N/A,#N/A,FALSE,"WWCM"}</definedName>
    <definedName name="FVG" hidden="1">{#N/A,#N/A,FALSE,"Pharm";#N/A,#N/A,FALSE,"WWCM"}</definedName>
    <definedName name="fwer" localSheetId="10" hidden="1">{#N/A,"PURCHM",FALSE,"Business Analysis";#N/A,"SPADD",FALSE,"Business Analysis"}</definedName>
    <definedName name="fwer" hidden="1">{#N/A,"PURCHM",FALSE,"Business Analysis";#N/A,"SPADD",FALSE,"Business Analysis"}</definedName>
    <definedName name="fx" localSheetId="10" hidden="1">{"TOTTEXAS",#N/A,FALSE,"CM"}</definedName>
    <definedName name="fx" hidden="1">{"TOTTEXAS",#N/A,FALSE,"CM"}</definedName>
    <definedName name="fxdghsfgh" localSheetId="10" hidden="1">{#N/A,#N/A,TRUE,"Monthly w|o Wireless";#N/A,#N/A,TRUE,"Qrt w|o Wireless";#N/A,#N/A,TRUE,"FY w|o Wireless";#N/A,#N/A,TRUE,"1Q w|o Wireless";#N/A,#N/A,TRUE,"2Q w|o Wireless";#N/A,#N/A,TRUE,"3Q w|o Wireless";#N/A,#N/A,TRUE,"4Q w|o Wireless"}</definedName>
    <definedName name="fxdghsfgh" hidden="1">{#N/A,#N/A,TRUE,"Monthly w|o Wireless";#N/A,#N/A,TRUE,"Qrt w|o Wireless";#N/A,#N/A,TRUE,"FY w|o Wireless";#N/A,#N/A,TRUE,"1Q w|o Wireless";#N/A,#N/A,TRUE,"2Q w|o Wireless";#N/A,#N/A,TRUE,"3Q w|o Wireless";#N/A,#N/A,TRUE,"4Q w|o Wireless"}</definedName>
    <definedName name="FY" localSheetId="10">#REF!</definedName>
    <definedName name="FY">#REF!</definedName>
    <definedName name="fyColHeading" localSheetId="10">#REF!</definedName>
    <definedName name="fyColHeading">#REF!</definedName>
    <definedName name="fyCoverDate">#REF!</definedName>
    <definedName name="fye">#REF!</definedName>
    <definedName name="g" localSheetId="10" hidden="1">{#N/A,#N/A,FALSE,"Pharm";#N/A,#N/A,FALSE,"WWCM"}</definedName>
    <definedName name="g" hidden="1">{#N/A,#N/A,FALSE,"Pharm";#N/A,#N/A,FALSE,"WWCM"}</definedName>
    <definedName name="G.IncomeStmt" localSheetId="10">#REF!</definedName>
    <definedName name="G.IncomeStmt">#REF!</definedName>
    <definedName name="g_1" localSheetId="10" hidden="1">{#N/A,#N/A,TRUE,"Input prnt";#N/A,#N/A,TRUE,"P&amp;L BusPl";"CF BusPlan",#N/A,TRUE,"FCashflow";"BS short",#N/A,TRUE,"BS Qu";#N/A,#N/A,TRUE,"BusPlan Info"}</definedName>
    <definedName name="g_1" hidden="1">{#N/A,#N/A,TRUE,"Input prnt";#N/A,#N/A,TRUE,"P&amp;L BusPl";"CF BusPlan",#N/A,TRUE,"FCashflow";"BS short",#N/A,TRUE,"BS Qu";#N/A,#N/A,TRUE,"BusPlan Info"}</definedName>
    <definedName name="g_2" localSheetId="10" hidden="1">{#N/A,#N/A,TRUE,"Input prnt";#N/A,#N/A,TRUE,"P&amp;L BusPl";"CF BusPlan",#N/A,TRUE,"FCashflow";"BS short",#N/A,TRUE,"BS Qu";#N/A,#N/A,TRUE,"BusPlan Info"}</definedName>
    <definedName name="g_2" hidden="1">{#N/A,#N/A,TRUE,"Input prnt";#N/A,#N/A,TRUE,"P&amp;L BusPl";"CF BusPlan",#N/A,TRUE,"FCashflow";"BS short",#N/A,TRUE,"BS Qu";#N/A,#N/A,TRUE,"BusPlan Info"}</definedName>
    <definedName name="g_3" localSheetId="10" hidden="1">{#N/A,#N/A,TRUE,"Input prnt";#N/A,#N/A,TRUE,"P&amp;L BusPl";"CF BusPlan",#N/A,TRUE,"FCashflow";"BS short",#N/A,TRUE,"BS Qu";#N/A,#N/A,TRUE,"BusPlan Info"}</definedName>
    <definedName name="g_3" hidden="1">{#N/A,#N/A,TRUE,"Input prnt";#N/A,#N/A,TRUE,"P&amp;L BusPl";"CF BusPlan",#N/A,TRUE,"FCashflow";"BS short",#N/A,TRUE,"BS Qu";#N/A,#N/A,TRUE,"BusPlan Info"}</definedName>
    <definedName name="g_4" localSheetId="10" hidden="1">{#N/A,#N/A,TRUE,"Input prnt";#N/A,#N/A,TRUE,"P&amp;L BusPl";"CF BusPlan",#N/A,TRUE,"FCashflow";"BS short",#N/A,TRUE,"BS Qu";#N/A,#N/A,TRUE,"BusPlan Info"}</definedName>
    <definedName name="g_4" hidden="1">{#N/A,#N/A,TRUE,"Input prnt";#N/A,#N/A,TRUE,"P&amp;L BusPl";"CF BusPlan",#N/A,TRUE,"FCashflow";"BS short",#N/A,TRUE,"BS Qu";#N/A,#N/A,TRUE,"BusPlan Info"}</definedName>
    <definedName name="g_5" localSheetId="10" hidden="1">{#N/A,#N/A,TRUE,"Input prnt";#N/A,#N/A,TRUE,"P&amp;L BusPl";"CF BusPlan",#N/A,TRUE,"FCashflow";"BS short",#N/A,TRUE,"BS Qu";#N/A,#N/A,TRUE,"BusPlan Info"}</definedName>
    <definedName name="g_5" hidden="1">{#N/A,#N/A,TRUE,"Input prnt";#N/A,#N/A,TRUE,"P&amp;L BusPl";"CF BusPlan",#N/A,TRUE,"FCashflow";"BS short",#N/A,TRUE,"BS Qu";#N/A,#N/A,TRUE,"BusPlan Info"}</definedName>
    <definedName name="G_A_Expense">#REF!</definedName>
    <definedName name="ga" localSheetId="10" hidden="1">{"NOPCAPEVA",#N/A,FALSE,"Nopat";"FCFCSTAR",#N/A,FALSE,"FCFVAL";"EVAVL",#N/A,FALSE,"EVAVAL";"LEASE",#N/A,FALSE,"OpLease"}</definedName>
    <definedName name="ga" hidden="1">{"NOPCAPEVA",#N/A,FALSE,"Nopat";"FCFCSTAR",#N/A,FALSE,"FCFVAL";"EVAVL",#N/A,FALSE,"EVAVAL";"LEASE",#N/A,FALSE,"OpLease"}</definedName>
    <definedName name="gaa" localSheetId="10" hidden="1">{"AnnInc",#N/A,TRUE,"Inc";"QtrInc1",#N/A,TRUE,"Inc";"Balance",#N/A,TRUE,"Bal";"Cflow",#N/A,TRUE,"Cash"}</definedName>
    <definedName name="gaa" hidden="1">{"AnnInc",#N/A,TRUE,"Inc";"QtrInc1",#N/A,TRUE,"Inc";"Balance",#N/A,TRUE,"Bal";"Cflow",#N/A,TRUE,"Cash"}</definedName>
    <definedName name="Gabriela" localSheetId="10" hidden="1">{#N/A,#N/A,FALSE,"Combined LongSheet"}</definedName>
    <definedName name="Gabriela" hidden="1">{#N/A,#N/A,FALSE,"Combined LongSheet"}</definedName>
    <definedName name="Gabriela1" localSheetId="10" hidden="1">{#N/A,#N/A,FALSE,"Combined LongSheet"}</definedName>
    <definedName name="Gabriela1" hidden="1">{#N/A,#N/A,FALSE,"Combined LongSheet"}</definedName>
    <definedName name="gadew" localSheetId="10" hidden="1">{"FCB_ALL",#N/A,FALSE,"FCB"}</definedName>
    <definedName name="gadew" localSheetId="15" hidden="1">{"FCB_ALL",#N/A,FALSE,"FCB"}</definedName>
    <definedName name="gadew" hidden="1">{"FCB_ALL",#N/A,FALSE,"FCB"}</definedName>
    <definedName name="gadfsh" localSheetId="10" hidden="1">{"FCB_ALL",#N/A,FALSE,"FCB"}</definedName>
    <definedName name="gadfsh" localSheetId="15" hidden="1">{"FCB_ALL",#N/A,FALSE,"FCB"}</definedName>
    <definedName name="gadfsh" hidden="1">{"FCB_ALL",#N/A,FALSE,"FCB"}</definedName>
    <definedName name="gads" localSheetId="10" hidden="1">{"FCB_ALL",#N/A,FALSE,"FCB"}</definedName>
    <definedName name="gads" localSheetId="15" hidden="1">{"FCB_ALL",#N/A,FALSE,"FCB"}</definedName>
    <definedName name="gads" hidden="1">{"FCB_ALL",#N/A,FALSE,"FCB"}</definedName>
    <definedName name="gadse" localSheetId="10" hidden="1">{"FCB_ALL",#N/A,FALSE,"FCB"}</definedName>
    <definedName name="gadse" localSheetId="15" hidden="1">{"FCB_ALL",#N/A,FALSE,"FCB"}</definedName>
    <definedName name="gadse" hidden="1">{"FCB_ALL",#N/A,FALSE,"FCB"}</definedName>
    <definedName name="gadsfa" hidden="1">#REF!</definedName>
    <definedName name="gagthg" hidden="1">#REF!</definedName>
    <definedName name="Garbage___Cleaning">#REF!</definedName>
    <definedName name="Gas">#REF!</definedName>
    <definedName name="gawea" localSheetId="10" hidden="1">{"FCB_ALL",#N/A,FALSE,"FCB"}</definedName>
    <definedName name="gawea" localSheetId="15" hidden="1">{"FCB_ALL",#N/A,FALSE,"FCB"}</definedName>
    <definedName name="gawea" hidden="1">{"FCB_ALL",#N/A,FALSE,"FCB"}</definedName>
    <definedName name="gawen" localSheetId="10" hidden="1">{"FCB_ALL",#N/A,FALSE,"FCB"}</definedName>
    <definedName name="gawen" localSheetId="15" hidden="1">{"FCB_ALL",#N/A,FALSE,"FCB"}</definedName>
    <definedName name="gawen" hidden="1">{"FCB_ALL",#N/A,FALSE,"FCB"}</definedName>
    <definedName name="gdag" localSheetId="10" hidden="1">{#N/A,#N/A,TRUE,"2432"}</definedName>
    <definedName name="gdag" hidden="1">{#N/A,#N/A,TRUE,"2432"}</definedName>
    <definedName name="GDF" localSheetId="10" hidden="1">{"detail",#N/A,FALSE,"mfg";"summary",#N/A,FALSE,"mfg"}</definedName>
    <definedName name="GDF" hidden="1">{"detail",#N/A,FALSE,"mfg";"summary",#N/A,FALSE,"mfg"}</definedName>
    <definedName name="gdfg" localSheetId="10"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10" hidden="1">{#N/A,#N/A,FALSE,"Pharm";#N/A,#N/A,FALSE,"WWCM"}</definedName>
    <definedName name="gdfgdf" hidden="1">{#N/A,#N/A,FALSE,"Pharm";#N/A,#N/A,FALSE,"WWCM"}</definedName>
    <definedName name="gdfs" localSheetId="10"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gd" localSheetId="10" hidden="1">{#N/A,#N/A,FALSE,"Calc";#N/A,#N/A,FALSE,"Sensitivity";#N/A,#N/A,FALSE,"LT Earn.Dil.";#N/A,#N/A,FALSE,"Dil. AVP"}</definedName>
    <definedName name="gdgd" localSheetId="15" hidden="1">{#N/A,#N/A,FALSE,"Calc";#N/A,#N/A,FALSE,"Sensitivity";#N/A,#N/A,FALSE,"LT Earn.Dil.";#N/A,#N/A,FALSE,"Dil. AVP"}</definedName>
    <definedName name="gdgd" hidden="1">{#N/A,#N/A,FALSE,"Calc";#N/A,#N/A,FALSE,"Sensitivity";#N/A,#N/A,FALSE,"LT Earn.Dil.";#N/A,#N/A,FALSE,"Dil. AVP"}</definedName>
    <definedName name="gdsdfs" localSheetId="10" hidden="1">{"SCM_Detail",#N/A,FALSE,"SCM";"SCM_Top",#N/A,FALSE,"SCM"}</definedName>
    <definedName name="gdsdfs" hidden="1">{"SCM_Detail",#N/A,FALSE,"SCM";"SCM_Top",#N/A,FALSE,"SCM"}</definedName>
    <definedName name="GDSSDF" localSheetId="10" hidden="1">{#N/A,#N/A,FALSE,"CDC";#N/A,#N/A,FALSE,"SYSTEMDEV";#N/A,#N/A,FALSE,"PRINT CHG";#N/A,#N/A,FALSE,"PRINT INV";#N/A,#N/A,FALSE,"EU ADMN";#N/A,#N/A,FALSE,"ADALLOC";#N/A,#N/A,FALSE,"SURPLUS"}</definedName>
    <definedName name="GDSSDF" hidden="1">{#N/A,#N/A,FALSE,"CDC";#N/A,#N/A,FALSE,"SYSTEMDEV";#N/A,#N/A,FALSE,"PRINT CHG";#N/A,#N/A,FALSE,"PRINT INV";#N/A,#N/A,FALSE,"EU ADMN";#N/A,#N/A,FALSE,"ADALLOC";#N/A,#N/A,FALSE,"SURPLUS"}</definedName>
    <definedName name="ge"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eaeadd" localSheetId="10" hidden="1">{"AnnInc",#N/A,TRUE,"Inc";"QtrInc1",#N/A,TRUE,"Inc";"Balance",#N/A,TRUE,"Bal";"Cflow",#N/A,TRUE,"Cash"}</definedName>
    <definedName name="geaeadd" hidden="1">{"AnnInc",#N/A,TRUE,"Inc";"QtrInc1",#N/A,TRUE,"Inc";"Balance",#N/A,TRUE,"Bal";"Cflow",#N/A,TRUE,"Cash"}</definedName>
    <definedName name="geda" localSheetId="10" hidden="1">{"AnnInc",#N/A,TRUE,"Inc";"QtrInc1",#N/A,TRUE,"Inc";"Balance",#N/A,TRUE,"Bal";"Cflow",#N/A,TRUE,"Cash"}</definedName>
    <definedName name="geda" hidden="1">{"AnnInc",#N/A,TRUE,"Inc";"QtrInc1",#N/A,TRUE,"Inc";"Balance",#N/A,TRUE,"Bal";"Cflow",#N/A,TRUE,"Cash"}</definedName>
    <definedName name="GeelCapexFcst" localSheetId="10" hidden="1">{#N/A,#N/A,FALSE,"SUMMARY";#N/A,#N/A,FALSE,"mcsh";#N/A,#N/A,FALSE,"vol&amp;rev";#N/A,#N/A,FALSE,"wkgcap";#N/A,#N/A,FALSE,"DEPR&amp;DT";#N/A,#N/A,FALSE,"ASSETS";#N/A,#N/A,FALSE,"NI&amp;OTH&amp;DIV";#N/A,#N/A,FALSE,"CASHFLOW";#N/A,#N/A,FALSE,"CAPEMPL";#N/A,#N/A,FALSE,"ROCE"}</definedName>
    <definedName name="GeelCapexFcst" localSheetId="15"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s" localSheetId="10"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N" localSheetId="10" hidden="1">#REF!</definedName>
    <definedName name="GEN" localSheetId="9" hidden="1">#REF!</definedName>
    <definedName name="GEN" localSheetId="8" hidden="1">#REF!</definedName>
    <definedName name="GEN" localSheetId="16" hidden="1">#REF!</definedName>
    <definedName name="GEN" hidden="1">#REF!</definedName>
    <definedName name="GenericAverageCopay" hidden="1">#REF!</definedName>
    <definedName name="GEORGIA_UROLOGY__P.A.">#REF!</definedName>
    <definedName name="gervferver" hidden="1">#REF!</definedName>
    <definedName name="gesaa" localSheetId="10" hidden="1">{"NOPCAPEVA",#N/A,FALSE,"Nopat";"FCFCSTAR",#N/A,FALSE,"FCFVAL";"EVAVL",#N/A,FALSE,"EVAVAL";"LEASE",#N/A,FALSE,"OpLease"}</definedName>
    <definedName name="gesaa" hidden="1">{"NOPCAPEVA",#N/A,FALSE,"Nopat";"FCFCSTAR",#N/A,FALSE,"FCFVAL";"EVAVL",#N/A,FALSE,"EVAVAL";"LEASE",#N/A,FALSE,"OpLease"}</definedName>
    <definedName name="gf" localSheetId="10" hidden="1">{"incomemth",#N/A,TRUE,"forecast00";"incomepercentmth",#N/A,TRUE,"forecast00";"balancemth",#N/A,TRUE,"forecast00";"cashmth",#N/A,TRUE,"forecast00";"covenantmth",#N/A,TRUE,"forecast00"}</definedName>
    <definedName name="gf" hidden="1">{"incomemth",#N/A,TRUE,"forecast00";"incomepercentmth",#N/A,TRUE,"forecast00";"balancemth",#N/A,TRUE,"forecast00";"cashmth",#N/A,TRUE,"forecast00";"covenantmth",#N/A,TRUE,"forecast00"}</definedName>
    <definedName name="gfadf" hidden="1">#REF!</definedName>
    <definedName name="gfae" localSheetId="10" hidden="1">{"NOPCAPEVA",#N/A,FALSE,"Nopat";"FCFCSTAR",#N/A,FALSE,"FCFVAL";"EVAVL",#N/A,FALSE,"EVAVAL";"LEASE",#N/A,FALSE,"OpLease"}</definedName>
    <definedName name="gfae" hidden="1">{"NOPCAPEVA",#N/A,FALSE,"Nopat";"FCFCSTAR",#N/A,FALSE,"FCFVAL";"EVAVL",#N/A,FALSE,"EVAVAL";"LEASE",#N/A,FALSE,"OpLease"}</definedName>
    <definedName name="gfafga" hidden="1">#REF!</definedName>
    <definedName name="gfasd" localSheetId="10" hidden="1">{"FCB_ALL",#N/A,FALSE,"FCB"}</definedName>
    <definedName name="gfasd" localSheetId="15" hidden="1">{"FCB_ALL",#N/A,FALSE,"FCB"}</definedName>
    <definedName name="gfasd" hidden="1">{"FCB_ALL",#N/A,FALSE,"FCB"}</definedName>
    <definedName name="gfd" localSheetId="10" hidden="1">{#N/A,"PURCHM",FALSE,"Business Analysis";#N/A,"SPADD",FALSE,"Business Analysis"}</definedName>
    <definedName name="gfd" hidden="1">{#N/A,"PURCHM",FALSE,"Business Analysis";#N/A,"SPADD",FALSE,"Business Analysis"}</definedName>
    <definedName name="gfda" hidden="1">#REF!</definedName>
    <definedName name="gfdgfd" hidden="1">#REF!</definedName>
    <definedName name="gfdjhjh" localSheetId="10" hidden="1">{#N/A,#N/A,FALSE,"Pharm";#N/A,#N/A,FALSE,"WWCM"}</definedName>
    <definedName name="gfdjhjh" hidden="1">{#N/A,#N/A,FALSE,"Pharm";#N/A,#N/A,FALSE,"WWCM"}</definedName>
    <definedName name="gfds" localSheetId="10" hidden="1">{"oct_res_comm",#N/A,FALSE,"VarToBud"}</definedName>
    <definedName name="gfds" hidden="1">{"oct_res_comm",#N/A,FALSE,"VarToBud"}</definedName>
    <definedName name="gfg" localSheetId="10" hidden="1">{#N/A,#N/A,TRUE,"2432"}</definedName>
    <definedName name="gfg" hidden="1">{#N/A,#N/A,TRUE,"2432"}</definedName>
    <definedName name="gfghdfgdf" localSheetId="10"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10"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10" hidden="1">{#N/A,#N/A,FALSE,"Umsatz 99";#N/A,#N/A,FALSE,"ER 99 "}</definedName>
    <definedName name="gfhfghgsdfghfg" hidden="1">{#N/A,#N/A,FALSE,"Umsatz 99";#N/A,#N/A,FALSE,"ER 99 "}</definedName>
    <definedName name="gfhgdh" hidden="1">#REF!</definedName>
    <definedName name="gfhgf" hidden="1">#REF!</definedName>
    <definedName name="gfhgfhfghfgh" hidden="1">#REF!</definedName>
    <definedName name="gfhh" localSheetId="10"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ie" localSheetId="10" hidden="1">{"bs",#N/A,FALSE,"SCF"}</definedName>
    <definedName name="gfie" hidden="1">{"bs",#N/A,FALSE,"SCF"}</definedName>
    <definedName name="gfjysj" hidden="1">#REF!</definedName>
    <definedName name="gfrr" localSheetId="10" hidden="1">{#N/A,#N/A,FALSE,"Umsatz 99";#N/A,#N/A,FALSE,"ER 99 "}</definedName>
    <definedName name="gfrr" hidden="1">{#N/A,#N/A,FALSE,"Umsatz 99";#N/A,#N/A,FALSE,"ER 99 "}</definedName>
    <definedName name="gfs" localSheetId="10" hidden="1">{"NOPCAPEVA",#N/A,FALSE,"Nopat";"FCFCSTAR",#N/A,FALSE,"FCFVAL";"EVAVL",#N/A,FALSE,"EVAVAL";"LEASE",#N/A,FALSE,"OpLease"}</definedName>
    <definedName name="gfs" hidden="1">{"NOPCAPEVA",#N/A,FALSE,"Nopat";"FCFCSTAR",#N/A,FALSE,"FCFVAL";"EVAVL",#N/A,FALSE,"EVAVAL";"LEASE",#N/A,FALSE,"OpLease"}</definedName>
    <definedName name="gfsd" localSheetId="10" hidden="1">{"consolidated",#N/A,FALSE,"Sheet1";"cms",#N/A,FALSE,"Sheet1";"fse",#N/A,FALSE,"Sheet1"}</definedName>
    <definedName name="gfsd" localSheetId="15" hidden="1">{"consolidated",#N/A,FALSE,"Sheet1";"cms",#N/A,FALSE,"Sheet1";"fse",#N/A,FALSE,"Sheet1"}</definedName>
    <definedName name="gfsd" hidden="1">{"consolidated",#N/A,FALSE,"Sheet1";"cms",#N/A,FALSE,"Sheet1";"fse",#N/A,FALSE,"Sheet1"}</definedName>
    <definedName name="gfsdn" localSheetId="10" hidden="1">{"FCB_ALL",#N/A,FALSE,"FCB";"GREY_ALL",#N/A,FALSE,"GREY"}</definedName>
    <definedName name="gfsdn" localSheetId="15" hidden="1">{"FCB_ALL",#N/A,FALSE,"FCB";"GREY_ALL",#N/A,FALSE,"GREY"}</definedName>
    <definedName name="gfsdn" hidden="1">{"FCB_ALL",#N/A,FALSE,"FCB";"GREY_ALL",#N/A,FALSE,"GREY"}</definedName>
    <definedName name="gfsfh" hidden="1">#REF!</definedName>
    <definedName name="gfshg" hidden="1">#REF!</definedName>
    <definedName name="GG" localSheetId="10" hidden="1">{#N/A,#N/A,FALSE,"PL-FS";#N/A,#N/A,FALSE,"PL"}</definedName>
    <definedName name="GG" localSheetId="15" hidden="1">{#N/A,#N/A,FALSE,"PL-FS";#N/A,#N/A,FALSE,"PL"}</definedName>
    <definedName name="GG" hidden="1">{#N/A,#N/A,FALSE,"PL-FS";#N/A,#N/A,FALSE,"PL"}</definedName>
    <definedName name="ggg" hidden="1">"c1023"</definedName>
    <definedName name="gggg" localSheetId="10" hidden="1">{#N/A,#N/A,FALSE,"Umsatz 99";#N/A,#N/A,FALSE,"ER 99 "}</definedName>
    <definedName name="gggg" hidden="1">{#N/A,#N/A,FALSE,"Umsatz 99";#N/A,#N/A,FALSE,"ER 99 "}</definedName>
    <definedName name="gggggg" localSheetId="10" hidden="1">{"W126ExpBurFut",#N/A,FALSE,"Wn-Burden"}</definedName>
    <definedName name="gggggg" hidden="1">{"W126ExpBurFut",#N/A,FALSE,"Wn-Burden"}</definedName>
    <definedName name="gh" localSheetId="10" hidden="1">{#N/A,#N/A,FALSE,"Sheet1";#N/A,#N/A,FALSE,"Summary";#N/A,#N/A,FALSE,"proj1";#N/A,#N/A,FALSE,"proj2"}</definedName>
    <definedName name="gh" hidden="1">{#N/A,#N/A,FALSE,"Sheet1";#N/A,#N/A,FALSE,"Summary";#N/A,#N/A,FALSE,"proj1";#N/A,#N/A,FALSE,"proj2"}</definedName>
    <definedName name="gha" localSheetId="10" hidden="1">{"NOPCAPEVA",#N/A,FALSE,"Nopat";"FCFCSTAR",#N/A,FALSE,"FCFVAL";"EVAVL",#N/A,FALSE,"EVAVAL";"LEASE",#N/A,FALSE,"OpLease"}</definedName>
    <definedName name="gha" hidden="1">{"NOPCAPEVA",#N/A,FALSE,"Nopat";"FCFCSTAR",#N/A,FALSE,"FCFVAL";"EVAVL",#N/A,FALSE,"EVAVAL";"LEASE",#N/A,FALSE,"OpLease"}</definedName>
    <definedName name="ghdh" hidden="1">#REF!</definedName>
    <definedName name="ghe" localSheetId="10" hidden="1">{"Headcount Worksheet",#N/A,FALSE,"HEADCOUNT"}</definedName>
    <definedName name="ghe" hidden="1">{"Headcount Worksheet",#N/A,FALSE,"HEADCOUNT"}</definedName>
    <definedName name="ghfgh" localSheetId="10"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h" localSheetId="10" hidden="1">{#N/A,#N/A,FALSE,"KA CH  (2)"}</definedName>
    <definedName name="ghh" hidden="1">{#N/A,#N/A,FALSE,"KA CH  (2)"}</definedName>
    <definedName name="ghhghd" localSheetId="10" hidden="1">{"mgmt forecast",#N/A,FALSE,"Mgmt Forecast";"dcf table",#N/A,FALSE,"Mgmt Forecast";"sensitivity",#N/A,FALSE,"Mgmt Forecast";"table inputs",#N/A,FALSE,"Mgmt Forecast";"calculations",#N/A,FALSE,"Mgmt Forecast"}</definedName>
    <definedName name="ghhghd" hidden="1">{"mgmt forecast",#N/A,FALSE,"Mgmt Forecast";"dcf table",#N/A,FALSE,"Mgmt Forecast";"sensitivity",#N/A,FALSE,"Mgmt Forecast";"table inputs",#N/A,FALSE,"Mgmt Forecast";"calculations",#N/A,FALSE,"Mgmt Forecast"}</definedName>
    <definedName name="ghhhg" localSheetId="10" hidden="1">{#N/A,#N/A,FALSE,"ORIX CSC"}</definedName>
    <definedName name="ghhhg" hidden="1">{#N/A,#N/A,FALSE,"ORIX CSC"}</definedName>
    <definedName name="ghj" localSheetId="10" hidden="1">{#N/A,#N/A,FALSE,"Umsatz CH";#N/A,#N/A,FALSE,"ER CH";#N/A,#N/A,FALSE,"EA CH (2) ";#N/A,#N/A,FALSE,"EA CH";#N/A,#N/A,FALSE,"EA CH (3) ";#N/A,#N/A,FALSE,"EA CH (4)";#N/A,#N/A,FALSE,"KA CH";#N/A,#N/A,FALSE,"KA CH  (2)";#N/A,#N/A,FALSE,"KA CH  (3)";#N/A,#N/A,FALSE,"KA CH (4)"}</definedName>
    <definedName name="ghj" hidden="1">{#N/A,#N/A,FALSE,"Umsatz CH";#N/A,#N/A,FALSE,"ER CH";#N/A,#N/A,FALSE,"EA CH (2) ";#N/A,#N/A,FALSE,"EA CH";#N/A,#N/A,FALSE,"EA CH (3) ";#N/A,#N/A,FALSE,"EA CH (4)";#N/A,#N/A,FALSE,"KA CH";#N/A,#N/A,FALSE,"KA CH  (2)";#N/A,#N/A,FALSE,"KA CH  (3)";#N/A,#N/A,FALSE,"KA CH (4)"}</definedName>
    <definedName name="ghj.ljj" localSheetId="10"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10"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fg" localSheetId="10" hidden="1">{#N/A,#N/A,TRUE,"ALLL";#N/A,#N/A,TRUE,"DEL";#N/A,#N/A,TRUE,"Reserve Analysis";#N/A,#N/A,TRUE,"C_OFF HISTORY";#N/A,#N/A,TRUE,"ALLL_QTR";#N/A,#N/A,TRUE,"HEA_M";#N/A,#N/A,TRUE,"BL_DET";#N/A,#N/A,TRUE,"3YRS+";#N/A,#N/A,TRUE,"CONSTR_DET"}</definedName>
    <definedName name="ghjfg" localSheetId="15"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gf" localSheetId="10" hidden="1">{"manpower",#N/A,FALSE,"MANPOWER_PAYROLL"}</definedName>
    <definedName name="ghjgf" hidden="1">{"manpower",#N/A,FALSE,"MANPOWER_PAYROLL"}</definedName>
    <definedName name="ghjggjh" localSheetId="10" hidden="1">{#N/A,#N/A,FALSE,"Pharm";#N/A,#N/A,FALSE,"WWCM"}</definedName>
    <definedName name="ghjggjh" hidden="1">{#N/A,#N/A,FALSE,"Pharm";#N/A,#N/A,FALSE,"WWCM"}</definedName>
    <definedName name="ghjhgj" localSheetId="10"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10" hidden="1">{#N/A,#N/A,FALSE,"KA CH  (2)"}</definedName>
    <definedName name="ghjhgjh" hidden="1">{#N/A,#N/A,FALSE,"KA CH  (2)"}</definedName>
    <definedName name="ghjhj" localSheetId="10"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Y" localSheetId="10" hidden="1">{#N/A,#N/A,FALSE,"WHITE-RODGERS SK";#N/A,#N/A,FALSE,"WHITE-RODGERS RG";#N/A,#N/A,FALSE,"WHITE-RODGERS SK BC";#N/A,#N/A,FALSE,"WHITE-RODGERS RG BC";#N/A,#N/A,FALSE,"GENERAL CONTROLS SK";#N/A,#N/A,FALSE,"GENERAL CONTROLS RG";#N/A,#N/A,FALSE,"PACTROL SK";#N/A,#N/A,FALSE,"PACTROL RG"}</definedName>
    <definedName name="GHJKY" hidden="1">{#N/A,#N/A,FALSE,"WHITE-RODGERS SK";#N/A,#N/A,FALSE,"WHITE-RODGERS RG";#N/A,#N/A,FALSE,"WHITE-RODGERS SK BC";#N/A,#N/A,FALSE,"WHITE-RODGERS RG BC";#N/A,#N/A,FALSE,"GENERAL CONTROLS SK";#N/A,#N/A,FALSE,"GENERAL CONTROLS RG";#N/A,#N/A,FALSE,"PACTROL SK";#N/A,#N/A,FALSE,"PACTROL RG"}</definedName>
    <definedName name="ghk" localSheetId="10"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m" hidden="1">#REF!</definedName>
    <definedName name="ghsdh" hidden="1">#REF!</definedName>
    <definedName name="GHSGHSH" hidden="1">#REF!</definedName>
    <definedName name="GHSHFHSH" hidden="1">#REF!</definedName>
    <definedName name="GHSHH" hidden="1">#REF!</definedName>
    <definedName name="GHSTRTH" hidden="1">#REF!</definedName>
    <definedName name="ghuifd" localSheetId="10" hidden="1">{#N/A,"PURCHM",FALSE,"Business Analysis";#N/A,"SPADD",FALSE,"Business Analysis"}</definedName>
    <definedName name="ghuifd" hidden="1">{#N/A,"PURCHM",FALSE,"Business Analysis";#N/A,"SPADD",FALSE,"Business Analysis"}</definedName>
    <definedName name="gilb.wrn.test2." localSheetId="10" hidden="1">{"SourcesUses",#N/A,TRUE,"CFMODEL";"TransOverview",#N/A,TRUE,"CFMODEL"}</definedName>
    <definedName name="gilb.wrn.test2." hidden="1">{"SourcesUses",#N/A,TRUE,"CFMODEL";"TransOverview",#N/A,TRUE,"CFMODEL"}</definedName>
    <definedName name="gilb.wrn.test3." localSheetId="10" hidden="1">{"SourcesUses",#N/A,TRUE,#N/A;"TransOverview",#N/A,TRUE,"CFMODEL"}</definedName>
    <definedName name="gilb.wrn.test3." hidden="1">{"SourcesUses",#N/A,TRUE,#N/A;"TransOverview",#N/A,TRUE,"CFMODEL"}</definedName>
    <definedName name="gilb.wrn.test4." localSheetId="10" hidden="1">{"SourcesUses",#N/A,TRUE,"FundsFlow";"TransOverview",#N/A,TRUE,"FundsFlow"}</definedName>
    <definedName name="gilb.wrn.test4." hidden="1">{"SourcesUses",#N/A,TRUE,"FundsFlow";"TransOverview",#N/A,TRUE,"FundsFlow"}</definedName>
    <definedName name="gilb_wrn.test1" localSheetId="10" hidden="1">{"Income Statement",#N/A,FALSE,"CFMODEL";"Balance Sheet",#N/A,FALSE,"CFMODEL"}</definedName>
    <definedName name="gilb_wrn.test1" hidden="1">{"Income Statement",#N/A,FALSE,"CFMODEL";"Balance Sheet",#N/A,FALSE,"CFMODEL"}</definedName>
    <definedName name="GIT" localSheetId="10" hidden="1">{#N/A,#N/A,FALSE,"Aging Summary";#N/A,#N/A,FALSE,"Ratio Analysis";#N/A,#N/A,FALSE,"Test 120 Day Accts";#N/A,#N/A,FALSE,"Tickmarks"}</definedName>
    <definedName name="GIT" hidden="1">{#N/A,#N/A,FALSE,"Aging Summary";#N/A,#N/A,FALSE,"Ratio Analysis";#N/A,#N/A,FALSE,"Test 120 Day Accts";#N/A,#N/A,FALSE,"Tickmarks"}</definedName>
    <definedName name="gjh" localSheetId="10" hidden="1">{#N/A,#N/A,FALSE,"Umsatz 99";#N/A,#N/A,FALSE,"ER 99 "}</definedName>
    <definedName name="gjh" hidden="1">{#N/A,#N/A,FALSE,"Umsatz 99";#N/A,#N/A,FALSE,"ER 99 "}</definedName>
    <definedName name="gjk" localSheetId="10"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k" localSheetId="10"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jjk" localSheetId="10"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10"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_001">"GL Transactions||PT-GL05-3-0||1;Param_Year;SelectedPeriod||ActiveSheet||1"</definedName>
    <definedName name="GLA" localSheetId="10">#REF!</definedName>
    <definedName name="GLA">#REF!</definedName>
    <definedName name="gla_1" localSheetId="10" hidden="1">{#N/A,#N/A,FALSE,"Inc Month";#N/A,#N/A,FALSE,"Inc YTD";#N/A,#N/A,FALSE,"Bal Sheet";#N/A,#N/A,FALSE,"Base Cert";#N/A,#N/A,FALSE,"AR-Detail";#N/A,#N/A,FALSE,"PAC Bal";#N/A,#N/A,FALSE,"PAC Cash";#N/A,#N/A,FALSE,"Equity";#N/A,#N/A,FALSE,"PEI Bal";#N/A,#N/A,FALSE,"PEI Cash"}</definedName>
    <definedName name="gla_1" hidden="1">{#N/A,#N/A,FALSE,"Inc Month";#N/A,#N/A,FALSE,"Inc YTD";#N/A,#N/A,FALSE,"Bal Sheet";#N/A,#N/A,FALSE,"Base Cert";#N/A,#N/A,FALSE,"AR-Detail";#N/A,#N/A,FALSE,"PAC Bal";#N/A,#N/A,FALSE,"PAC Cash";#N/A,#N/A,FALSE,"Equity";#N/A,#N/A,FALSE,"PEI Bal";#N/A,#N/A,FALSE,"PEI Cash"}</definedName>
    <definedName name="GLCATCODET">#REF!</definedName>
    <definedName name="GLCATDESCT">#REF!</definedName>
    <definedName name="GLCD">OFFSET(#REF!,0,0,COUNTA(#REF!),1)</definedName>
    <definedName name="GlideChartMarker" hidden="1">"Chart!A1"</definedName>
    <definedName name="GlideDataMarker" hidden="1">"Data!A1"</definedName>
    <definedName name="GlideHiddenMarker" hidden="1">"Costcurvedata!A1"</definedName>
    <definedName name="GlideMaxCharts" hidden="1">7</definedName>
    <definedName name="Global1" localSheetId="10" hidden="1">{#N/A,#N/A,FALSE,"Pharm";#N/A,#N/A,FALSE,"WWCM"}</definedName>
    <definedName name="Global1" hidden="1">{#N/A,#N/A,FALSE,"Pharm";#N/A,#N/A,FALSE,"WWCM"}</definedName>
    <definedName name="go" localSheetId="10" hidden="1">{"TOTAL",#N/A,FALSE,"A";"FISCAL94",#N/A,FALSE,"A";"FISCAL95",#N/A,FALSE,"A";"FISCAL96",#N/A,FALSE,"A";"misc page",#N/A,FALSE,"A"}</definedName>
    <definedName name="go" localSheetId="15" hidden="1">{"TOTAL",#N/A,FALSE,"A";"FISCAL94",#N/A,FALSE,"A";"FISCAL95",#N/A,FALSE,"A";"FISCAL96",#N/A,FALSE,"A";"misc page",#N/A,FALSE,"A"}</definedName>
    <definedName name="go" hidden="1">{"TOTAL",#N/A,FALSE,"A";"FISCAL94",#N/A,FALSE,"A";"FISCAL95",#N/A,FALSE,"A";"FISCAL96",#N/A,FALSE,"A";"misc page",#N/A,FALSE,"A"}</definedName>
    <definedName name="gods" localSheetId="10" hidden="1">{"consolidated",#N/A,FALSE,"Sheet1";"cms",#N/A,FALSE,"Sheet1";"fse",#N/A,FALSE,"Sheet1"}</definedName>
    <definedName name="gods" localSheetId="15" hidden="1">{"consolidated",#N/A,FALSE,"Sheet1";"cms",#N/A,FALSE,"Sheet1";"fse",#N/A,FALSE,"Sheet1"}</definedName>
    <definedName name="gods" hidden="1">{"consolidated",#N/A,FALSE,"Sheet1";"cms",#N/A,FALSE,"Sheet1";"fse",#N/A,FALSE,"Sheet1"}</definedName>
    <definedName name="gold">#REF!</definedName>
    <definedName name="gooch" localSheetId="10"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ch_1" localSheetId="10" hidden="1">{#N/A,#N/A,FALSE,"Projections";#N/A,#N/A,FALSE,"Multiples Valuation";#N/A,#N/A,FALSE,"LBO";#N/A,#N/A,FALSE,"Multiples_Sensitivity";#N/A,#N/A,FALSE,"Summary"}</definedName>
    <definedName name="gooch_1" hidden="1">{#N/A,#N/A,FALSE,"Projections";#N/A,#N/A,FALSE,"Multiples Valuation";#N/A,#N/A,FALSE,"LBO";#N/A,#N/A,FALSE,"Multiples_Sensitivity";#N/A,#N/A,FALSE,"Summary"}</definedName>
    <definedName name="gotfff"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 localSheetId="10" hidden="1">{#N/A,#N/A,FALSE,"PRO FORMA FINANCIALS"}</definedName>
    <definedName name="goto" hidden="1">{#N/A,#N/A,FALSE,"PRO FORMA FINANCIALS"}</definedName>
    <definedName name="gr" localSheetId="10" hidden="1">{"Headcount Worksheet",#N/A,FALSE,"HEADCOUNT"}</definedName>
    <definedName name="gr" hidden="1">{"Headcount Worksheet",#N/A,FALSE,"HEADCOUNT"}</definedName>
    <definedName name="graham" localSheetId="10" hidden="1">{"ICD Details",#N/A,FALSE,"Current Yr";"ICD Details",#N/A,FALSE,"Budget";"ICD Details",#N/A,FALSE,"Prior Year"}</definedName>
    <definedName name="graham" hidden="1">{"ICD Details",#N/A,FALSE,"Current Yr";"ICD Details",#N/A,FALSE,"Budget";"ICD Details",#N/A,FALSE,"Prior Year"}</definedName>
    <definedName name="graph" localSheetId="10" hidden="1">{#N/A,#N/A,FALSE,"REPORT"}</definedName>
    <definedName name="graph" hidden="1">{#N/A,#N/A,FALSE,"REPORT"}</definedName>
    <definedName name="graphchart1" hidden="1">#REF!</definedName>
    <definedName name="graphchart10" hidden="1">#REF!</definedName>
    <definedName name="GraphData">#REF!,#REF!,#REF!</definedName>
    <definedName name="GraphData1">#REF!,#REF!,#REF!</definedName>
    <definedName name="Graphic_Sales__Net">#REF!</definedName>
    <definedName name="graphs" hidden="1">"22/01/2007 13:15:48"</definedName>
    <definedName name="gra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d" localSheetId="10" hidden="1">{"AnnInc",#N/A,TRUE,"Inc";"QtrInc1",#N/A,TRUE,"Inc";"Balance",#N/A,TRUE,"Bal";"Cflow",#N/A,TRUE,"Cash"}</definedName>
    <definedName name="grd" hidden="1">{"AnnInc",#N/A,TRUE,"Inc";"QtrInc1",#N/A,TRUE,"Inc";"Balance",#N/A,TRUE,"Bal";"Cflow",#N/A,TRUE,"Cash"}</definedName>
    <definedName name="greaedfd" localSheetId="10" hidden="1">{"AnnInc",#N/A,TRUE,"Inc";"QtrInc1",#N/A,TRUE,"Inc";"Balance",#N/A,TRUE,"Bal";"Cflow",#N/A,TRUE,"Cash"}</definedName>
    <definedName name="greaedfd" hidden="1">{"AnnInc",#N/A,TRUE,"Inc";"QtrInc1",#N/A,TRUE,"Inc";"Balance",#N/A,TRUE,"Bal";"Cflow",#N/A,TRUE,"Cash"}</definedName>
    <definedName name="Grf" localSheetId="10" hidden="1">{#N/A,#N/A,FALSE,"COP CONS SK";#N/A,#N/A,FALSE,"COP CONS RG";#N/A,#N/A,FALSE,"COP CONS SK BC";#N/A,#N/A,FALSE,"COP CONS RG BC";#N/A,#N/A,FALSE,"ALLIANCE SK";#N/A,#N/A,FALSE,"ALLIANCE RG";#N/A,#N/A,FALSE,"CPC SK";#N/A,#N/A,FALSE,"CPC RG"}</definedName>
    <definedName name="Grf" hidden="1">{#N/A,#N/A,FALSE,"COP CONS SK";#N/A,#N/A,FALSE,"COP CONS RG";#N/A,#N/A,FALSE,"COP CONS SK BC";#N/A,#N/A,FALSE,"COP CONS RG BC";#N/A,#N/A,FALSE,"ALLIANCE SK";#N/A,#N/A,FALSE,"ALLIANCE RG";#N/A,#N/A,FALSE,"CPC SK";#N/A,#N/A,FALSE,"CPC RG"}</definedName>
    <definedName name="grghfgfg" localSheetId="10"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oss_margin">#REF!</definedName>
    <definedName name="Gross_Profit">#REF!</definedName>
    <definedName name="Group" localSheetId="10">#REF!</definedName>
    <definedName name="Group">#REF!</definedName>
    <definedName name="Grouping" localSheetId="10">OFFSET(#REF!,0,0,COUNTA(#REF!),COUNTA(#REF!))</definedName>
    <definedName name="Grouping">OFFSET(#REF!,0,0,COUNTA(#REF!),COUNTA(#REF!))</definedName>
    <definedName name="Growth_2016">#REF!</definedName>
    <definedName name="gscbvc" localSheetId="10" hidden="1">{"works expense",#N/A,FALSE,"WORKS EXPENSE"}</definedName>
    <definedName name="gscbvc" hidden="1">{"works expense",#N/A,FALSE,"WORKS EXPENSE"}</definedName>
    <definedName name="gsd"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dfgdf" hidden="1">#REF!</definedName>
    <definedName name="gsdrrr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rr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dr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FGSFG" hidden="1">#REF!</definedName>
    <definedName name="gsgrs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grs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SI.000.001" hidden="1">"64D6144FBFF2C1A67C9BBDDFE88F95D727767282A2869AEFE997DD7C8EF3F6B517E82A1B14AF4F1C4183804AB0654DF3934FC264E0D1BEBB631FCBA2B779E84BF6B9DA4CD17207DB181CEE3BCE87D279"</definedName>
    <definedName name="gsresee" localSheetId="10" hidden="1">{"Vol Qtr 1",#N/A,TRUE,"Wk-CV";"Vol Qtr 2",#N/A,TRUE,"Wk-CV";"Vol Qtr 3",#N/A,TRUE,"Wk-CV";"Vol Qtr 4",#N/A,TRUE,"Wk-CV"}</definedName>
    <definedName name="gsresee" hidden="1">{"Vol Qtr 1",#N/A,TRUE,"Wk-CV";"Vol Qtr 2",#N/A,TRUE,"Wk-CV";"Vol Qtr 3",#N/A,TRUE,"Wk-CV";"Vol Qtr 4",#N/A,TRUE,"Wk-CV"}</definedName>
    <definedName name="gsrg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srgr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gt" localSheetId="10" hidden="1">{#N/A,#N/A,FALSE,"COVER";#N/A,#N/A,FALSE,"Index";#N/A,#N/A,FALSE,"Non-Earning";#N/A,#N/A,FALSE,"Commercial";#N/A,#N/A,FALSE,"Detailed"}</definedName>
    <definedName name="gt" localSheetId="15" hidden="1">{#N/A,#N/A,FALSE,"COVER";#N/A,#N/A,FALSE,"Index";#N/A,#N/A,FALSE,"Non-Earning";#N/A,#N/A,FALSE,"Commercial";#N/A,#N/A,FALSE,"Detailed"}</definedName>
    <definedName name="gt" hidden="1">{#N/A,#N/A,FALSE,"COVER";#N/A,#N/A,FALSE,"Index";#N/A,#N/A,FALSE,"Non-Earning";#N/A,#N/A,FALSE,"Commercial";#N/A,#N/A,FALSE,"Detailed"}</definedName>
    <definedName name="gtr" localSheetId="10"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y" localSheetId="10" hidden="1">{"QTD_PACKAGE",#N/A,FALSE,"QTD"}</definedName>
    <definedName name="gty" hidden="1">{"QTD_PACKAGE",#N/A,FALSE,"QTD"}</definedName>
    <definedName name="Guideline" hidden="1">#REF!</definedName>
    <definedName name="gv"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Key">"024216-01"</definedName>
    <definedName name="gye" localSheetId="10" hidden="1">{"AnnInc",#N/A,TRUE,"Inc";"QtrInc1",#N/A,TRUE,"Inc";"Balance",#N/A,TRUE,"Bal";"Cflow",#N/A,TRUE,"Cash"}</definedName>
    <definedName name="gye" hidden="1">{"AnnInc",#N/A,TRUE,"Inc";"QtrInc1",#N/A,TRUE,"Inc";"Balance",#N/A,TRUE,"Bal";"Cflow",#N/A,TRUE,"Cash"}</definedName>
    <definedName name="gyuy" localSheetId="10">#REF!</definedName>
    <definedName name="gyuy">#REF!</definedName>
    <definedName name="h" localSheetId="10" hidden="1">#REF!</definedName>
    <definedName name="h" localSheetId="9" hidden="1">#REF!</definedName>
    <definedName name="h" localSheetId="8" hidden="1">#REF!</definedName>
    <definedName name="h" localSheetId="16" hidden="1">#REF!</definedName>
    <definedName name="h" hidden="1">#REF!</definedName>
    <definedName name="h.ll" localSheetId="10"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_1" localSheetId="10" hidden="1">{#N/A,#N/A,FALSE,"Income Statement"}</definedName>
    <definedName name="h_1" hidden="1">{#N/A,#N/A,FALSE,"Income Statement"}</definedName>
    <definedName name="h_2" localSheetId="10" hidden="1">{#N/A,#N/A,FALSE,"Income Statement"}</definedName>
    <definedName name="h_2" hidden="1">{#N/A,#N/A,FALSE,"Income Statement"}</definedName>
    <definedName name="h_3" localSheetId="10" hidden="1">{#N/A,#N/A,FALSE,"Income Statement"}</definedName>
    <definedName name="h_3" hidden="1">{#N/A,#N/A,FALSE,"Income Statement"}</definedName>
    <definedName name="h_4" localSheetId="10" hidden="1">{#N/A,#N/A,FALSE,"Income Statement"}</definedName>
    <definedName name="h_4" hidden="1">{#N/A,#N/A,FALSE,"Income Statement"}</definedName>
    <definedName name="h_5" localSheetId="10" hidden="1">{#N/A,#N/A,FALSE,"Income Statement"}</definedName>
    <definedName name="h_5" hidden="1">{#N/A,#N/A,FALSE,"Income Statement"}</definedName>
    <definedName name="ha" localSheetId="10">#REF!</definedName>
    <definedName name="ha">#REF!</definedName>
    <definedName name="hallo" localSheetId="10" hidden="1">{#N/A,#N/A,FALSE,"mdr.XLS";"db",#N/A,FALSE,"mdr.XLS";#N/A,#N/A,FALSE,"Forside ";#N/A,#N/A,FALSE,"INVEST.XLS"}</definedName>
    <definedName name="hallo" hidden="1">{#N/A,#N/A,FALSE,"mdr.XLS";"db",#N/A,FALSE,"mdr.XLS";#N/A,#N/A,FALSE,"Forside ";#N/A,#N/A,FALSE,"INVEST.XLS"}</definedName>
    <definedName name="HALLO." localSheetId="10" hidden="1">{#N/A,#N/A,FALSE,"mdr.XLS";"db",#N/A,FALSE,"mdr.XLS";#N/A,#N/A,FALSE,"Forside ";#N/A,#N/A,FALSE,"INVEST.XLS"}</definedName>
    <definedName name="HALLO." hidden="1">{#N/A,#N/A,FALSE,"mdr.XLS";"db",#N/A,FALSE,"mdr.XLS";#N/A,#N/A,FALSE,"Forside ";#N/A,#N/A,FALSE,"INVEST.XLS"}</definedName>
    <definedName name="HALLO2" localSheetId="10" hidden="1">{#N/A,#N/A,FALSE,"mdr.XLS";"db",#N/A,FALSE,"mdr.XLS";#N/A,#N/A,FALSE,"Forside ";#N/A,#N/A,FALSE,"INVEST.XLS"}</definedName>
    <definedName name="HALLO2" hidden="1">{#N/A,#N/A,FALSE,"mdr.XLS";"db",#N/A,FALSE,"mdr.XLS";#N/A,#N/A,FALSE,"Forside ";#N/A,#N/A,FALSE,"INVEST.XLS"}</definedName>
    <definedName name="HALLO3" localSheetId="10" hidden="1">{#N/A,#N/A,FALSE,"mdr.XLS";"db",#N/A,FALSE,"mdr.XLS";#N/A,#N/A,FALSE,"Forside ";#N/A,#N/A,FALSE,"INVEST.XLS"}</definedName>
    <definedName name="HALLO3" hidden="1">{#N/A,#N/A,FALSE,"mdr.XLS";"db",#N/A,FALSE,"mdr.XLS";#N/A,#N/A,FALSE,"Forside ";#N/A,#N/A,FALSE,"INVEST.XLS"}</definedName>
    <definedName name="HALLO4" localSheetId="10" hidden="1">{#N/A,#N/A,FALSE,"mdr.XLS";"db",#N/A,FALSE,"mdr.XLS";#N/A,#N/A,FALSE,"Forside ";#N/A,#N/A,FALSE,"INVEST.XLS"}</definedName>
    <definedName name="HALLO4" hidden="1">{#N/A,#N/A,FALSE,"mdr.XLS";"db",#N/A,FALSE,"mdr.XLS";#N/A,#N/A,FALSE,"Forside ";#N/A,#N/A,FALSE,"INVEST.XLS"}</definedName>
    <definedName name="HALLO45" localSheetId="10" hidden="1">{#N/A,#N/A,FALSE,"mdr.XLS";"db",#N/A,FALSE,"mdr.XLS";#N/A,#N/A,FALSE,"Forside ";#N/A,#N/A,FALSE,"INVEST.XLS"}</definedName>
    <definedName name="HALLO45" hidden="1">{#N/A,#N/A,FALSE,"mdr.XLS";"db",#N/A,FALSE,"mdr.XLS";#N/A,#N/A,FALSE,"Forside ";#N/A,#N/A,FALSE,"INVEST.XLS"}</definedName>
    <definedName name="HALLO5" localSheetId="10" hidden="1">{#N/A,#N/A,FALSE,"mdr.XLS";"db",#N/A,FALSE,"mdr.XLS";#N/A,#N/A,FALSE,"Forside ";#N/A,#N/A,FALSE,"INVEST.XLS"}</definedName>
    <definedName name="HALLO5" hidden="1">{#N/A,#N/A,FALSE,"mdr.XLS";"db",#N/A,FALSE,"mdr.XLS";#N/A,#N/A,FALSE,"Forside ";#N/A,#N/A,FALSE,"INVEST.XLS"}</definedName>
    <definedName name="HALLO55" localSheetId="10" hidden="1">{#N/A,#N/A,FALSE,"mdr.XLS";"db",#N/A,FALSE,"mdr.XLS";#N/A,#N/A,FALSE,"Forside ";#N/A,#N/A,FALSE,"INVEST.XLS"}</definedName>
    <definedName name="HALLO55" hidden="1">{#N/A,#N/A,FALSE,"mdr.XLS";"db",#N/A,FALSE,"mdr.XLS";#N/A,#N/A,FALSE,"Forside ";#N/A,#N/A,FALSE,"INVEST.XLS"}</definedName>
    <definedName name="hallohallo" localSheetId="10" hidden="1">{#N/A,#N/A,FALSE,"mdr.XLS";"db",#N/A,FALSE,"mdr.XLS";#N/A,#N/A,FALSE,"Forside ";#N/A,#N/A,FALSE,"INVEST.XLS"}</definedName>
    <definedName name="hallohallo" hidden="1">{#N/A,#N/A,FALSE,"mdr.XLS";"db",#N/A,FALSE,"mdr.XLS";#N/A,#N/A,FALSE,"Forside ";#N/A,#N/A,FALSE,"INVEST.XLS"}</definedName>
    <definedName name="ham" localSheetId="10" hidden="1">{#N/A,#N/A,FALSE,"TEL Monthly Inc";#N/A,#N/A,FALSE,"TEL REVENUE";#N/A,#N/A,FALSE,"Tel - Manpower";#N/A,#N/A,FALSE,"Tel Sales Support";#N/A,#N/A,FALSE,"SI - TELCO";#N/A,#N/A,FALSE,"Sales - Telco";#N/A,#N/A,FALSE,"Tel - Mktg";#N/A,#N/A,FALSE,"Tel - Mktg"}</definedName>
    <definedName name="ham" hidden="1">{#N/A,#N/A,FALSE,"TEL Monthly Inc";#N/A,#N/A,FALSE,"TEL REVENUE";#N/A,#N/A,FALSE,"Tel - Manpower";#N/A,#N/A,FALSE,"Tel Sales Support";#N/A,#N/A,FALSE,"SI - TELCO";#N/A,#N/A,FALSE,"Sales - Telco";#N/A,#N/A,FALSE,"Tel - Mktg";#N/A,#N/A,FALSE,"Tel - Mktg"}</definedName>
    <definedName name="hamm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hamme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hank"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ank"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aopy" localSheetId="10" hidden="1">{"Headcount Worksheet",#N/A,FALSE,"HEADCOUNT"}</definedName>
    <definedName name="haopy" hidden="1">{"Headcount Worksheet",#N/A,FALSE,"HEADCOUNT"}</definedName>
    <definedName name="happy" localSheetId="10" hidden="1">{"Page1",#N/A,FALSE,"CompCo";"Page2",#N/A,FALSE,"CompCo"}</definedName>
    <definedName name="happy" localSheetId="15" hidden="1">{"Page1",#N/A,FALSE,"CompCo";"Page2",#N/A,FALSE,"CompCo"}</definedName>
    <definedName name="happy" hidden="1">{"Page1",#N/A,FALSE,"CompCo";"Page2",#N/A,FALSE,"CompCo"}</definedName>
    <definedName name="haydee" localSheetId="10" hidden="1">{#N/A,#N/A,TRUE,"2432"}</definedName>
    <definedName name="haydee" hidden="1">{#N/A,#N/A,TRUE,"2432"}</definedName>
    <definedName name="hb"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kg" localSheetId="10" hidden="1">{#N/A,#N/A,FALSE,"COVER";#N/A,#N/A,FALSE,"Index";#N/A,#N/A,FALSE,"Non-Earning";#N/A,#N/A,FALSE,"Non-Earning-Recovery";#N/A,#N/A,FALSE,"Leasing_Equipo";#N/A,#N/A,FALSE,"Leasing_Auto";#N/A,#N/A,FALSE,"Leasing_Legal"}</definedName>
    <definedName name="hbkg" localSheetId="15"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BPrintArea">#REF!</definedName>
    <definedName name="HCase" localSheetId="10">#REF!</definedName>
    <definedName name="HCase">#REF!</definedName>
    <definedName name="hdee" localSheetId="10" hidden="1">{"AnnInc",#N/A,TRUE,"Inc";"QtrInc1",#N/A,TRUE,"Inc";"Balance",#N/A,TRUE,"Bal";"Cflow",#N/A,TRUE,"Cash"}</definedName>
    <definedName name="hdee" hidden="1">{"AnnInc",#N/A,TRUE,"Inc";"QtrInc1",#N/A,TRUE,"Inc";"Balance",#N/A,TRUE,"Bal";"Cflow",#N/A,TRUE,"Cash"}</definedName>
    <definedName name="hea" localSheetId="10" hidden="1">{"NOPCAPEVA",#N/A,FALSE,"Nopat";"FCFCSTAR",#N/A,FALSE,"FCFVAL";"EVAVL",#N/A,FALSE,"EVAVAL";"LEASE",#N/A,FALSE,"OpLease"}</definedName>
    <definedName name="hea" hidden="1">{"NOPCAPEVA",#N/A,FALSE,"Nopat";"FCFCSTAR",#N/A,FALSE,"FCFVAL";"EVAVL",#N/A,FALSE,"EVAVAL";"LEASE",#N/A,FALSE,"OpLease"}</definedName>
    <definedName name="head" localSheetId="10" hidden="1">{"Data Worksheet",#N/A,FALSE,"CAREY97"}</definedName>
    <definedName name="head" hidden="1">{"Data Worksheet",#N/A,FALSE,"CAREY97"}</definedName>
    <definedName name="HEADCOUNT" localSheetId="10">#REF!</definedName>
    <definedName name="HEADCOUNT">#REF!</definedName>
    <definedName name="HEADCOUNT2" localSheetId="10">#REF!</definedName>
    <definedName name="HEADCOUNT2">#REF!</definedName>
    <definedName name="Header_Row">ROW(#REF!)</definedName>
    <definedName name="HEI" localSheetId="10" hidden="1">{"AQUIRORDCF",#N/A,FALSE,"Merger consequences";"Acquirorassns",#N/A,FALSE,"Merger consequences"}</definedName>
    <definedName name="HEI" hidden="1">{"AQUIRORDCF",#N/A,FALSE,"Merger consequences";"Acquirorassns",#N/A,FALSE,"Merger consequences"}</definedName>
    <definedName name="hello" localSheetId="10" hidden="1">{"EBITDA",#N/A,TRUE,"P&amp;L Net of Disc Ops";"output net of disc ops",#N/A,TRUE,"Revenue";"input",#N/A,TRUE,"Revenue";"output",#N/A,TRUE,"DC";"Input",#N/A,TRUE,"DC";"MTN and MCN",#N/A,TRUE,"Margin";"output detail line items",#N/A,TRUE,"SGA";"personnel by year",#N/A,TRUE,"Payroll";#N/A,#N/A,TRUE,"CapEx"}</definedName>
    <definedName name="hello" localSheetId="15" hidden="1">{"EBITDA",#N/A,TRUE,"P&amp;L Net of Disc Ops";"output net of disc ops",#N/A,TRUE,"Revenue";"input",#N/A,TRUE,"Revenue";"output",#N/A,TRUE,"DC";"Input",#N/A,TRUE,"DC";"MTN and MCN",#N/A,TRUE,"Margin";"output detail line items",#N/A,TRUE,"SGA";"personnel by year",#N/A,TRUE,"Payroll";#N/A,#N/A,TRUE,"CapEx"}</definedName>
    <definedName name="hello" hidden="1">{"EBITDA",#N/A,TRUE,"P&amp;L Net of Disc Ops";"output net of disc ops",#N/A,TRUE,"Revenue";"input",#N/A,TRUE,"Revenue";"output",#N/A,TRUE,"DC";"Input",#N/A,TRUE,"DC";"MTN and MCN",#N/A,TRUE,"Margin";"output detail line items",#N/A,TRUE,"SGA";"personnel by year",#N/A,TRUE,"Payroll";#N/A,#N/A,TRUE,"CapEx"}</definedName>
    <definedName name="help" localSheetId="10" hidden="1">{#N/A,#N/A,FALSE,"CONSOLIDATED";#N/A,#N/A,FALSE,"LANCE CO";#N/A,#N/A,FALSE,"VISTA"}</definedName>
    <definedName name="help" localSheetId="15" hidden="1">{#N/A,#N/A,FALSE,"CONSOLIDATED";#N/A,#N/A,FALSE,"LANCE CO";#N/A,#N/A,FALSE,"VISTA"}</definedName>
    <definedName name="help" hidden="1">{#N/A,#N/A,FALSE,"CONSOLIDATED";#N/A,#N/A,FALSE,"LANCE CO";#N/A,#N/A,FALSE,"VISTA"}</definedName>
    <definedName name="help_1" localSheetId="10" hidden="1">{#N/A,#N/A,FALSE,"CONSOLIDATED";#N/A,#N/A,FALSE,"LANCE CO";#N/A,#N/A,FALSE,"VISTA"}</definedName>
    <definedName name="help_1" localSheetId="15" hidden="1">{#N/A,#N/A,FALSE,"CONSOLIDATED";#N/A,#N/A,FALSE,"LANCE CO";#N/A,#N/A,FALSE,"VISTA"}</definedName>
    <definedName name="help_1" hidden="1">{#N/A,#N/A,FALSE,"CONSOLIDATED";#N/A,#N/A,FALSE,"LANCE CO";#N/A,#N/A,FALSE,"VISTA"}</definedName>
    <definedName name="help1" localSheetId="10" hidden="1">{#N/A,#N/A,FALSE,"CONSOLIDATED";#N/A,#N/A,FALSE,"LANCE CO";#N/A,#N/A,FALSE,"VISTA"}</definedName>
    <definedName name="help1" localSheetId="15" hidden="1">{#N/A,#N/A,FALSE,"CONSOLIDATED";#N/A,#N/A,FALSE,"LANCE CO";#N/A,#N/A,FALSE,"VISTA"}</definedName>
    <definedName name="help1" hidden="1">{#N/A,#N/A,FALSE,"CONSOLIDATED";#N/A,#N/A,FALSE,"LANCE CO";#N/A,#N/A,FALSE,"VISTA"}</definedName>
    <definedName name="help1_1" localSheetId="10" hidden="1">{#N/A,#N/A,FALSE,"CONSOLIDATED";#N/A,#N/A,FALSE,"LANCE CO";#N/A,#N/A,FALSE,"VISTA"}</definedName>
    <definedName name="help1_1" localSheetId="15" hidden="1">{#N/A,#N/A,FALSE,"CONSOLIDATED";#N/A,#N/A,FALSE,"LANCE CO";#N/A,#N/A,FALSE,"VISTA"}</definedName>
    <definedName name="help1_1" hidden="1">{#N/A,#N/A,FALSE,"CONSOLIDATED";#N/A,#N/A,FALSE,"LANCE CO";#N/A,#N/A,FALSE,"VISTA"}</definedName>
    <definedName name="help2" localSheetId="10" hidden="1">{#N/A,#N/A,FALSE,"CONSOLIDATED";#N/A,#N/A,FALSE,"LANCE CO";#N/A,#N/A,FALSE,"VISTA"}</definedName>
    <definedName name="help2" localSheetId="15" hidden="1">{#N/A,#N/A,FALSE,"CONSOLIDATED";#N/A,#N/A,FALSE,"LANCE CO";#N/A,#N/A,FALSE,"VISTA"}</definedName>
    <definedName name="help2" hidden="1">{#N/A,#N/A,FALSE,"CONSOLIDATED";#N/A,#N/A,FALSE,"LANCE CO";#N/A,#N/A,FALSE,"VISTA"}</definedName>
    <definedName name="help2_1" localSheetId="10" hidden="1">{#N/A,#N/A,FALSE,"CONSOLIDATED";#N/A,#N/A,FALSE,"LANCE CO";#N/A,#N/A,FALSE,"VISTA"}</definedName>
    <definedName name="help2_1" localSheetId="15" hidden="1">{#N/A,#N/A,FALSE,"CONSOLIDATED";#N/A,#N/A,FALSE,"LANCE CO";#N/A,#N/A,FALSE,"VISTA"}</definedName>
    <definedName name="help2_1" hidden="1">{#N/A,#N/A,FALSE,"CONSOLIDATED";#N/A,#N/A,FALSE,"LANCE CO";#N/A,#N/A,FALSE,"VISTA"}</definedName>
    <definedName name="HELP3" localSheetId="10" hidden="1">{#N/A,#N/A,FALSE,"CONSOLIDATED";#N/A,#N/A,FALSE,"LANCE CO";#N/A,#N/A,FALSE,"VISTA"}</definedName>
    <definedName name="HELP3" localSheetId="15" hidden="1">{#N/A,#N/A,FALSE,"CONSOLIDATED";#N/A,#N/A,FALSE,"LANCE CO";#N/A,#N/A,FALSE,"VISTA"}</definedName>
    <definedName name="HELP3" hidden="1">{#N/A,#N/A,FALSE,"CONSOLIDATED";#N/A,#N/A,FALSE,"LANCE CO";#N/A,#N/A,FALSE,"VISTA"}</definedName>
    <definedName name="HELP3_1" localSheetId="10" hidden="1">{#N/A,#N/A,FALSE,"CONSOLIDATED";#N/A,#N/A,FALSE,"LANCE CO";#N/A,#N/A,FALSE,"VISTA"}</definedName>
    <definedName name="HELP3_1" localSheetId="15" hidden="1">{#N/A,#N/A,FALSE,"CONSOLIDATED";#N/A,#N/A,FALSE,"LANCE CO";#N/A,#N/A,FALSE,"VISTA"}</definedName>
    <definedName name="HELP3_1" hidden="1">{#N/A,#N/A,FALSE,"CONSOLIDATED";#N/A,#N/A,FALSE,"LANCE CO";#N/A,#N/A,FALSE,"VISTA"}</definedName>
    <definedName name="HELP4" localSheetId="10" hidden="1">{#N/A,#N/A,FALSE,"CONSOLIDATED";#N/A,#N/A,FALSE,"LANCE CO";#N/A,#N/A,FALSE,"VISTA"}</definedName>
    <definedName name="HELP4" localSheetId="15" hidden="1">{#N/A,#N/A,FALSE,"CONSOLIDATED";#N/A,#N/A,FALSE,"LANCE CO";#N/A,#N/A,FALSE,"VISTA"}</definedName>
    <definedName name="HELP4" hidden="1">{#N/A,#N/A,FALSE,"CONSOLIDATED";#N/A,#N/A,FALSE,"LANCE CO";#N/A,#N/A,FALSE,"VISTA"}</definedName>
    <definedName name="HELP4_1" localSheetId="10" hidden="1">{#N/A,#N/A,FALSE,"CONSOLIDATED";#N/A,#N/A,FALSE,"LANCE CO";#N/A,#N/A,FALSE,"VISTA"}</definedName>
    <definedName name="HELP4_1" localSheetId="15" hidden="1">{#N/A,#N/A,FALSE,"CONSOLIDATED";#N/A,#N/A,FALSE,"LANCE CO";#N/A,#N/A,FALSE,"VISTA"}</definedName>
    <definedName name="HELP4_1" hidden="1">{#N/A,#N/A,FALSE,"CONSOLIDATED";#N/A,#N/A,FALSE,"LANCE CO";#N/A,#N/A,FALSE,"VISTA"}</definedName>
    <definedName name="HELP5" localSheetId="10" hidden="1">{#N/A,#N/A,FALSE,"CONSOLIDATED";#N/A,#N/A,FALSE,"LANCE CO";#N/A,#N/A,FALSE,"VISTA"}</definedName>
    <definedName name="HELP5" localSheetId="15" hidden="1">{#N/A,#N/A,FALSE,"CONSOLIDATED";#N/A,#N/A,FALSE,"LANCE CO";#N/A,#N/A,FALSE,"VISTA"}</definedName>
    <definedName name="HELP5" hidden="1">{#N/A,#N/A,FALSE,"CONSOLIDATED";#N/A,#N/A,FALSE,"LANCE CO";#N/A,#N/A,FALSE,"VISTA"}</definedName>
    <definedName name="HELP5_1" localSheetId="10" hidden="1">{#N/A,#N/A,FALSE,"CONSOLIDATED";#N/A,#N/A,FALSE,"LANCE CO";#N/A,#N/A,FALSE,"VISTA"}</definedName>
    <definedName name="HELP5_1" localSheetId="15" hidden="1">{#N/A,#N/A,FALSE,"CONSOLIDATED";#N/A,#N/A,FALSE,"LANCE CO";#N/A,#N/A,FALSE,"VISTA"}</definedName>
    <definedName name="HELP5_1" hidden="1">{#N/A,#N/A,FALSE,"CONSOLIDATED";#N/A,#N/A,FALSE,"LANCE CO";#N/A,#N/A,FALSE,"VISTA"}</definedName>
    <definedName name="HELP6" localSheetId="10" hidden="1">{#N/A,#N/A,FALSE,"CONSOLIDATED";#N/A,#N/A,FALSE,"LANCE CO";#N/A,#N/A,FALSE,"VISTA"}</definedName>
    <definedName name="HELP6" localSheetId="15" hidden="1">{#N/A,#N/A,FALSE,"CONSOLIDATED";#N/A,#N/A,FALSE,"LANCE CO";#N/A,#N/A,FALSE,"VISTA"}</definedName>
    <definedName name="HELP6" hidden="1">{#N/A,#N/A,FALSE,"CONSOLIDATED";#N/A,#N/A,FALSE,"LANCE CO";#N/A,#N/A,FALSE,"VISTA"}</definedName>
    <definedName name="HELP6_1" localSheetId="10" hidden="1">{#N/A,#N/A,FALSE,"CONSOLIDATED";#N/A,#N/A,FALSE,"LANCE CO";#N/A,#N/A,FALSE,"VISTA"}</definedName>
    <definedName name="HELP6_1" localSheetId="15" hidden="1">{#N/A,#N/A,FALSE,"CONSOLIDATED";#N/A,#N/A,FALSE,"LANCE CO";#N/A,#N/A,FALSE,"VISTA"}</definedName>
    <definedName name="HELP6_1" hidden="1">{#N/A,#N/A,FALSE,"CONSOLIDATED";#N/A,#N/A,FALSE,"LANCE CO";#N/A,#N/A,FALSE,"VISTA"}</definedName>
    <definedName name="HELP7" localSheetId="10" hidden="1">{#N/A,#N/A,FALSE,"CONSOLIDATED";#N/A,#N/A,FALSE,"LANCE CO";#N/A,#N/A,FALSE,"VISTA"}</definedName>
    <definedName name="HELP7" localSheetId="15" hidden="1">{#N/A,#N/A,FALSE,"CONSOLIDATED";#N/A,#N/A,FALSE,"LANCE CO";#N/A,#N/A,FALSE,"VISTA"}</definedName>
    <definedName name="HELP7" hidden="1">{#N/A,#N/A,FALSE,"CONSOLIDATED";#N/A,#N/A,FALSE,"LANCE CO";#N/A,#N/A,FALSE,"VISTA"}</definedName>
    <definedName name="HELP7_1" localSheetId="10" hidden="1">{#N/A,#N/A,FALSE,"CONSOLIDATED";#N/A,#N/A,FALSE,"LANCE CO";#N/A,#N/A,FALSE,"VISTA"}</definedName>
    <definedName name="HELP7_1" localSheetId="15" hidden="1">{#N/A,#N/A,FALSE,"CONSOLIDATED";#N/A,#N/A,FALSE,"LANCE CO";#N/A,#N/A,FALSE,"VISTA"}</definedName>
    <definedName name="HELP7_1" hidden="1">{#N/A,#N/A,FALSE,"CONSOLIDATED";#N/A,#N/A,FALSE,"LANCE CO";#N/A,#N/A,FALSE,"VISTA"}</definedName>
    <definedName name="HELP8" localSheetId="10" hidden="1">{#N/A,#N/A,FALSE,"CONSOLIDATED";#N/A,#N/A,FALSE,"LANCE CO";#N/A,#N/A,FALSE,"VISTA"}</definedName>
    <definedName name="HELP8" localSheetId="15" hidden="1">{#N/A,#N/A,FALSE,"CONSOLIDATED";#N/A,#N/A,FALSE,"LANCE CO";#N/A,#N/A,FALSE,"VISTA"}</definedName>
    <definedName name="HELP8" hidden="1">{#N/A,#N/A,FALSE,"CONSOLIDATED";#N/A,#N/A,FALSE,"LANCE CO";#N/A,#N/A,FALSE,"VISTA"}</definedName>
    <definedName name="HELP8_1" localSheetId="10" hidden="1">{#N/A,#N/A,FALSE,"CONSOLIDATED";#N/A,#N/A,FALSE,"LANCE CO";#N/A,#N/A,FALSE,"VISTA"}</definedName>
    <definedName name="HELP8_1" localSheetId="15" hidden="1">{#N/A,#N/A,FALSE,"CONSOLIDATED";#N/A,#N/A,FALSE,"LANCE CO";#N/A,#N/A,FALSE,"VISTA"}</definedName>
    <definedName name="HELP8_1" hidden="1">{#N/A,#N/A,FALSE,"CONSOLIDATED";#N/A,#N/A,FALSE,"LANCE CO";#N/A,#N/A,FALSE,"VISTA"}</definedName>
    <definedName name="here" localSheetId="10" hidden="1">{"Headcount Worksheet",#N/A,FALSE,"HEADCOUNT"}</definedName>
    <definedName name="here" hidden="1">{"Headcount Worksheet",#N/A,FALSE,"HEADCOUNT"}</definedName>
    <definedName name="heryyw" localSheetId="10"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s" localSheetId="10" hidden="1">{"NOPCAPEVA",#N/A,FALSE,"Nopat";"FCFCSTAR",#N/A,FALSE,"FCFVAL";"EVAVL",#N/A,FALSE,"EVAVAL";"LEASE",#N/A,FALSE,"OpLease"}</definedName>
    <definedName name="hes" hidden="1">{"NOPCAPEVA",#N/A,FALSE,"Nopat";"FCFCSTAR",#N/A,FALSE,"FCFVAL";"EVAVL",#N/A,FALSE,"EVAVAL";"LEASE",#N/A,FALSE,"OpLease"}</definedName>
    <definedName name="hey" localSheetId="10" hidden="1">{#N/A,#N/A,FALSE,"3mos";#N/A,#N/A,FALSE,"dedicated"}</definedName>
    <definedName name="hey" hidden="1">{#N/A,#N/A,FALSE,"3mos";#N/A,#N/A,FALSE,"dedicated"}</definedName>
    <definedName name="hf" localSheetId="10" hidden="1">{"detail",#N/A,FALSE,"mfg";"summary",#N/A,FALSE,"mfg"}</definedName>
    <definedName name="hf" hidden="1">{"detail",#N/A,FALSE,"mfg";"summary",#N/A,FALSE,"mfg"}</definedName>
    <definedName name="hfd" localSheetId="10" hidden="1">{"FCB_ALL",#N/A,FALSE,"FCB";"GREY_ALL",#N/A,FALSE,"GREY"}</definedName>
    <definedName name="hfd" localSheetId="15" hidden="1">{"FCB_ALL",#N/A,FALSE,"FCB";"GREY_ALL",#N/A,FALSE,"GREY"}</definedName>
    <definedName name="hfd" hidden="1">{"FCB_ALL",#N/A,FALSE,"FCB";"GREY_ALL",#N/A,FALSE,"GREY"}</definedName>
    <definedName name="hfea" localSheetId="10" hidden="1">{"NOPCAPEVA",#N/A,FALSE,"Nopat";"FCFCSTAR",#N/A,FALSE,"FCFVAL";"EVAVL",#N/A,FALSE,"EVAVAL";"LEASE",#N/A,FALSE,"OpLease"}</definedName>
    <definedName name="hfea" hidden="1">{"NOPCAPEVA",#N/A,FALSE,"Nopat";"FCFCSTAR",#N/A,FALSE,"FCFVAL";"EVAVL",#N/A,FALSE,"EVAVAL";"LEASE",#N/A,FALSE,"OpLease"}</definedName>
    <definedName name="HFinGraph" localSheetId="10" hidden="1">{#N/A,#N/A,FALSE,"Pharm";#N/A,#N/A,FALSE,"WWCM"}</definedName>
    <definedName name="HFinGraph" hidden="1">{#N/A,#N/A,FALSE,"Pharm";#N/A,#N/A,FALSE,"WWCM"}</definedName>
    <definedName name="hfydf" localSheetId="10" hidden="1">{"FCB_ALL",#N/A,FALSE,"FCB"}</definedName>
    <definedName name="hfydf" localSheetId="15" hidden="1">{"FCB_ALL",#N/A,FALSE,"FCB"}</definedName>
    <definedName name="hfydf" hidden="1">{"FCB_ALL",#N/A,FALSE,"FCB"}</definedName>
    <definedName name="hg" localSheetId="10" hidden="1">{#N/A,#N/A,FALSE,"HuscoCombined-Summ";#N/A,#N/A,FALSE,"HuscoCombined-Income";#N/A,#N/A,FALSE,"HuscoCombined-Offering";#N/A,#N/A,FALSE,"Husco-Income";#N/A,#N/A,FALSE,"TargetEngineer";#N/A,#N/A,FALSE,"TargetAcqCalc";#N/A,#N/A,FALSE,"Husco-Acq"}</definedName>
    <definedName name="hg" hidden="1">{#N/A,#N/A,FALSE,"HuscoCombined-Summ";#N/A,#N/A,FALSE,"HuscoCombined-Income";#N/A,#N/A,FALSE,"HuscoCombined-Offering";#N/A,#N/A,FALSE,"Husco-Income";#N/A,#N/A,FALSE,"TargetEngineer";#N/A,#N/A,FALSE,"TargetAcqCalc";#N/A,#N/A,FALSE,"Husco-Acq"}</definedName>
    <definedName name="hg_1" localSheetId="10" hidden="1">{#N/A,#N/A,FALSE,"HuscoCombined-Summ";#N/A,#N/A,FALSE,"HuscoCombined-Income";#N/A,#N/A,FALSE,"HuscoCombined-Offering";#N/A,#N/A,FALSE,"Husco-Income";#N/A,#N/A,FALSE,"TargetEngineer";#N/A,#N/A,FALSE,"TargetAcqCalc";#N/A,#N/A,FALSE,"Husco-Acq"}</definedName>
    <definedName name="hg_1" hidden="1">{#N/A,#N/A,FALSE,"HuscoCombined-Summ";#N/A,#N/A,FALSE,"HuscoCombined-Income";#N/A,#N/A,FALSE,"HuscoCombined-Offering";#N/A,#N/A,FALSE,"Husco-Income";#N/A,#N/A,FALSE,"TargetEngineer";#N/A,#N/A,FALSE,"TargetAcqCalc";#N/A,#N/A,FALSE,"Husco-Acq"}</definedName>
    <definedName name="hga" localSheetId="10" hidden="1">{"NOPCAPEVA",#N/A,FALSE,"Nopat";"FCFCSTAR",#N/A,FALSE,"FCFVAL";"EVAVL",#N/A,FALSE,"EVAVAL";"LEASE",#N/A,FALSE,"OpLease"}</definedName>
    <definedName name="hga" hidden="1">{"NOPCAPEVA",#N/A,FALSE,"Nopat";"FCFCSTAR",#N/A,FALSE,"FCFVAL";"EVAVL",#N/A,FALSE,"EVAVAL";"LEASE",#N/A,FALSE,"OpLease"}</definedName>
    <definedName name="hgfd" localSheetId="10" hidden="1">{"BA detail",#N/A,FALSE,"Q3YTD "}</definedName>
    <definedName name="hgfd" hidden="1">{"BA detail",#N/A,FALSE,"Q3YTD "}</definedName>
    <definedName name="hgfhhsdh" hidden="1">#REF!</definedName>
    <definedName name="hgfs" localSheetId="10" hidden="1">{"NOPCAPEVA",#N/A,FALSE,"Nopat";"FCFCSTAR",#N/A,FALSE,"FCFVAL";"EVAVL",#N/A,FALSE,"EVAVAL";"LEASE",#N/A,FALSE,"OpLease"}</definedName>
    <definedName name="hgfs" hidden="1">{"NOPCAPEVA",#N/A,FALSE,"Nopat";"FCFCSTAR",#N/A,FALSE,"FCFVAL";"EVAVL",#N/A,FALSE,"EVAVAL";"LEASE",#N/A,FALSE,"OpLease"}</definedName>
    <definedName name="hgjghjhhg" localSheetId="10"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P_major_parts">#REF!</definedName>
    <definedName name="hgr" localSheetId="10" hidden="1">{"NOPCAPEVA",#N/A,FALSE,"Nopat";"FCFCSTAR",#N/A,FALSE,"FCFVAL";"EVAVL",#N/A,FALSE,"EVAVAL";"LEASE",#N/A,FALSE,"OpLease"}</definedName>
    <definedName name="hgr" hidden="1">{"NOPCAPEVA",#N/A,FALSE,"Nopat";"FCFCSTAR",#N/A,FALSE,"FCFVAL";"EVAVL",#N/A,FALSE,"EVAVAL";"LEASE",#N/A,FALSE,"OpLease"}</definedName>
    <definedName name="hgre" localSheetId="10" hidden="1">{"AnnInc",#N/A,TRUE,"Inc";"QtrInc1",#N/A,TRUE,"Inc";"Balance",#N/A,TRUE,"Bal";"Cflow",#N/A,TRUE,"Cash"}</definedName>
    <definedName name="hgre" hidden="1">{"AnnInc",#N/A,TRUE,"Inc";"QtrInc1",#N/A,TRUE,"Inc";"Balance",#N/A,TRUE,"Bal";"Cflow",#N/A,TRUE,"Cash"}</definedName>
    <definedName name="hgrth" localSheetId="10" hidden="1">{"orixcsc",#N/A,FALSE,"ORIX CSC";"orixcsc2",#N/A,FALSE,"ORIX CSC"}</definedName>
    <definedName name="hgrth" hidden="1">{"orixcsc",#N/A,FALSE,"ORIX CSC";"orixcsc2",#N/A,FALSE,"ORIX CSC"}</definedName>
    <definedName name="hgsrt" localSheetId="10" hidden="1">{"FCB_ALL",#N/A,FALSE,"FCB";"GREY_ALL",#N/A,FALSE,"GREY"}</definedName>
    <definedName name="hgsrt" localSheetId="15" hidden="1">{"FCB_ALL",#N/A,FALSE,"FCB";"GREY_ALL",#N/A,FALSE,"GREY"}</definedName>
    <definedName name="hgsrt" hidden="1">{"FCB_ALL",#N/A,FALSE,"FCB";"GREY_ALL",#N/A,FALSE,"GREY"}</definedName>
    <definedName name="hgyt" hidden="1">#REF!</definedName>
    <definedName name="hh" localSheetId="10">#REF!</definedName>
    <definedName name="hh">#REF!</definedName>
    <definedName name="hh.k" localSheetId="10" hidden="1">{#N/A,#N/A,FALSE,"KA CH  (2)"}</definedName>
    <definedName name="hh.k" hidden="1">{#N/A,#N/A,FALSE,"KA CH  (2)"}</definedName>
    <definedName name="hhh" localSheetId="10" hidden="1">{"Outflow 1",#N/A,FALSE,"Outflows-Inflows";"Outflow 2",#N/A,FALSE,"Outflows-Inflows";"Inflow 1",#N/A,FALSE,"Outflows-Inflows";"Inflow 2",#N/A,FALSE,"Outflows-Inflows"}</definedName>
    <definedName name="hhh" hidden="1">{"Outflow 1",#N/A,FALSE,"Outflows-Inflows";"Outflow 2",#N/A,FALSE,"Outflows-Inflows";"Inflow 1",#N/A,FALSE,"Outflows-Inflows";"Inflow 2",#N/A,FALSE,"Outflows-Inflows"}</definedName>
    <definedName name="HHHH"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HHHH"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hhhhh" localSheetId="10" hidden="1">{#N/A,#N/A,FALSE,"Bakersfield PCs";#N/A,#N/A,FALSE,"Bremer PCs";#N/A,#N/A,FALSE,"Bakersfield Notebooks"}</definedName>
    <definedName name="hhhhh" hidden="1">{#N/A,#N/A,FALSE,"Bakersfield PCs";#N/A,#N/A,FALSE,"Bremer PCs";#N/A,#N/A,FALSE,"Bakersfield Notebooks"}</definedName>
    <definedName name="hhhhhhhhhhhhh" localSheetId="10" hidden="1">{"Page1",#N/A,FALSE,"CompCo";"Page2",#N/A,FALSE,"CompCo"}</definedName>
    <definedName name="hhhhhhhhhhhhh" hidden="1">{"Page1",#N/A,FALSE,"CompCo";"Page2",#N/A,FALSE,"CompCo"}</definedName>
    <definedName name="hhhw" localSheetId="10" hidden="1">{#N/A,#N/A,FALSE,"Bakersfield PCs";#N/A,#N/A,FALSE,"Bremer PCs";#N/A,#N/A,FALSE,"Bakersfield Notebooks"}</definedName>
    <definedName name="hhhw" hidden="1">{#N/A,#N/A,FALSE,"Bakersfield PCs";#N/A,#N/A,FALSE,"Bremer PCs";#N/A,#N/A,FALSE,"Bakersfield Notebooks"}</definedName>
    <definedName name="hhj.ls" localSheetId="10"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HSGHTRH" hidden="1">#REF!</definedName>
    <definedName name="hhu" localSheetId="10" hidden="1">{#N/A,#N/A,FALSE,"TEL Monthly Inc";#N/A,#N/A,FALSE,"TEL REVENUE";#N/A,#N/A,FALSE,"Tel - Manpower";#N/A,#N/A,FALSE,"Tel Sales Support";#N/A,#N/A,FALSE,"SI - TELCO";#N/A,#N/A,FALSE,"Sales - Telco";#N/A,#N/A,FALSE,"Tel - Mktg";#N/A,#N/A,FALSE,"Tel - Mktg"}</definedName>
    <definedName name="hhu" hidden="1">{#N/A,#N/A,FALSE,"TEL Monthly Inc";#N/A,#N/A,FALSE,"TEL REVENUE";#N/A,#N/A,FALSE,"Tel - Manpower";#N/A,#N/A,FALSE,"Tel Sales Support";#N/A,#N/A,FALSE,"SI - TELCO";#N/A,#N/A,FALSE,"Sales - Telco";#N/A,#N/A,FALSE,"Tel - Mktg";#N/A,#N/A,FALSE,"Tel - Mktg"}</definedName>
    <definedName name="hhu_1" localSheetId="10" hidden="1">{#N/A,#N/A,FALSE,"TEL Monthly Inc";#N/A,#N/A,FALSE,"TEL REVENUE";#N/A,#N/A,FALSE,"Tel - Manpower";#N/A,#N/A,FALSE,"Tel Sales Support";#N/A,#N/A,FALSE,"SI - TELCO";#N/A,#N/A,FALSE,"Sales - Telco";#N/A,#N/A,FALSE,"Tel - Mktg";#N/A,#N/A,FALSE,"Tel - Mktg"}</definedName>
    <definedName name="hhu_1" hidden="1">{#N/A,#N/A,FALSE,"TEL Monthly Inc";#N/A,#N/A,FALSE,"TEL REVENUE";#N/A,#N/A,FALSE,"Tel - Manpower";#N/A,#N/A,FALSE,"Tel Sales Support";#N/A,#N/A,FALSE,"SI - TELCO";#N/A,#N/A,FALSE,"Sales - Telco";#N/A,#N/A,FALSE,"Tel - Mktg";#N/A,#N/A,FALSE,"Tel - Mktg"}</definedName>
    <definedName name="hhu_1_1" localSheetId="10" hidden="1">{#N/A,#N/A,FALSE,"TEL Monthly Inc";#N/A,#N/A,FALSE,"TEL REVENUE";#N/A,#N/A,FALSE,"Tel - Manpower";#N/A,#N/A,FALSE,"Tel Sales Support";#N/A,#N/A,FALSE,"SI - TELCO";#N/A,#N/A,FALSE,"Sales - Telco";#N/A,#N/A,FALSE,"Tel - Mktg";#N/A,#N/A,FALSE,"Tel - Mktg"}</definedName>
    <definedName name="hhu_1_1" hidden="1">{#N/A,#N/A,FALSE,"TEL Monthly Inc";#N/A,#N/A,FALSE,"TEL REVENUE";#N/A,#N/A,FALSE,"Tel - Manpower";#N/A,#N/A,FALSE,"Tel Sales Support";#N/A,#N/A,FALSE,"SI - TELCO";#N/A,#N/A,FALSE,"Sales - Telco";#N/A,#N/A,FALSE,"Tel - Mktg";#N/A,#N/A,FALSE,"Tel - Mktg"}</definedName>
    <definedName name="hhu_1_1_1" localSheetId="10" hidden="1">{#N/A,#N/A,FALSE,"TEL Monthly Inc";#N/A,#N/A,FALSE,"TEL REVENUE";#N/A,#N/A,FALSE,"Tel - Manpower";#N/A,#N/A,FALSE,"Tel Sales Support";#N/A,#N/A,FALSE,"SI - TELCO";#N/A,#N/A,FALSE,"Sales - Telco";#N/A,#N/A,FALSE,"Tel - Mktg";#N/A,#N/A,FALSE,"Tel - Mktg"}</definedName>
    <definedName name="hhu_1_1_1" hidden="1">{#N/A,#N/A,FALSE,"TEL Monthly Inc";#N/A,#N/A,FALSE,"TEL REVENUE";#N/A,#N/A,FALSE,"Tel - Manpower";#N/A,#N/A,FALSE,"Tel Sales Support";#N/A,#N/A,FALSE,"SI - TELCO";#N/A,#N/A,FALSE,"Sales - Telco";#N/A,#N/A,FALSE,"Tel - Mktg";#N/A,#N/A,FALSE,"Tel - Mktg"}</definedName>
    <definedName name="hhu_1_1_2" localSheetId="10" hidden="1">{#N/A,#N/A,FALSE,"TEL Monthly Inc";#N/A,#N/A,FALSE,"TEL REVENUE";#N/A,#N/A,FALSE,"Tel - Manpower";#N/A,#N/A,FALSE,"Tel Sales Support";#N/A,#N/A,FALSE,"SI - TELCO";#N/A,#N/A,FALSE,"Sales - Telco";#N/A,#N/A,FALSE,"Tel - Mktg";#N/A,#N/A,FALSE,"Tel - Mktg"}</definedName>
    <definedName name="hhu_1_1_2" hidden="1">{#N/A,#N/A,FALSE,"TEL Monthly Inc";#N/A,#N/A,FALSE,"TEL REVENUE";#N/A,#N/A,FALSE,"Tel - Manpower";#N/A,#N/A,FALSE,"Tel Sales Support";#N/A,#N/A,FALSE,"SI - TELCO";#N/A,#N/A,FALSE,"Sales - Telco";#N/A,#N/A,FALSE,"Tel - Mktg";#N/A,#N/A,FALSE,"Tel - Mktg"}</definedName>
    <definedName name="hhu_1_1_3" localSheetId="10" hidden="1">{#N/A,#N/A,FALSE,"TEL Monthly Inc";#N/A,#N/A,FALSE,"TEL REVENUE";#N/A,#N/A,FALSE,"Tel - Manpower";#N/A,#N/A,FALSE,"Tel Sales Support";#N/A,#N/A,FALSE,"SI - TELCO";#N/A,#N/A,FALSE,"Sales - Telco";#N/A,#N/A,FALSE,"Tel - Mktg";#N/A,#N/A,FALSE,"Tel - Mktg"}</definedName>
    <definedName name="hhu_1_1_3" hidden="1">{#N/A,#N/A,FALSE,"TEL Monthly Inc";#N/A,#N/A,FALSE,"TEL REVENUE";#N/A,#N/A,FALSE,"Tel - Manpower";#N/A,#N/A,FALSE,"Tel Sales Support";#N/A,#N/A,FALSE,"SI - TELCO";#N/A,#N/A,FALSE,"Sales - Telco";#N/A,#N/A,FALSE,"Tel - Mktg";#N/A,#N/A,FALSE,"Tel - Mktg"}</definedName>
    <definedName name="hhu_1_1_4" localSheetId="10" hidden="1">{#N/A,#N/A,FALSE,"TEL Monthly Inc";#N/A,#N/A,FALSE,"TEL REVENUE";#N/A,#N/A,FALSE,"Tel - Manpower";#N/A,#N/A,FALSE,"Tel Sales Support";#N/A,#N/A,FALSE,"SI - TELCO";#N/A,#N/A,FALSE,"Sales - Telco";#N/A,#N/A,FALSE,"Tel - Mktg";#N/A,#N/A,FALSE,"Tel - Mktg"}</definedName>
    <definedName name="hhu_1_1_4" hidden="1">{#N/A,#N/A,FALSE,"TEL Monthly Inc";#N/A,#N/A,FALSE,"TEL REVENUE";#N/A,#N/A,FALSE,"Tel - Manpower";#N/A,#N/A,FALSE,"Tel Sales Support";#N/A,#N/A,FALSE,"SI - TELCO";#N/A,#N/A,FALSE,"Sales - Telco";#N/A,#N/A,FALSE,"Tel - Mktg";#N/A,#N/A,FALSE,"Tel - Mktg"}</definedName>
    <definedName name="hhu_1_1_5" localSheetId="10" hidden="1">{#N/A,#N/A,FALSE,"TEL Monthly Inc";#N/A,#N/A,FALSE,"TEL REVENUE";#N/A,#N/A,FALSE,"Tel - Manpower";#N/A,#N/A,FALSE,"Tel Sales Support";#N/A,#N/A,FALSE,"SI - TELCO";#N/A,#N/A,FALSE,"Sales - Telco";#N/A,#N/A,FALSE,"Tel - Mktg";#N/A,#N/A,FALSE,"Tel - Mktg"}</definedName>
    <definedName name="hhu_1_1_5" hidden="1">{#N/A,#N/A,FALSE,"TEL Monthly Inc";#N/A,#N/A,FALSE,"TEL REVENUE";#N/A,#N/A,FALSE,"Tel - Manpower";#N/A,#N/A,FALSE,"Tel Sales Support";#N/A,#N/A,FALSE,"SI - TELCO";#N/A,#N/A,FALSE,"Sales - Telco";#N/A,#N/A,FALSE,"Tel - Mktg";#N/A,#N/A,FALSE,"Tel - Mktg"}</definedName>
    <definedName name="hhu_1_2" localSheetId="10" hidden="1">{#N/A,#N/A,FALSE,"TEL Monthly Inc";#N/A,#N/A,FALSE,"TEL REVENUE";#N/A,#N/A,FALSE,"Tel - Manpower";#N/A,#N/A,FALSE,"Tel Sales Support";#N/A,#N/A,FALSE,"SI - TELCO";#N/A,#N/A,FALSE,"Sales - Telco";#N/A,#N/A,FALSE,"Tel - Mktg";#N/A,#N/A,FALSE,"Tel - Mktg"}</definedName>
    <definedName name="hhu_1_2" hidden="1">{#N/A,#N/A,FALSE,"TEL Monthly Inc";#N/A,#N/A,FALSE,"TEL REVENUE";#N/A,#N/A,FALSE,"Tel - Manpower";#N/A,#N/A,FALSE,"Tel Sales Support";#N/A,#N/A,FALSE,"SI - TELCO";#N/A,#N/A,FALSE,"Sales - Telco";#N/A,#N/A,FALSE,"Tel - Mktg";#N/A,#N/A,FALSE,"Tel - Mktg"}</definedName>
    <definedName name="hhu_1_3" localSheetId="10" hidden="1">{#N/A,#N/A,FALSE,"TEL Monthly Inc";#N/A,#N/A,FALSE,"TEL REVENUE";#N/A,#N/A,FALSE,"Tel - Manpower";#N/A,#N/A,FALSE,"Tel Sales Support";#N/A,#N/A,FALSE,"SI - TELCO";#N/A,#N/A,FALSE,"Sales - Telco";#N/A,#N/A,FALSE,"Tel - Mktg";#N/A,#N/A,FALSE,"Tel - Mktg"}</definedName>
    <definedName name="hhu_1_3" hidden="1">{#N/A,#N/A,FALSE,"TEL Monthly Inc";#N/A,#N/A,FALSE,"TEL REVENUE";#N/A,#N/A,FALSE,"Tel - Manpower";#N/A,#N/A,FALSE,"Tel Sales Support";#N/A,#N/A,FALSE,"SI - TELCO";#N/A,#N/A,FALSE,"Sales - Telco";#N/A,#N/A,FALSE,"Tel - Mktg";#N/A,#N/A,FALSE,"Tel - Mktg"}</definedName>
    <definedName name="hhu_1_4" localSheetId="10" hidden="1">{#N/A,#N/A,FALSE,"TEL Monthly Inc";#N/A,#N/A,FALSE,"TEL REVENUE";#N/A,#N/A,FALSE,"Tel - Manpower";#N/A,#N/A,FALSE,"Tel Sales Support";#N/A,#N/A,FALSE,"SI - TELCO";#N/A,#N/A,FALSE,"Sales - Telco";#N/A,#N/A,FALSE,"Tel - Mktg";#N/A,#N/A,FALSE,"Tel - Mktg"}</definedName>
    <definedName name="hhu_1_4" hidden="1">{#N/A,#N/A,FALSE,"TEL Monthly Inc";#N/A,#N/A,FALSE,"TEL REVENUE";#N/A,#N/A,FALSE,"Tel - Manpower";#N/A,#N/A,FALSE,"Tel Sales Support";#N/A,#N/A,FALSE,"SI - TELCO";#N/A,#N/A,FALSE,"Sales - Telco";#N/A,#N/A,FALSE,"Tel - Mktg";#N/A,#N/A,FALSE,"Tel - Mktg"}</definedName>
    <definedName name="hhu_1_5" localSheetId="10" hidden="1">{#N/A,#N/A,FALSE,"TEL Monthly Inc";#N/A,#N/A,FALSE,"TEL REVENUE";#N/A,#N/A,FALSE,"Tel - Manpower";#N/A,#N/A,FALSE,"Tel Sales Support";#N/A,#N/A,FALSE,"SI - TELCO";#N/A,#N/A,FALSE,"Sales - Telco";#N/A,#N/A,FALSE,"Tel - Mktg";#N/A,#N/A,FALSE,"Tel - Mktg"}</definedName>
    <definedName name="hhu_1_5" hidden="1">{#N/A,#N/A,FALSE,"TEL Monthly Inc";#N/A,#N/A,FALSE,"TEL REVENUE";#N/A,#N/A,FALSE,"Tel - Manpower";#N/A,#N/A,FALSE,"Tel Sales Support";#N/A,#N/A,FALSE,"SI - TELCO";#N/A,#N/A,FALSE,"Sales - Telco";#N/A,#N/A,FALSE,"Tel - Mktg";#N/A,#N/A,FALSE,"Tel - Mktg"}</definedName>
    <definedName name="hhu_2" localSheetId="10" hidden="1">{#N/A,#N/A,FALSE,"TEL Monthly Inc";#N/A,#N/A,FALSE,"TEL REVENUE";#N/A,#N/A,FALSE,"Tel - Manpower";#N/A,#N/A,FALSE,"Tel Sales Support";#N/A,#N/A,FALSE,"SI - TELCO";#N/A,#N/A,FALSE,"Sales - Telco";#N/A,#N/A,FALSE,"Tel - Mktg";#N/A,#N/A,FALSE,"Tel - Mktg"}</definedName>
    <definedName name="hhu_2" hidden="1">{#N/A,#N/A,FALSE,"TEL Monthly Inc";#N/A,#N/A,FALSE,"TEL REVENUE";#N/A,#N/A,FALSE,"Tel - Manpower";#N/A,#N/A,FALSE,"Tel Sales Support";#N/A,#N/A,FALSE,"SI - TELCO";#N/A,#N/A,FALSE,"Sales - Telco";#N/A,#N/A,FALSE,"Tel - Mktg";#N/A,#N/A,FALSE,"Tel - Mktg"}</definedName>
    <definedName name="hhu_2_1" localSheetId="10" hidden="1">{#N/A,#N/A,FALSE,"TEL Monthly Inc";#N/A,#N/A,FALSE,"TEL REVENUE";#N/A,#N/A,FALSE,"Tel - Manpower";#N/A,#N/A,FALSE,"Tel Sales Support";#N/A,#N/A,FALSE,"SI - TELCO";#N/A,#N/A,FALSE,"Sales - Telco";#N/A,#N/A,FALSE,"Tel - Mktg";#N/A,#N/A,FALSE,"Tel - Mktg"}</definedName>
    <definedName name="hhu_2_1" hidden="1">{#N/A,#N/A,FALSE,"TEL Monthly Inc";#N/A,#N/A,FALSE,"TEL REVENUE";#N/A,#N/A,FALSE,"Tel - Manpower";#N/A,#N/A,FALSE,"Tel Sales Support";#N/A,#N/A,FALSE,"SI - TELCO";#N/A,#N/A,FALSE,"Sales - Telco";#N/A,#N/A,FALSE,"Tel - Mktg";#N/A,#N/A,FALSE,"Tel - Mktg"}</definedName>
    <definedName name="hhu_2_2" localSheetId="10" hidden="1">{#N/A,#N/A,FALSE,"TEL Monthly Inc";#N/A,#N/A,FALSE,"TEL REVENUE";#N/A,#N/A,FALSE,"Tel - Manpower";#N/A,#N/A,FALSE,"Tel Sales Support";#N/A,#N/A,FALSE,"SI - TELCO";#N/A,#N/A,FALSE,"Sales - Telco";#N/A,#N/A,FALSE,"Tel - Mktg";#N/A,#N/A,FALSE,"Tel - Mktg"}</definedName>
    <definedName name="hhu_2_2" hidden="1">{#N/A,#N/A,FALSE,"TEL Monthly Inc";#N/A,#N/A,FALSE,"TEL REVENUE";#N/A,#N/A,FALSE,"Tel - Manpower";#N/A,#N/A,FALSE,"Tel Sales Support";#N/A,#N/A,FALSE,"SI - TELCO";#N/A,#N/A,FALSE,"Sales - Telco";#N/A,#N/A,FALSE,"Tel - Mktg";#N/A,#N/A,FALSE,"Tel - Mktg"}</definedName>
    <definedName name="hhu_2_3" localSheetId="10" hidden="1">{#N/A,#N/A,FALSE,"TEL Monthly Inc";#N/A,#N/A,FALSE,"TEL REVENUE";#N/A,#N/A,FALSE,"Tel - Manpower";#N/A,#N/A,FALSE,"Tel Sales Support";#N/A,#N/A,FALSE,"SI - TELCO";#N/A,#N/A,FALSE,"Sales - Telco";#N/A,#N/A,FALSE,"Tel - Mktg";#N/A,#N/A,FALSE,"Tel - Mktg"}</definedName>
    <definedName name="hhu_2_3" hidden="1">{#N/A,#N/A,FALSE,"TEL Monthly Inc";#N/A,#N/A,FALSE,"TEL REVENUE";#N/A,#N/A,FALSE,"Tel - Manpower";#N/A,#N/A,FALSE,"Tel Sales Support";#N/A,#N/A,FALSE,"SI - TELCO";#N/A,#N/A,FALSE,"Sales - Telco";#N/A,#N/A,FALSE,"Tel - Mktg";#N/A,#N/A,FALSE,"Tel - Mktg"}</definedName>
    <definedName name="hhu_2_4" localSheetId="10" hidden="1">{#N/A,#N/A,FALSE,"TEL Monthly Inc";#N/A,#N/A,FALSE,"TEL REVENUE";#N/A,#N/A,FALSE,"Tel - Manpower";#N/A,#N/A,FALSE,"Tel Sales Support";#N/A,#N/A,FALSE,"SI - TELCO";#N/A,#N/A,FALSE,"Sales - Telco";#N/A,#N/A,FALSE,"Tel - Mktg";#N/A,#N/A,FALSE,"Tel - Mktg"}</definedName>
    <definedName name="hhu_2_4" hidden="1">{#N/A,#N/A,FALSE,"TEL Monthly Inc";#N/A,#N/A,FALSE,"TEL REVENUE";#N/A,#N/A,FALSE,"Tel - Manpower";#N/A,#N/A,FALSE,"Tel Sales Support";#N/A,#N/A,FALSE,"SI - TELCO";#N/A,#N/A,FALSE,"Sales - Telco";#N/A,#N/A,FALSE,"Tel - Mktg";#N/A,#N/A,FALSE,"Tel - Mktg"}</definedName>
    <definedName name="hhu_2_5" localSheetId="10" hidden="1">{#N/A,#N/A,FALSE,"TEL Monthly Inc";#N/A,#N/A,FALSE,"TEL REVENUE";#N/A,#N/A,FALSE,"Tel - Manpower";#N/A,#N/A,FALSE,"Tel Sales Support";#N/A,#N/A,FALSE,"SI - TELCO";#N/A,#N/A,FALSE,"Sales - Telco";#N/A,#N/A,FALSE,"Tel - Mktg";#N/A,#N/A,FALSE,"Tel - Mktg"}</definedName>
    <definedName name="hhu_2_5" hidden="1">{#N/A,#N/A,FALSE,"TEL Monthly Inc";#N/A,#N/A,FALSE,"TEL REVENUE";#N/A,#N/A,FALSE,"Tel - Manpower";#N/A,#N/A,FALSE,"Tel Sales Support";#N/A,#N/A,FALSE,"SI - TELCO";#N/A,#N/A,FALSE,"Sales - Telco";#N/A,#N/A,FALSE,"Tel - Mktg";#N/A,#N/A,FALSE,"Tel - Mktg"}</definedName>
    <definedName name="hhu_3" localSheetId="10" hidden="1">{#N/A,#N/A,FALSE,"TEL Monthly Inc";#N/A,#N/A,FALSE,"TEL REVENUE";#N/A,#N/A,FALSE,"Tel - Manpower";#N/A,#N/A,FALSE,"Tel Sales Support";#N/A,#N/A,FALSE,"SI - TELCO";#N/A,#N/A,FALSE,"Sales - Telco";#N/A,#N/A,FALSE,"Tel - Mktg";#N/A,#N/A,FALSE,"Tel - Mktg"}</definedName>
    <definedName name="hhu_3" hidden="1">{#N/A,#N/A,FALSE,"TEL Monthly Inc";#N/A,#N/A,FALSE,"TEL REVENUE";#N/A,#N/A,FALSE,"Tel - Manpower";#N/A,#N/A,FALSE,"Tel Sales Support";#N/A,#N/A,FALSE,"SI - TELCO";#N/A,#N/A,FALSE,"Sales - Telco";#N/A,#N/A,FALSE,"Tel - Mktg";#N/A,#N/A,FALSE,"Tel - Mktg"}</definedName>
    <definedName name="hhu_3_1" localSheetId="10" hidden="1">{#N/A,#N/A,FALSE,"TEL Monthly Inc";#N/A,#N/A,FALSE,"TEL REVENUE";#N/A,#N/A,FALSE,"Tel - Manpower";#N/A,#N/A,FALSE,"Tel Sales Support";#N/A,#N/A,FALSE,"SI - TELCO";#N/A,#N/A,FALSE,"Sales - Telco";#N/A,#N/A,FALSE,"Tel - Mktg";#N/A,#N/A,FALSE,"Tel - Mktg"}</definedName>
    <definedName name="hhu_3_1" hidden="1">{#N/A,#N/A,FALSE,"TEL Monthly Inc";#N/A,#N/A,FALSE,"TEL REVENUE";#N/A,#N/A,FALSE,"Tel - Manpower";#N/A,#N/A,FALSE,"Tel Sales Support";#N/A,#N/A,FALSE,"SI - TELCO";#N/A,#N/A,FALSE,"Sales - Telco";#N/A,#N/A,FALSE,"Tel - Mktg";#N/A,#N/A,FALSE,"Tel - Mktg"}</definedName>
    <definedName name="hhu_3_2" localSheetId="10" hidden="1">{#N/A,#N/A,FALSE,"TEL Monthly Inc";#N/A,#N/A,FALSE,"TEL REVENUE";#N/A,#N/A,FALSE,"Tel - Manpower";#N/A,#N/A,FALSE,"Tel Sales Support";#N/A,#N/A,FALSE,"SI - TELCO";#N/A,#N/A,FALSE,"Sales - Telco";#N/A,#N/A,FALSE,"Tel - Mktg";#N/A,#N/A,FALSE,"Tel - Mktg"}</definedName>
    <definedName name="hhu_3_2" hidden="1">{#N/A,#N/A,FALSE,"TEL Monthly Inc";#N/A,#N/A,FALSE,"TEL REVENUE";#N/A,#N/A,FALSE,"Tel - Manpower";#N/A,#N/A,FALSE,"Tel Sales Support";#N/A,#N/A,FALSE,"SI - TELCO";#N/A,#N/A,FALSE,"Sales - Telco";#N/A,#N/A,FALSE,"Tel - Mktg";#N/A,#N/A,FALSE,"Tel - Mktg"}</definedName>
    <definedName name="hhu_3_3" localSheetId="10" hidden="1">{#N/A,#N/A,FALSE,"TEL Monthly Inc";#N/A,#N/A,FALSE,"TEL REVENUE";#N/A,#N/A,FALSE,"Tel - Manpower";#N/A,#N/A,FALSE,"Tel Sales Support";#N/A,#N/A,FALSE,"SI - TELCO";#N/A,#N/A,FALSE,"Sales - Telco";#N/A,#N/A,FALSE,"Tel - Mktg";#N/A,#N/A,FALSE,"Tel - Mktg"}</definedName>
    <definedName name="hhu_3_3" hidden="1">{#N/A,#N/A,FALSE,"TEL Monthly Inc";#N/A,#N/A,FALSE,"TEL REVENUE";#N/A,#N/A,FALSE,"Tel - Manpower";#N/A,#N/A,FALSE,"Tel Sales Support";#N/A,#N/A,FALSE,"SI - TELCO";#N/A,#N/A,FALSE,"Sales - Telco";#N/A,#N/A,FALSE,"Tel - Mktg";#N/A,#N/A,FALSE,"Tel - Mktg"}</definedName>
    <definedName name="hhu_3_4" localSheetId="10" hidden="1">{#N/A,#N/A,FALSE,"TEL Monthly Inc";#N/A,#N/A,FALSE,"TEL REVENUE";#N/A,#N/A,FALSE,"Tel - Manpower";#N/A,#N/A,FALSE,"Tel Sales Support";#N/A,#N/A,FALSE,"SI - TELCO";#N/A,#N/A,FALSE,"Sales - Telco";#N/A,#N/A,FALSE,"Tel - Mktg";#N/A,#N/A,FALSE,"Tel - Mktg"}</definedName>
    <definedName name="hhu_3_4" hidden="1">{#N/A,#N/A,FALSE,"TEL Monthly Inc";#N/A,#N/A,FALSE,"TEL REVENUE";#N/A,#N/A,FALSE,"Tel - Manpower";#N/A,#N/A,FALSE,"Tel Sales Support";#N/A,#N/A,FALSE,"SI - TELCO";#N/A,#N/A,FALSE,"Sales - Telco";#N/A,#N/A,FALSE,"Tel - Mktg";#N/A,#N/A,FALSE,"Tel - Mktg"}</definedName>
    <definedName name="hhu_3_5" localSheetId="10" hidden="1">{#N/A,#N/A,FALSE,"TEL Monthly Inc";#N/A,#N/A,FALSE,"TEL REVENUE";#N/A,#N/A,FALSE,"Tel - Manpower";#N/A,#N/A,FALSE,"Tel Sales Support";#N/A,#N/A,FALSE,"SI - TELCO";#N/A,#N/A,FALSE,"Sales - Telco";#N/A,#N/A,FALSE,"Tel - Mktg";#N/A,#N/A,FALSE,"Tel - Mktg"}</definedName>
    <definedName name="hhu_3_5" hidden="1">{#N/A,#N/A,FALSE,"TEL Monthly Inc";#N/A,#N/A,FALSE,"TEL REVENUE";#N/A,#N/A,FALSE,"Tel - Manpower";#N/A,#N/A,FALSE,"Tel Sales Support";#N/A,#N/A,FALSE,"SI - TELCO";#N/A,#N/A,FALSE,"Sales - Telco";#N/A,#N/A,FALSE,"Tel - Mktg";#N/A,#N/A,FALSE,"Tel - Mktg"}</definedName>
    <definedName name="hhu_4" localSheetId="10" hidden="1">{#N/A,#N/A,FALSE,"TEL Monthly Inc";#N/A,#N/A,FALSE,"TEL REVENUE";#N/A,#N/A,FALSE,"Tel - Manpower";#N/A,#N/A,FALSE,"Tel Sales Support";#N/A,#N/A,FALSE,"SI - TELCO";#N/A,#N/A,FALSE,"Sales - Telco";#N/A,#N/A,FALSE,"Tel - Mktg";#N/A,#N/A,FALSE,"Tel - Mktg"}</definedName>
    <definedName name="hhu_4" hidden="1">{#N/A,#N/A,FALSE,"TEL Monthly Inc";#N/A,#N/A,FALSE,"TEL REVENUE";#N/A,#N/A,FALSE,"Tel - Manpower";#N/A,#N/A,FALSE,"Tel Sales Support";#N/A,#N/A,FALSE,"SI - TELCO";#N/A,#N/A,FALSE,"Sales - Telco";#N/A,#N/A,FALSE,"Tel - Mktg";#N/A,#N/A,FALSE,"Tel - Mktg"}</definedName>
    <definedName name="hhu_5" localSheetId="10" hidden="1">{#N/A,#N/A,FALSE,"TEL Monthly Inc";#N/A,#N/A,FALSE,"TEL REVENUE";#N/A,#N/A,FALSE,"Tel - Manpower";#N/A,#N/A,FALSE,"Tel Sales Support";#N/A,#N/A,FALSE,"SI - TELCO";#N/A,#N/A,FALSE,"Sales - Telco";#N/A,#N/A,FALSE,"Tel - Mktg";#N/A,#N/A,FALSE,"Tel - Mktg"}</definedName>
    <definedName name="hhu_5" hidden="1">{#N/A,#N/A,FALSE,"TEL Monthly Inc";#N/A,#N/A,FALSE,"TEL REVENUE";#N/A,#N/A,FALSE,"Tel - Manpower";#N/A,#N/A,FALSE,"Tel Sales Support";#N/A,#N/A,FALSE,"SI - TELCO";#N/A,#N/A,FALSE,"Sales - Telco";#N/A,#N/A,FALSE,"Tel - Mktg";#N/A,#N/A,FALSE,"Tel - Mktg"}</definedName>
    <definedName name="hi" localSheetId="10" hidden="1">Main.SAPF4Help()</definedName>
    <definedName name="hi" localSheetId="15" hidden="1">Main.SAPF4Help()</definedName>
    <definedName name="hi" hidden="1">Main.SAPF4Help()</definedName>
    <definedName name="Hibh" localSheetId="10" hidden="1">{#N/A,#N/A,FALSE,"Pharm";#N/A,#N/A,FALSE,"WWCM"}</definedName>
    <definedName name="Hibh" hidden="1">{#N/A,#N/A,FALSE,"Pharm";#N/A,#N/A,FALSE,"WWCM"}</definedName>
    <definedName name="High" localSheetId="10" hidden="1">{#N/A,#N/A,FALSE,"Pharm";#N/A,#N/A,FALSE,"WWCM"}</definedName>
    <definedName name="High" hidden="1">{#N/A,#N/A,FALSE,"Pharm";#N/A,#N/A,FALSE,"WWCM"}</definedName>
    <definedName name="hij"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ij"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istogram1" hidden="1">40514.5985532407</definedName>
    <definedName name="HistogramV02" localSheetId="10" hidden="1">{#N/A,#N/A,FALSE,"Sheet1"}</definedName>
    <definedName name="HistogramV02" hidden="1">{#N/A,#N/A,FALSE,"Sheet1"}</definedName>
    <definedName name="Historical" localSheetId="10" hidden="1">{"bs",#N/A,FALSE,"SCF"}</definedName>
    <definedName name="Historical" hidden="1">{"bs",#N/A,FALSE,"SCF"}</definedName>
    <definedName name="hj" localSheetId="10" hidden="1">{#N/A,#N/A,FALSE,"DCF Summary";#N/A,#N/A,FALSE,"Casema";#N/A,#N/A,FALSE,"Casema NoTel";#N/A,#N/A,FALSE,"UK";#N/A,#N/A,FALSE,"RCF";#N/A,#N/A,FALSE,"Intercable CZ";#N/A,#N/A,FALSE,"Interkabel P"}</definedName>
    <definedName name="hj" localSheetId="15" hidden="1">{#N/A,#N/A,FALSE,"DCF Summary";#N/A,#N/A,FALSE,"Casema";#N/A,#N/A,FALSE,"Casema NoTel";#N/A,#N/A,FALSE,"UK";#N/A,#N/A,FALSE,"RCF";#N/A,#N/A,FALSE,"Intercable CZ";#N/A,#N/A,FALSE,"Interkabel P"}</definedName>
    <definedName name="hj" hidden="1">{#N/A,#N/A,FALSE,"DCF Summary";#N/A,#N/A,FALSE,"Casema";#N/A,#N/A,FALSE,"Casema NoTel";#N/A,#N/A,FALSE,"UK";#N/A,#N/A,FALSE,"RCF";#N/A,#N/A,FALSE,"Intercable CZ";#N/A,#N/A,FALSE,"Interkabel P"}</definedName>
    <definedName name="hj.k" localSheetId="10"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b" hidden="1">#REF!</definedName>
    <definedName name="hjghhgyg" localSheetId="10"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10"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10"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jffukfuk" localSheetId="10" hidden="1">{#N/A,#N/A,FALSE,"Pharm";#N/A,#N/A,FALSE,"WWCM"}</definedName>
    <definedName name="hjhjffukfuk" hidden="1">{#N/A,#N/A,FALSE,"Pharm";#N/A,#N/A,FALSE,"WWCM"}</definedName>
    <definedName name="hjhjfkfukywrte" localSheetId="10" hidden="1">{#N/A,#N/A,FALSE,"Pharm";#N/A,#N/A,FALSE,"WWCM"}</definedName>
    <definedName name="hjhjfkfukywrte" hidden="1">{#N/A,#N/A,FALSE,"Pharm";#N/A,#N/A,FALSE,"WWCM"}</definedName>
    <definedName name="hjhjj" localSheetId="10" hidden="1">{#N/A,#N/A,FALSE,"ORIX CSC"}</definedName>
    <definedName name="hjhjj" hidden="1">{#N/A,#N/A,FALSE,"ORIX CSC"}</definedName>
    <definedName name="hjhkjkl" localSheetId="10" hidden="1">{#N/A,#N/A,FALSE,"Pharm";#N/A,#N/A,FALSE,"WWCM"}</definedName>
    <definedName name="hjhkjkl" hidden="1">{#N/A,#N/A,FALSE,"Pharm";#N/A,#N/A,FALSE,"WWCM"}</definedName>
    <definedName name="hjjjkk" localSheetId="10" hidden="1">{#N/A,#N/A,FALSE,"REPORT"}</definedName>
    <definedName name="hjjjkk" hidden="1">{#N/A,#N/A,FALSE,"REPORT"}</definedName>
    <definedName name="hjjkk" localSheetId="10" hidden="1">{#N/A,#N/A,FALSE,"Pharm";#N/A,#N/A,FALSE,"WWCM"}</definedName>
    <definedName name="hjjkk" hidden="1">{#N/A,#N/A,FALSE,"Pharm";#N/A,#N/A,FALSE,"WWCM"}</definedName>
    <definedName name="hjk" localSheetId="10" hidden="1">{#N/A,#N/A,FALSE,"Umsatz 99";#N/A,#N/A,FALSE,"ER 99 "}</definedName>
    <definedName name="hjk" hidden="1">{#N/A,#N/A,FALSE,"Umsatz 99";#N/A,#N/A,FALSE,"ER 99 "}</definedName>
    <definedName name="hjk.l" localSheetId="10"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 hidden="1">#REF!</definedName>
    <definedName name="hjkhjk" localSheetId="10" hidden="1">{#N/A,#N/A,FALSE,"KA CH  (2)"}</definedName>
    <definedName name="hjkhjk" hidden="1">{#N/A,#N/A,FALSE,"KA CH  (2)"}</definedName>
    <definedName name="hjkjhk" localSheetId="10"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10" hidden="1">{#N/A,#N/A,FALSE,"Pharm";#N/A,#N/A,FALSE,"WWCM"}</definedName>
    <definedName name="hjkk" hidden="1">{#N/A,#N/A,FALSE,"Pharm";#N/A,#N/A,FALSE,"WWCM"}</definedName>
    <definedName name="hjkl"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tsf" localSheetId="10" hidden="1">{"NOPCAPEVA",#N/A,FALSE,"Nopat";"FCFCSTAR",#N/A,FALSE,"FCFVAL";"EVAVL",#N/A,FALSE,"EVAVAL";"LEASE",#N/A,FALSE,"OpLease"}</definedName>
    <definedName name="hjtsf" hidden="1">{"NOPCAPEVA",#N/A,FALSE,"Nopat";"FCFCSTAR",#N/A,FALSE,"FCFVAL";"EVAVL",#N/A,FALSE,"EVAVAL";"LEASE",#N/A,FALSE,"OpLease"}</definedName>
    <definedName name="hjyny" localSheetId="10" hidden="1">{#N/A,#N/A,FALSE,"TSUM";#N/A,#N/A,FALSE,"shares";#N/A,#N/A,FALSE,"earnout";#N/A,#N/A,FALSE,"Heaty";#N/A,#N/A,FALSE,"self-tend";#N/A,#N/A,FALSE,"self-sum"}</definedName>
    <definedName name="hjyny" hidden="1">{#N/A,#N/A,FALSE,"TSUM";#N/A,#N/A,FALSE,"shares";#N/A,#N/A,FALSE,"earnout";#N/A,#N/A,FALSE,"Heaty";#N/A,#N/A,FALSE,"self-tend";#N/A,#N/A,FALSE,"self-sum"}</definedName>
    <definedName name="hkjkh"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LK"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HKLK"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HKSH" localSheetId="10" hidden="1">{#N/A,#N/A,FALSE,"REPORT"}</definedName>
    <definedName name="HKSH" hidden="1">{#N/A,#N/A,FALSE,"REPORT"}</definedName>
    <definedName name="HL_Sheet_Main_10" hidden="1">#REF!</definedName>
    <definedName name="HL_Sheet_Main_11" hidden="1">#REF!</definedName>
    <definedName name="HL_Sheet_Main_12" hidden="1">#REF!</definedName>
    <definedName name="HL_Sheet_Main_13" hidden="1">#REF!</definedName>
    <definedName name="HL_Sheet_Main_14" hidden="1">#REF!</definedName>
    <definedName name="HL_Sheet_Main_15" hidden="1">#REF!</definedName>
    <definedName name="HL_Sheet_Main_16" hidden="1">#REF!</definedName>
    <definedName name="HL_Sheet_Main_17" hidden="1">#REF!</definedName>
    <definedName name="HL_Sheet_Main_18" hidden="1">#REF!</definedName>
    <definedName name="HL_Sheet_Main_19" hidden="1">#REF!</definedName>
    <definedName name="HL_Sheet_Main_2" hidden="1">#REF!</definedName>
    <definedName name="HL_Sheet_Main_20" hidden="1">#REF!</definedName>
    <definedName name="HL_Sheet_Main_21" hidden="1">#REF!</definedName>
    <definedName name="HL_Sheet_Main_22" hidden="1">#REF!</definedName>
    <definedName name="HL_Sheet_Main_23" hidden="1">#REF!</definedName>
    <definedName name="HL_Sheet_Main_26" hidden="1">#REF!</definedName>
    <definedName name="HL_Sheet_Main_27" hidden="1">#REF!</definedName>
    <definedName name="HL_Sheet_Main_28" hidden="1">#REF!</definedName>
    <definedName name="HL_Sheet_Main_29" hidden="1">#REF!</definedName>
    <definedName name="HL_Sheet_Main_3" hidden="1">#REF!</definedName>
    <definedName name="HL_Sheet_Main_30" hidden="1">#REF!</definedName>
    <definedName name="HL_Sheet_Main_31" hidden="1">#REF!</definedName>
    <definedName name="HL_Sheet_Main_32" hidden="1">#REF!</definedName>
    <definedName name="HL_Sheet_Main_33" hidden="1">#REF!</definedName>
    <definedName name="HL_Sheet_Main_34" hidden="1">#REF!</definedName>
    <definedName name="HL_Sheet_Main_35" hidden="1">#REF!</definedName>
    <definedName name="HL_Sheet_Main_36" hidden="1">#REF!</definedName>
    <definedName name="HL_Sheet_Main_37" hidden="1">#REF!</definedName>
    <definedName name="HL_Sheet_Main_38" hidden="1">#REF!</definedName>
    <definedName name="HL_Sheet_Main_39" hidden="1">#REF!</definedName>
    <definedName name="HL_Sheet_Main_4" hidden="1">#REF!</definedName>
    <definedName name="HL_Sheet_Main_40" hidden="1">#REF!</definedName>
    <definedName name="HL_Sheet_Main_41" hidden="1">#REF!</definedName>
    <definedName name="HL_Sheet_Main_5" hidden="1">#REF!</definedName>
    <definedName name="HL_Sheet_Main_6" hidden="1">#REF!</definedName>
    <definedName name="HL_Sheet_Main_7" hidden="1">#REF!</definedName>
    <definedName name="HL_Sheet_Main_8" hidden="1">#REF!</definedName>
    <definedName name="HL_Sheet_Main_9" hidden="1">#REF!</definedName>
    <definedName name="HL_TOC_6" hidden="1">#REF!</definedName>
    <definedName name="HL_TOC_7" hidden="1">#REF!</definedName>
    <definedName name="HMG" localSheetId="10" hidden="1">{#N/A,#N/A,FALSE,"REPORT"}</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Aggregate" hidden="1">#REF!</definedName>
    <definedName name="hn.CompanyName" hidden="1">#REF!</definedName>
    <definedName name="hn.CompanyUCN" hidden="1">#REF!</definedName>
    <definedName name="hn.ConvertVal1" hidden="1">#REF!</definedName>
    <definedName name="hn.ConvertZero1" localSheetId="10" hidden="1">#REF!,#REF!,#REF!,#REF!,#REF!,#REF!,#REF!,#REF!,#REF!,#REF!</definedName>
    <definedName name="hn.ConvertZero1" hidden="1">#REF!,#REF!,#REF!,#REF!,#REF!,#REF!,#REF!,#REF!,#REF!,#REF!</definedName>
    <definedName name="hn.ConvertZero2" localSheetId="10" hidden="1">#REF!,#REF!,#REF!,#REF!,#REF!,#REF!,#REF!,#REF!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localSheetId="10" hidden="1">#REF!,#REF!,#REF!,#REF!</definedName>
    <definedName name="hn.Delete015" hidden="1">#REF!,#REF!,#REF!,#REF!</definedName>
    <definedName name="hn.domestic" hidden="1">#REF!</definedName>
    <definedName name="hn.DomesticFlag" hidden="1">#REF!</definedName>
    <definedName name="hn.DZ_MultByFXRates" localSheetId="10" hidden="1">#REF!,#REF!,#REF!,#REF!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IssuerID" hidden="1">#REF!</definedName>
    <definedName name="hn.IssuerNameShort" hidden="1">#REF!</definedName>
    <definedName name="hn.LTM_MultByFXRates" localSheetId="10" hidden="1">#REF!,#REF!,#REF!,#REF!,#REF!,#REF!,#REF!</definedName>
    <definedName name="hn.LTM_MultByFXRates" hidden="1">#REF!,#REF!,#REF!,#REF!,#REF!,#REF!,#REF!</definedName>
    <definedName name="hn.LTMData" hidden="1">#REF!</definedName>
    <definedName name="hn.ModelType" hidden="1">"DEAL"</definedName>
    <definedName name="hn.ModelVersion" hidden="1">1</definedName>
    <definedName name="hn.MultbyFXRates" localSheetId="10" hidden="1">#REF!,#REF!,#REF!,#REF!,#REF!,#REF!,#REF!</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localSheetId="10" hidden="1">#REF!,#REF!,#REF!,#REF!,#REF!,#REF!,#REF!</definedName>
    <definedName name="hn.MultbyFxrates4" hidden="1">#REF!,#REF!,#REF!,#REF!,#REF!,#REF!,#REF!</definedName>
    <definedName name="hn.multbyfxrates5" localSheetId="10" hidden="1">#REF!,#REF!,#REF!,#REF!,#REF!</definedName>
    <definedName name="hn.multbyfxrates5" hidden="1">#REF!,#REF!,#REF!,#REF!,#REF!</definedName>
    <definedName name="hn.multbyfxrates6" localSheetId="10" hidden="1">#REF!,#REF!,#REF!,#REF!,#REF!</definedName>
    <definedName name="hn.multbyfxrates6" hidden="1">#REF!,#REF!,#REF!,#REF!,#REF!</definedName>
    <definedName name="hn.multbyfxrates7" localSheetId="10" hidden="1">#REF!,#REF!,#REF!,#REF!,#REF!</definedName>
    <definedName name="hn.multbyfxrates7" hidden="1">#REF!,#REF!,#REF!,#REF!,#REF!</definedName>
    <definedName name="hn.MultByFXRatesBot1" localSheetId="10" hidden="1">#REF!,#REF!,#REF!,#REF!,#REF!,#REF!,#REF!,#REF!,#REF!,#REF!,#REF!,#REF!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localSheetId="10" hidden="1">#REF!,#REF!,#REF!,#REF!,#REF!,#REF!,#REF!,#REF!,#REF!,#REF!,#REF!,#REF!,#REF!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localSheetId="10" hidden="1">#REF!,#REF!,#REF!,#REF!,#REF!,#REF!,#REF!,#REF!,#REF!,#REF!,#REF!,#REF!</definedName>
    <definedName name="hn.MultByFXRatesTop1" hidden="1">#REF!,#REF!,#REF!,#REF!,#REF!,#REF!,#REF!,#REF!,#REF!,#REF!,#REF!,#REF!</definedName>
    <definedName name="hn.MultByFXRatesTop2" localSheetId="10" hidden="1">#REF!,#REF!,#REF!,#REF!,#REF!,#REF!,#REF!,#REF!,#REF!,#REF!,#REF!,#REF!,#REF!,#REF!,#REF!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localSheetId="10" hidden="1">#REF!,#REF!,#REF!,#REF!,#REF!,#REF!,#REF!,#REF!,#REF!,#REF!,#REF!,#REF!</definedName>
    <definedName name="hn.MultByFXRatesTop5" hidden="1">#REF!,#REF!,#REF!,#REF!,#REF!,#REF!,#REF!,#REF!,#REF!,#REF!,#REF!,#REF!</definedName>
    <definedName name="hn.MultByFXRatesTop6" localSheetId="10" hidden="1">#REF!,#REF!,#REF!,#REF!,#REF!,#REF!,#REF!,#REF!,#REF!,#REF!,#REF!,#REF!,#REF!,#REF!,#REF!</definedName>
    <definedName name="hn.MultByFXRatesTop6" hidden="1">#REF!,#REF!,#REF!,#REF!,#REF!,#REF!,#REF!,#REF!,#REF!,#REF!,#REF!,#REF!,#REF!,#REF!,#REF!</definedName>
    <definedName name="hn.MultByFXRatesTop7" localSheetId="10" hidden="1">#REF!,#REF!,#REF!,#REF!,#REF!,#REF!,#REF!,#REF!,#REF!,#REF!,#REF!,#REF!,#REF!,#REF!,#REF!</definedName>
    <definedName name="hn.MultByFXRatesTop7" hidden="1">#REF!,#REF!,#REF!,#REF!,#REF!,#REF!,#REF!,#REF!,#REF!,#REF!,#REF!,#REF!,#REF!,#REF!,#REF!</definedName>
    <definedName name="hn.NoUpload" hidden="1">0</definedName>
    <definedName name="hn.ObligorGrade" hidden="1">#REF!</definedName>
    <definedName name="hn.ParentName" hidden="1">#REF!</definedName>
    <definedName name="hn.ParentUCN" hidden="1">#REF!</definedName>
    <definedName name="hn.ParityCheck"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RolledForward" hidden="1">FALSE</definedName>
    <definedName name="hn.Segment" hidden="1">#REF!</definedName>
    <definedName name="hn.SegmentDesc" hidden="1">#REF!</definedName>
    <definedName name="hn.SegmentID" hidden="1">#REF!</definedName>
    <definedName name="hn.Ticker" hidden="1">#REF!</definedName>
    <definedName name="hn.UserLogin" hidden="1">#REF!</definedName>
    <definedName name="hn.USLast" hidden="1">#REF!</definedName>
    <definedName name="hn.YearLabel" hidden="1">#REF!</definedName>
    <definedName name="hngdh" localSheetId="10" hidden="1">{"NOPCAPEVA",#N/A,FALSE,"Nopat";"FCFCSTAR",#N/A,FALSE,"FCFVAL";"EVAVL",#N/A,FALSE,"EVAVAL";"LEASE",#N/A,FALSE,"OpLease"}</definedName>
    <definedName name="hngdh" hidden="1">{"NOPCAPEVA",#N/A,FALSE,"Nopat";"FCFCSTAR",#N/A,FALSE,"FCFVAL";"EVAVL",#N/A,FALSE,"EVAVAL";"LEASE",#N/A,FALSE,"OpLease"}</definedName>
    <definedName name="hnu"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 localSheetId="10" hidden="1">{#N/A,#N/A,FALSE,"PRJCTED MNTHLY QTY's"}</definedName>
    <definedName name="ho" localSheetId="15" hidden="1">{#N/A,#N/A,FALSE,"PRJCTED MNTHLY QTY's"}</definedName>
    <definedName name="ho" hidden="1">{#N/A,#N/A,FALSE,"PRJCTED MNTHLY QTY's"}</definedName>
    <definedName name="hod" localSheetId="10" hidden="1">{#N/A,#N/A,FALSE,"TS";#N/A,#N/A,FALSE,"Combo";#N/A,#N/A,FALSE,"FAIR";#N/A,#N/A,FALSE,"RBC";#N/A,#N/A,FALSE,"xxxx";#N/A,#N/A,FALSE,"A_D";#N/A,#N/A,FALSE,"WACC";#N/A,#N/A,FALSE,"DCF";#N/A,#N/A,FALSE,"LBO";#N/A,#N/A,FALSE,"AcqMults";#N/A,#N/A,FALSE,"CompMults"}</definedName>
    <definedName name="hod" localSheetId="15"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10"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LA" localSheetId="10" hidden="1">{"AR",#N/A,FALSE,"ASMGTSUM";"INV",#N/A,FALSE,"ASMGTSUM";"HCCOMP",#N/A,FALSE,"ASMGTSUM";"cap.depr",#N/A,FALSE,"ASMGTSUM"}</definedName>
    <definedName name="HOLA" hidden="1">{"AR",#N/A,FALSE,"ASMGTSUM";"INV",#N/A,FALSE,"ASMGTSUM";"HCCOMP",#N/A,FALSE,"ASMGTSUM";"cap.depr",#N/A,FALSE,"ASMGTSUM"}</definedName>
    <definedName name="holme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mes"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ohan"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lohan"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HOMFE" localSheetId="10" hidden="1">{#N/A,#N/A,FALSE,"Assessment";#N/A,#N/A,FALSE,"Staffing";#N/A,#N/A,FALSE,"Hires";#N/A,#N/A,FALSE,"Assumptions"}</definedName>
    <definedName name="HOMFE" hidden="1">{#N/A,#N/A,FALSE,"Assessment";#N/A,#N/A,FALSE,"Staffing";#N/A,#N/A,FALSE,"Hires";#N/A,#N/A,FALSE,"Assumptions"}</definedName>
    <definedName name="HOMFE_1" localSheetId="10" hidden="1">{#N/A,#N/A,FALSE,"Assessment";#N/A,#N/A,FALSE,"Staffing";#N/A,#N/A,FALSE,"Hires";#N/A,#N/A,FALSE,"Assumptions"}</definedName>
    <definedName name="HOMFE_1" hidden="1">{#N/A,#N/A,FALSE,"Assessment";#N/A,#N/A,FALSE,"Staffing";#N/A,#N/A,FALSE,"Hires";#N/A,#N/A,FALSE,"Assumptions"}</definedName>
    <definedName name="HospitalName" localSheetId="10">#REF!</definedName>
    <definedName name="HospitalName">#REF!</definedName>
    <definedName name="HospitalState" localSheetId="10">LEFT(#REF!,2)</definedName>
    <definedName name="HospitalState">LEFT(#REF!,2)</definedName>
    <definedName name="hours" localSheetId="10" hidden="1">{"'777'!$A$1:$H$41"}</definedName>
    <definedName name="hours" localSheetId="15" hidden="1">{"'777'!$A$1:$H$41"}</definedName>
    <definedName name="hours" hidden="1">{"'777'!$A$1:$H$41"}</definedName>
    <definedName name="House_Holding_Name">#REF!</definedName>
    <definedName name="houy" localSheetId="10" hidden="1">{#N/A,#N/A,FALSE,"AD_Purchase";#N/A,#N/A,FALSE,"Credit";#N/A,#N/A,FALSE,"PF Acquisition";#N/A,#N/A,FALSE,"PF Offering"}</definedName>
    <definedName name="houy" localSheetId="15" hidden="1">{#N/A,#N/A,FALSE,"AD_Purchase";#N/A,#N/A,FALSE,"Credit";#N/A,#N/A,FALSE,"PF Acquisition";#N/A,#N/A,FALSE,"PF Offering"}</definedName>
    <definedName name="houy" hidden="1">{#N/A,#N/A,FALSE,"AD_Purchase";#N/A,#N/A,FALSE,"Credit";#N/A,#N/A,FALSE,"PF Acquisition";#N/A,#N/A,FALSE,"PF Offering"}</definedName>
    <definedName name="houy_1" localSheetId="10" hidden="1">{#N/A,#N/A,FALSE,"AD_Purchase";#N/A,#N/A,FALSE,"Credit";#N/A,#N/A,FALSE,"PF Acquisition";#N/A,#N/A,FALSE,"PF Offering"}</definedName>
    <definedName name="houy_1" hidden="1">{#N/A,#N/A,FALSE,"AD_Purchase";#N/A,#N/A,FALSE,"Credit";#N/A,#N/A,FALSE,"PF Acquisition";#N/A,#N/A,FALSE,"PF Offering"}</definedName>
    <definedName name="houy2" localSheetId="10" hidden="1">{#N/A,#N/A,FALSE,"AD_Purchase";#N/A,#N/A,FALSE,"Credit";#N/A,#N/A,FALSE,"PF Acquisition";#N/A,#N/A,FALSE,"PF Offering"}</definedName>
    <definedName name="houy2" hidden="1">{#N/A,#N/A,FALSE,"AD_Purchase";#N/A,#N/A,FALSE,"Credit";#N/A,#N/A,FALSE,"PF Acquisition";#N/A,#N/A,FALSE,"PF Offering"}</definedName>
    <definedName name="hpd_hard_coded_bob" hidden="1">#REF!</definedName>
    <definedName name="HPivot" localSheetId="10">#REF!</definedName>
    <definedName name="HPivot">#REF!</definedName>
    <definedName name="HQ" localSheetId="10"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r" localSheetId="10" hidden="1">{"Data Worksheet",#N/A,FALSE,"CAREY97"}</definedName>
    <definedName name="hr" hidden="1">{"Data Worksheet",#N/A,FALSE,"CAREY97"}</definedName>
    <definedName name="HR_ADJUST_CELL">#REF!</definedName>
    <definedName name="hrd" localSheetId="10" hidden="1">{"NOPCAPEVA",#N/A,FALSE,"Nopat";"FCFCSTAR",#N/A,FALSE,"FCFVAL";"EVAVL",#N/A,FALSE,"EVAVAL";"LEASE",#N/A,FALSE,"OpLease"}</definedName>
    <definedName name="hrd" hidden="1">{"NOPCAPEVA",#N/A,FALSE,"Nopat";"FCFCSTAR",#N/A,FALSE,"FCFVAL";"EVAVL",#N/A,FALSE,"EVAVAL";"LEASE",#N/A,FALSE,"OpLease"}</definedName>
    <definedName name="hrea" localSheetId="10" hidden="1">{"NOPCAPEVA",#N/A,FALSE,"Nopat";"FCFCSTAR",#N/A,FALSE,"FCFVAL";"EVAVL",#N/A,FALSE,"EVAVAL";"LEASE",#N/A,FALSE,"OpLease"}</definedName>
    <definedName name="hrea" hidden="1">{"NOPCAPEVA",#N/A,FALSE,"Nopat";"FCFCSTAR",#N/A,FALSE,"FCFVAL";"EVAVL",#N/A,FALSE,"EVAVAL";"LEASE",#N/A,FALSE,"OpLease"}</definedName>
    <definedName name="hrh" localSheetId="10" hidden="1">{"SUMMARY",#N/A,FALSE,"DEALSUM";"ASSUMPS",#N/A,FALSE,"DEALSUM"}</definedName>
    <definedName name="hrh" hidden="1">{"SUMMARY",#N/A,FALSE,"DEALSUM";"ASSUMPS",#N/A,FALSE,"DEALSUM"}</definedName>
    <definedName name="HS_HOURS">#REF!</definedName>
    <definedName name="hsghgh" hidden="1">#REF!</definedName>
    <definedName name="HSGHSGFSH" hidden="1">#REF!</definedName>
    <definedName name="hsh" hidden="1">#REF!</definedName>
    <definedName name="hsjdjd" hidden="1">#REF!</definedName>
    <definedName name="HspLogonApplication">"'WklyPL'"</definedName>
    <definedName name="HspLogonDomain">"'KEYSTONE'"</definedName>
    <definedName name="HspLogonServer">"'hyplanapp'"</definedName>
    <definedName name="HspLogonUserName">"'Casey Brydle'"</definedName>
    <definedName name="hsrtdgdr" localSheetId="10" hidden="1">{"works expense",#N/A,FALSE,"WORKS EXPENSE"}</definedName>
    <definedName name="hsrtdgdr" hidden="1">{"works expense",#N/A,FALSE,"WORKS EXPENSE"}</definedName>
    <definedName name="hssghsh" hidden="1">#REF!</definedName>
    <definedName name="hssgjhgsj" hidden="1">#REF!</definedName>
    <definedName name="HTable">#REF!</definedName>
    <definedName name="HTableHeader">#REF!</definedName>
    <definedName name="htd" localSheetId="10" hidden="1">{"NOPCAPEVA",#N/A,FALSE,"Nopat";"FCFCSTAR",#N/A,FALSE,"FCFVAL";"EVAVL",#N/A,FALSE,"EVAVAL";"LEASE",#N/A,FALSE,"OpLease"}</definedName>
    <definedName name="htd" hidden="1">{"NOPCAPEVA",#N/A,FALSE,"Nopat";"FCFCSTAR",#N/A,FALSE,"FCFVAL";"EVAVL",#N/A,FALSE,"EVAVAL";"LEASE",#N/A,FALSE,"OpLease"}</definedName>
    <definedName name="html" localSheetId="10" hidden="1">{"'debtors'!$A$1:$I$305","'debtors'!$A$1:$J$285"}</definedName>
    <definedName name="html" hidden="1">{"'debtors'!$A$1:$I$305","'debtors'!$A$1:$J$285"}</definedName>
    <definedName name="HTML_CodePage" hidden="1">1252</definedName>
    <definedName name="HTML_Control" localSheetId="10" hidden="1">{"'IG3Q99'!$A$306:$I$356"}</definedName>
    <definedName name="HTML_Control" localSheetId="15" hidden="1">{"'IG3Q99'!$A$306:$I$356"}</definedName>
    <definedName name="HTML_Control" hidden="1">{"'IG3Q99'!$A$306:$I$356"}</definedName>
    <definedName name="html_control_1" localSheetId="10" hidden="1">{"'IG3Q99'!$A$306:$I$356"}</definedName>
    <definedName name="html_control_1" localSheetId="15" hidden="1">{"'IG3Q99'!$A$306:$I$356"}</definedName>
    <definedName name="html_control_1" hidden="1">{"'IG3Q99'!$A$306:$I$356"}</definedName>
    <definedName name="HTML_Control_1_1" localSheetId="10" hidden="1">{"'PRODUCTIONCOST SHEET'!$B$3:$G$48"}</definedName>
    <definedName name="HTML_Control_1_1" hidden="1">{"'PRODUCTIONCOST SHEET'!$B$3:$G$48"}</definedName>
    <definedName name="HTML_Control_1_1_1" localSheetId="10" hidden="1">{"'PRODUCTIONCOST SHEET'!$B$3:$G$48"}</definedName>
    <definedName name="HTML_Control_1_1_1" hidden="1">{"'PRODUCTIONCOST SHEET'!$B$3:$G$48"}</definedName>
    <definedName name="HTML_Control_1_2" localSheetId="10" hidden="1">{"'PRODUCTIONCOST SHEET'!$B$3:$G$48"}</definedName>
    <definedName name="HTML_Control_1_2" hidden="1">{"'PRODUCTIONCOST SHEET'!$B$3:$G$48"}</definedName>
    <definedName name="HTML_Control_2" localSheetId="10" hidden="1">{"'Sheet1'!$A$1:$J$121"}</definedName>
    <definedName name="HTML_Control_2" hidden="1">{"'Sheet1'!$A$1:$J$121"}</definedName>
    <definedName name="HTML_Control_2_1" localSheetId="10" hidden="1">{"'PRODUCTIONCOST SHEET'!$B$3:$G$48"}</definedName>
    <definedName name="HTML_Control_2_1" hidden="1">{"'PRODUCTIONCOST SHEET'!$B$3:$G$48"}</definedName>
    <definedName name="HTML_Control_3" localSheetId="10" hidden="1">{"'Sheet1'!$A$1:$J$121"}</definedName>
    <definedName name="HTML_Control_3" hidden="1">{"'Sheet1'!$A$1:$J$121"}</definedName>
    <definedName name="HTML_Control_4" localSheetId="10" hidden="1">{"'Sheet1'!$A$1:$J$121"}</definedName>
    <definedName name="HTML_Control_4" hidden="1">{"'Sheet1'!$A$1:$J$121"}</definedName>
    <definedName name="HTML_Control_5" localSheetId="10" hidden="1">{"'Sheet1'!$A$1:$J$121"}</definedName>
    <definedName name="HTML_Control_5" hidden="1">{"'Sheet1'!$A$1:$J$121"}</definedName>
    <definedName name="HTML_Control2" localSheetId="10" hidden="1">{"'Usagetrac-Tot'!$B$88","'Progtrac~Pricing'!$F$39"}</definedName>
    <definedName name="HTML_Control2" hidden="1">{"'Usagetrac-Tot'!$B$88","'Progtrac~Pricing'!$F$39"}</definedName>
    <definedName name="HTML_Control3" localSheetId="10" hidden="1">{"'Usagetrac-Tot'!$B$88","'Progtrac~Pricing'!$F$39"}</definedName>
    <definedName name="HTML_Control3" hidden="1">{"'Usagetrac-Tot'!$B$88","'Progtrac~Pricing'!$F$39"}</definedName>
    <definedName name="HTML_Control4" localSheetId="10" hidden="1">{"'Usagetrac-Tot'!$B$88","'Progtrac~Pricing'!$F$39"}</definedName>
    <definedName name="HTML_Control4" hidden="1">{"'Usagetrac-Tot'!$B$88","'Progtrac~Pricing'!$F$39"}</definedName>
    <definedName name="HtML_Controlb" localSheetId="10" hidden="1">{"'Actual'!$A$1:$F$25"}</definedName>
    <definedName name="HtML_Controlb" hidden="1">{"'Actual'!$A$1:$F$25"}</definedName>
    <definedName name="HTML_Description" hidden="1">""</definedName>
    <definedName name="HTML_Email" hidden="1">""</definedName>
    <definedName name="HTML_Greg" localSheetId="10" hidden="1">{"'Actual'!$A$1:$F$25"}</definedName>
    <definedName name="HTML_Greg" hidden="1">{"'Actual'!$A$1:$F$25"}</definedName>
    <definedName name="HTML_Header" hidden="1">"IG1Q99"</definedName>
    <definedName name="HTML_LastUpdate" hidden="1">"10/26/1999"</definedName>
    <definedName name="HTML_LineAfter" hidden="1">FALSE</definedName>
    <definedName name="HTML_LineBefore" hidden="1">FALSE</definedName>
    <definedName name="HTML_Name" hidden="1">"Judy Sinclair"</definedName>
    <definedName name="HTML_OBDlg2" hidden="1">TRUE</definedName>
    <definedName name="HTML_OBDlg3">TRUE</definedName>
    <definedName name="HTML_OBDlg4" hidden="1">TRUE</definedName>
    <definedName name="HTML_OS" hidden="1">0</definedName>
    <definedName name="HTML_PathFile" hidden="1">"G:\EXCELDAT\CEXJIS\newcoll.htm"</definedName>
    <definedName name="HTML_PathFileMac" hidden="1">"Macintosh HD:Desktop Folder:www=Ward Web Wars:777.html"</definedName>
    <definedName name="HTML_PathTemplate">"C:\My Documents\memberstats.cdk"</definedName>
    <definedName name="HTML_Title" hidden="1">"CNCIG98"</definedName>
    <definedName name="HTML1_1" hidden="1">"[SUMFIN.XLS]IncStmt!$A$1:$AB$116"</definedName>
    <definedName name="HTML1_10" hidden="1">""</definedName>
    <definedName name="HTML1_11" hidden="1">1</definedName>
    <definedName name="HTML1_12" hidden="1">"C:\My Documents\MyHTML.htm"</definedName>
    <definedName name="HTML1_13" hidden="1">#N/A</definedName>
    <definedName name="HTML1_14" hidden="1">#N/A</definedName>
    <definedName name="HTML1_15" hidden="1">#N/A</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 hidden="1">"'[Financials V2.01 Sub Sales Excite 4.xls]Income Statement'!$B$10:$AA$38"</definedName>
    <definedName name="HTML2_10" hidden="1">""</definedName>
    <definedName name="HTML2_11" hidden="1">1</definedName>
    <definedName name="HTML2_12" hidden="1">"C:\My Documents\financials.html"</definedName>
    <definedName name="HTML2_13" hidden="1">#N/A</definedName>
    <definedName name="HTML2_14" hidden="1">#N/A</definedName>
    <definedName name="HTML2_15" hidden="1">#N/A</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Count" hidden="1">1</definedName>
    <definedName name="htr" localSheetId="10" hidden="1">{"NOPCAPEVA",#N/A,FALSE,"Nopat";"FCFCSTAR",#N/A,FALSE,"FCFVAL";"EVAVL",#N/A,FALSE,"EVAVAL";"LEASE",#N/A,FALSE,"OpLease"}</definedName>
    <definedName name="htr" hidden="1">{"NOPCAPEVA",#N/A,FALSE,"Nopat";"FCFCSTAR",#N/A,FALSE,"FCFVAL";"EVAVL",#N/A,FALSE,"EVAVAL";"LEASE",#N/A,FALSE,"OpLease"}</definedName>
    <definedName name="htyhty" hidden="1">#REF!</definedName>
    <definedName name="htyuityuiotio" localSheetId="10" hidden="1">{#N/A,#N/A,FALSE,"REPORT"}</definedName>
    <definedName name="htyuityuiotio" hidden="1">{#N/A,#N/A,FALSE,"REPORT"}</definedName>
    <definedName name="hu"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 localSheetId="10" hidden="1">{"'Inventory &amp; Anal-Cur Wkbk'!$A$7:$AP$71"}</definedName>
    <definedName name="huh" hidden="1">{"'Inventory &amp; Anal-Cur Wkbk'!$A$7:$AP$71"}</definedName>
    <definedName name="hui" localSheetId="10" hidden="1">{#N/A,#N/A,FALSE,"Assump2";#N/A,#N/A,FALSE,"Income2";#N/A,#N/A,FALSE,"Balance2";#N/A,#N/A,FALSE,"DCF Filter";#N/A,#N/A,FALSE,"Trans Assump2";#N/A,#N/A,FALSE,"Combined Income2";#N/A,#N/A,FALSE,"Combined Balance2"}</definedName>
    <definedName name="hui" hidden="1">{#N/A,#N/A,FALSE,"Assump2";#N/A,#N/A,FALSE,"Income2";#N/A,#N/A,FALSE,"Balance2";#N/A,#N/A,FALSE,"DCF Filter";#N/A,#N/A,FALSE,"Trans Assump2";#N/A,#N/A,FALSE,"Combined Income2";#N/A,#N/A,FALSE,"Combined Balance2"}</definedName>
    <definedName name="hui_1" localSheetId="10" hidden="1">{#N/A,#N/A,FALSE,"Assump2";#N/A,#N/A,FALSE,"Income2";#N/A,#N/A,FALSE,"Balance2";#N/A,#N/A,FALSE,"DCF Filter";#N/A,#N/A,FALSE,"Trans Assump2";#N/A,#N/A,FALSE,"Combined Income2";#N/A,#N/A,FALSE,"Combined Balance2"}</definedName>
    <definedName name="hui_1" hidden="1">{#N/A,#N/A,FALSE,"Assump2";#N/A,#N/A,FALSE,"Income2";#N/A,#N/A,FALSE,"Balance2";#N/A,#N/A,FALSE,"DCF Filter";#N/A,#N/A,FALSE,"Trans Assump2";#N/A,#N/A,FALSE,"Combined Income2";#N/A,#N/A,FALSE,"Combined Balance2"}</definedName>
    <definedName name="huikl" hidden="1">#REF!</definedName>
    <definedName name="Husky_A">#REF!</definedName>
    <definedName name="Husky_C">#REF!</definedName>
    <definedName name="Husky_E">#REF!</definedName>
    <definedName name="hutart">#REF!</definedName>
    <definedName name="hw" localSheetId="10"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y"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pertention" localSheetId="10" hidden="1">{#N/A,#N/A,FALSE,"Pharm";#N/A,#N/A,FALSE,"WWCM"}</definedName>
    <definedName name="Hypertention" hidden="1">{#N/A,#N/A,FALSE,"Pharm";#N/A,#N/A,FALSE,"WWCM"}</definedName>
    <definedName name="hypo" localSheetId="10" hidden="1">{#N/A,#N/A,FALSE,"Pharm";#N/A,#N/A,FALSE,"WWCM"}</definedName>
    <definedName name="hypo" hidden="1">{#N/A,#N/A,FALSE,"Pharm";#N/A,#N/A,FALSE,"WWCM"}</definedName>
    <definedName name="hyrt" localSheetId="10" hidden="1">{"NOPCAPEVA",#N/A,FALSE,"Nopat";"FCFCSTAR",#N/A,FALSE,"FCFVAL";"EVAVL",#N/A,FALSE,"EVAVAL";"LEASE",#N/A,FALSE,"OpLease"}</definedName>
    <definedName name="hyrt" hidden="1">{"NOPCAPEVA",#N/A,FALSE,"Nopat";"FCFCSTAR",#N/A,FALSE,"FCFVAL";"EVAVL",#N/A,FALSE,"EVAVAL";"LEASE",#N/A,FALSE,"OpLease"}</definedName>
    <definedName name="hytes" localSheetId="10" hidden="1">{"NOPCAPEVA",#N/A,FALSE,"Nopat";"FCFCSTAR",#N/A,FALSE,"FCFVAL";"EVAVL",#N/A,FALSE,"EVAVAL";"LEASE",#N/A,FALSE,"OpLease"}</definedName>
    <definedName name="hytes" hidden="1">{"NOPCAPEVA",#N/A,FALSE,"Nopat";"FCFCSTAR",#N/A,FALSE,"FCFVAL";"EVAVL",#N/A,FALSE,"EVAVAL";"LEASE",#N/A,FALSE,"OpLease"}</definedName>
    <definedName name="i" localSheetId="10">#REF!</definedName>
    <definedName name="i">#REF!</definedName>
    <definedName name="I060k" localSheetId="10" hidden="1">#REF!</definedName>
    <definedName name="I060k" hidden="1">#REF!</definedName>
    <definedName name="ibnjks" localSheetId="10" hidden="1">{"detail",#N/A,FALSE,"mfg";"summary",#N/A,FALSE,"mfg"}</definedName>
    <definedName name="ibnjks" hidden="1">{"detail",#N/A,FALSE,"mfg";"summary",#N/A,FALSE,"mfg"}</definedName>
    <definedName name="iffx" localSheetId="1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_Loan_Non_Cash" localSheetId="10">#REF!</definedName>
    <definedName name="IG_Loan_Non_Cash">#REF!</definedName>
    <definedName name="ii.oo" localSheetId="10"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10" hidden="1">{"detail",#N/A,FALSE,"mfg";"summary",#N/A,FALSE,"mfg"}</definedName>
    <definedName name="iii" hidden="1">{"detail",#N/A,FALSE,"mfg";"summary",#N/A,FALSE,"mfg"}</definedName>
    <definedName name="iiii" localSheetId="10" hidden="1">{#N/A,#N/A,FALSE,"Bakersfield PCs";#N/A,#N/A,FALSE,"Bremer PCs";#N/A,#N/A,FALSE,"Bakersfield Notebooks"}</definedName>
    <definedName name="iiii" hidden="1">{#N/A,#N/A,FALSE,"Bakersfield PCs";#N/A,#N/A,FALSE,"Bremer PCs";#N/A,#N/A,FALSE,"Bakersfield Notebooks"}</definedName>
    <definedName name="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localSheetId="10" hidden="1">{#N/A,#N/A,FALSE,"TSUM";#N/A,#N/A,FALSE,"shares";#N/A,#N/A,FALSE,"earnout";#N/A,#N/A,FALSE,"Heaty";#N/A,#N/A,FALSE,"self-tend";#N/A,#N/A,FALSE,"self-sum"}</definedName>
    <definedName name="iioo" hidden="1">{#N/A,#N/A,FALSE,"TSUM";#N/A,#N/A,FALSE,"shares";#N/A,#N/A,FALSE,"earnout";#N/A,#N/A,FALSE,"Heaty";#N/A,#N/A,FALSE,"self-tend";#N/A,#N/A,FALSE,"self-sum"}</definedName>
    <definedName name="iioo_1" localSheetId="10" hidden="1">{#N/A,#N/A,FALSE,"TSUM";#N/A,#N/A,FALSE,"shares";#N/A,#N/A,FALSE,"earnout";#N/A,#N/A,FALSE,"Heaty";#N/A,#N/A,FALSE,"self-tend";#N/A,#N/A,FALSE,"self-sum"}</definedName>
    <definedName name="iioo_1" hidden="1">{#N/A,#N/A,FALSE,"TSUM";#N/A,#N/A,FALSE,"shares";#N/A,#N/A,FALSE,"earnout";#N/A,#N/A,FALSE,"Heaty";#N/A,#N/A,FALSE,"self-tend";#N/A,#N/A,FALSE,"self-sum"}</definedName>
    <definedName name="IJHGSFSDGASDA"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IJHGSFSDGASDA"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ijn" localSheetId="10" hidden="1">{#N/A,#N/A,FALSE,"AD_Purchase";#N/A,#N/A,FALSE,"Credit";#N/A,#N/A,FALSE,"PF Acquisition";#N/A,#N/A,FALSE,"PF Offering"}</definedName>
    <definedName name="ijn" hidden="1">{#N/A,#N/A,FALSE,"AD_Purchase";#N/A,#N/A,FALSE,"Credit";#N/A,#N/A,FALSE,"PF Acquisition";#N/A,#N/A,FALSE,"PF Offering"}</definedName>
    <definedName name="ijoi" localSheetId="10"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 localSheetId="10" hidden="1">{#N/A,#N/A,FALSE,"Calc";#N/A,#N/A,FALSE,"Sensitivity";#N/A,#N/A,FALSE,"LT Earn.Dil.";#N/A,#N/A,FALSE,"Dil. AVP"}</definedName>
    <definedName name="ik" localSheetId="15" hidden="1">{#N/A,#N/A,FALSE,"Calc";#N/A,#N/A,FALSE,"Sensitivity";#N/A,#N/A,FALSE,"LT Earn.Dil.";#N/A,#N/A,FALSE,"Dil. AVP"}</definedName>
    <definedName name="ik" hidden="1">{#N/A,#N/A,FALSE,"Calc";#N/A,#N/A,FALSE,"Sensitivity";#N/A,#N/A,FALSE,"LT Earn.Dil.";#N/A,#N/A,FALSE,"Dil. AVP"}</definedName>
    <definedName name="IKG">#REF!</definedName>
    <definedName name="ikghjf" localSheetId="10" hidden="1">{"NOPCAPEVA",#N/A,FALSE,"Nopat";"FCFCSTAR",#N/A,FALSE,"FCFVAL";"EVAVL",#N/A,FALSE,"EVAVAL";"LEASE",#N/A,FALSE,"OpLease"}</definedName>
    <definedName name="ikghjf" hidden="1">{"NOPCAPEVA",#N/A,FALSE,"Nopat";"FCFCSTAR",#N/A,FALSE,"FCFVAL";"EVAVL",#N/A,FALSE,"EVAVAL";"LEASE",#N/A,FALSE,"OpLease"}</definedName>
    <definedName name="ikut" localSheetId="10" hidden="1">{"NOPCAPEVA",#N/A,FALSE,"Nopat";"FCFCSTAR",#N/A,FALSE,"FCFVAL";"EVAVL",#N/A,FALSE,"EVAVAL";"LEASE",#N/A,FALSE,"OpLease"}</definedName>
    <definedName name="ikut" hidden="1">{"NOPCAPEVA",#N/A,FALSE,"Nopat";"FCFCSTAR",#N/A,FALSE,"FCFVAL";"EVAVL",#N/A,FALSE,"EVAVAL";"LEASE",#N/A,FALSE,"OpLease"}</definedName>
    <definedName name="il_cmp" hidden="1">#REF!</definedName>
    <definedName name="ILT">#REF!</definedName>
    <definedName name="Imagyn" localSheetId="10"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portFile">#REF!</definedName>
    <definedName name="Imports" localSheetId="10" hidden="1">{#N/A,#N/A,FALSE,"Set-Up";#N/A,#N/A,FALSE,"Comparison";#N/A,#N/A,FALSE,"AR";#N/A,#N/A,FALSE,"Inv";#N/A,#N/A,FALSE,"Concentrations";#N/A,#N/A,FALSE,"Past Dues";#N/A,#N/A,FALSE,"Trends";#N/A,#N/A,FALSE,"AR Trends";#N/A,#N/A,FALSE,"Inv Trends"}</definedName>
    <definedName name="Imports" localSheetId="15"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#N/A</definedName>
    <definedName name="inbound" localSheetId="10">#REF!</definedName>
    <definedName name="inbound">#REF!</definedName>
    <definedName name="IncludeDataLabels" localSheetId="10">#REF!</definedName>
    <definedName name="IncludeDataLabels">#REF!</definedName>
    <definedName name="IncluedSeriesLabels" localSheetId="10">#REF!</definedName>
    <definedName name="IncluedSeriesLabels">#REF!</definedName>
    <definedName name="Income"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Income">REPT(LOCAL_YEAR_FORMAT,4)&amp;LOCAL_DATE_SEPARATOR&amp;REPT(LOCAL_MONTH_FORMAT,2)&amp;LOCAL_DATE_SEPARATOR&amp;REPT(LOCAL_DAY_FORMAT,2)&amp;" "&amp;REPT(LOCAL_HOUR_FORMAT,2)&amp;LOCAL_TIME_SEPARATOR&amp;REPT(LOCAL_MINUTE_FORMAT,2)&amp;LOCAL_TIME_SEPARATOR&amp;REPT(LOCAL_SECOND_FORMAT,2)</definedName>
    <definedName name="Income_Taxes" localSheetId="10">#REF!</definedName>
    <definedName name="Income_Taxes">#REF!</definedName>
    <definedName name="IncomeStatement">#REF!</definedName>
    <definedName name="IncomeStatementBudgeted">#REF!</definedName>
    <definedName name="INCOMESTMT">#REF!</definedName>
    <definedName name="INCOMESTMTFORE">#REF!</definedName>
    <definedName name="IncreaseMonth">#REF!</definedName>
    <definedName name="Increaserate">#REF!</definedName>
    <definedName name="Index">#REF!</definedName>
    <definedName name="Index_Months">#REF!</definedName>
    <definedName name="Index_Sheet_Kutools">#REF!</definedName>
    <definedName name="Inflation">#REF!</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INSTANCE_NAME_1" hidden="1">"Copy of Consol Financial Report Designer 1-1_20160919_15_11_27_1111.xls"</definedName>
    <definedName name="INFO_REPORT_CODE" hidden="1">""</definedName>
    <definedName name="INFO_REPORT_ID" hidden="1">"2"</definedName>
    <definedName name="INFO_REPORT_NAME" hidden="1">"Consol Financial Reports 2-0 (MAS)"</definedName>
    <definedName name="INFO_REPORT_NAME_1" hidden="1">"Copy of Consol Financial Report Designer 1-1"</definedName>
    <definedName name="INFO_RUN_USER" hidden="1">""</definedName>
    <definedName name="INFO_RUN_WORKSTATION" hidden="1">"DDP-CTX01"</definedName>
    <definedName name="INFO_RUN_WORKSTATION_1" hidden="1">"BG-ADMIN-AB"</definedName>
    <definedName name="ingjks" localSheetId="10" hidden="1">{"detail",#N/A,FALSE,"mfg";"summary",#N/A,FALSE,"mfg"}</definedName>
    <definedName name="ingjks" hidden="1">{"detail",#N/A,FALSE,"mfg";"summary",#N/A,FALSE,"mfg"}</definedName>
    <definedName name="iniske" localSheetId="10" hidden="1">{"detail",#N/A,FALSE,"mfg";"summary",#N/A,FALSE,"mfg"}</definedName>
    <definedName name="iniske" hidden="1">{"detail",#N/A,FALSE,"mfg";"summary",#N/A,FALSE,"mfg"}</definedName>
    <definedName name="inksl" localSheetId="10" hidden="1">{"detail",#N/A,FALSE,"mfg";"summary",#N/A,FALSE,"mfg"}</definedName>
    <definedName name="inksl" hidden="1">{"detail",#N/A,FALSE,"mfg";"summary",#N/A,FALSE,"mfg"}</definedName>
    <definedName name="Input_Account">#REF!</definedName>
    <definedName name="Input_Amount">#REF!</definedName>
    <definedName name="Input_Category">#REF!</definedName>
    <definedName name="Input_Category1">#REF!</definedName>
    <definedName name="Input_Category2">#REF!</definedName>
    <definedName name="Input_Month">#REF!</definedName>
    <definedName name="Input_Yr">#REF!</definedName>
    <definedName name="Insurance">#REF!</definedName>
    <definedName name="int.switch">#REF!</definedName>
    <definedName name="int_ext_sel" hidden="1">2</definedName>
    <definedName name="Interest" localSheetId="10" hidden="1">{"'debtors'!$A$1:$I$305","'debtors'!$A$1:$J$285"}</definedName>
    <definedName name="Interest" hidden="1">{"'debtors'!$A$1:$I$305","'debtors'!$A$1:$J$285"}</definedName>
    <definedName name="Interest_Expense">#REF!</definedName>
    <definedName name="Interest_Income">#REF!</definedName>
    <definedName name="Interest_Rate" localSheetId="10">#REF!</definedName>
    <definedName name="Interest_Rate">#REF!</definedName>
    <definedName name="InterestRate">#REF!</definedName>
    <definedName name="Interval_cutoff">#REF!</definedName>
    <definedName name="IntroPrintArea" localSheetId="10" hidden="1">#REF!</definedName>
    <definedName name="IntroPrintArea" localSheetId="9" hidden="1">#REF!</definedName>
    <definedName name="IntroPrintArea" localSheetId="8" hidden="1">#REF!</definedName>
    <definedName name="IntroPrintArea" localSheetId="16" hidden="1">#REF!</definedName>
    <definedName name="IntroPrintArea" hidden="1">#REF!</definedName>
    <definedName name="inv">#REF!</definedName>
    <definedName name="inv_1" localSheetId="10" hidden="1">{#N/A,#N/A,FALSE,"Inc Month";#N/A,#N/A,FALSE,"Inc YTD";#N/A,#N/A,FALSE,"Bal Sheet";#N/A,#N/A,FALSE,"Base Cert";#N/A,#N/A,FALSE,"AR-Detail";#N/A,#N/A,FALSE,"PAC Bal";#N/A,#N/A,FALSE,"PAC Cash";#N/A,#N/A,FALSE,"Equity";#N/A,#N/A,FALSE,"PEI Bal";#N/A,#N/A,FALSE,"PEI Cash"}</definedName>
    <definedName name="inv_1" hidden="1">{#N/A,#N/A,FALSE,"Inc Month";#N/A,#N/A,FALSE,"Inc YTD";#N/A,#N/A,FALSE,"Bal Sheet";#N/A,#N/A,FALSE,"Base Cert";#N/A,#N/A,FALSE,"AR-Detail";#N/A,#N/A,FALSE,"PAC Bal";#N/A,#N/A,FALSE,"PAC Cash";#N/A,#N/A,FALSE,"Equity";#N/A,#N/A,FALSE,"PEI Bal";#N/A,#N/A,FALSE,"PEI Cash"}</definedName>
    <definedName name="Inventories">#REF!</definedName>
    <definedName name="Inventory"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Summary">#REF!</definedName>
    <definedName name="Investor1" localSheetId="10">#REF!</definedName>
    <definedName name="Investor1">#REF!</definedName>
    <definedName name="invq" localSheetId="10">#REF!</definedName>
    <definedName name="invq">#REF!</definedName>
    <definedName name="io" localSheetId="10"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lio" hidden="1">#REF!</definedName>
    <definedName name="iop" localSheetId="10" hidden="1">{#N/A,"PURCHM",FALSE,"Business Analysis";#N/A,"SPADD",FALSE,"Business Analysis"}</definedName>
    <definedName name="iop" hidden="1">{#N/A,"PURCHM",FALSE,"Business Analysis";#N/A,"SPADD",FALSE,"Business Analysis"}</definedName>
    <definedName name="IP" localSheetId="10" hidden="1">{#N/A,#N/A,FALSE,"Pharm";#N/A,#N/A,FALSE,"WWCM"}</definedName>
    <definedName name="IP" hidden="1">{#N/A,#N/A,FALSE,"Pharm";#N/A,#N/A,FALSE,"WWCM"}</definedName>
    <definedName name="IPO" hidden="1">"c89"</definedName>
    <definedName name="IPRD_mites" localSheetId="10" hidden="1">{"bs",#N/A,FALSE,"SCF"}</definedName>
    <definedName name="IPRD_mites" hidden="1">{"bs",#N/A,FALSE,"SCF"}</definedName>
    <definedName name="IPRD_Pollen" localSheetId="10" hidden="1">{"bs",#N/A,FALSE,"SCF"}</definedName>
    <definedName name="IPRD_Pollen" hidden="1">{"bs",#N/A,FALSE,"SCF"}</definedName>
    <definedName name="IQ" hidden="1">42089.6798148148</definedName>
    <definedName name="IQ_0_PCT_RISK_WEIGHT_TOTAL_THRIFT" hidden="1">"c25055"</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50_PCT_RISK_WEIGHT_TOTAL_THRIFT" hidden="1">"c25069"</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"c1449"</definedName>
    <definedName name="IQ_ACCOUNT_CHANGE2" hidden="1">"c413"</definedName>
    <definedName name="IQ_ACCOUNT_CODE_INTEREST_PENALTIES" hidden="1">"c15741"</definedName>
    <definedName name="IQ_Account_delta" hidden="1">"c413"</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OUNTS_PAY_1" hidden="1">"c1343"</definedName>
    <definedName name="IQ_ACCOUNTS_PAY2" hidden="1">"c32"</definedName>
    <definedName name="IQ_ACCOUNTS_PAYABLE_THRIFT" hidden="1">"c24910"</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"c1341"</definedName>
    <definedName name="IQ_ACCRUED_EXP2" hidden="1">"c8"</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INTEREST_RECEIVABLE_FFIEC" hidden="1">"c12842"</definedName>
    <definedName name="IQ_ACCRUED_MORTGAGE_INT_RECEIVABLE_THRIFT" hidden="1">"c24849"</definedName>
    <definedName name="IQ_ACCRUED_NON_MORTGAGE_INT_RECEIVABLE_THRIFT" hidden="1">"c24866"</definedName>
    <definedName name="IQ_ACCRUED_TAXES_THRIFT" hidden="1">"c24909"</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_DEP_1" hidden="1">"c1340"</definedName>
    <definedName name="IQ_ACCUM_DEP2" hidden="1">"c7"</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 hidden="1">"c7"</definedName>
    <definedName name="IQ_ADD_PAID_IN" hidden="1">"c1344"</definedName>
    <definedName name="IQ_ADD_PAID_IN_1" hidden="1">"c1344"</definedName>
    <definedName name="IQ_ADD_PAIN_IN2"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MIN_RATIO" hidden="1">"c2784"</definedName>
    <definedName name="IQ_ADVANCES_FROM_FHLB_THRIFT" hidden="1">"c24900"</definedName>
    <definedName name="IQ_ADVANCES_TAXES_INSURANCE_THRIFT" hidden="1">"c24850"</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ELIGIBLE_100_PCT_RISK_WEIGHT_THRIFT" hidden="1">"c25072"</definedName>
    <definedName name="IQ_ALL_OTHER_DEPOSITS_FOREIGN_DEP_FFIEC" hidden="1">"c15347"</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EXCL_CONSUMER_LL_REC_DOM_FFIEC" hidden="1">"c25857"</definedName>
    <definedName name="IQ_ALL_OTHER_LOANS_EXCL_CONSUMER_LL_REC_FFIEC" hidden="1">"c25853"</definedName>
    <definedName name="IQ_ALL_OTHER_LOANS_RECOV_FFIEC" hidden="1">"c13205"</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TRADING_LIABILITIES_DOM_FFIEC" hidden="1">"c12942"</definedName>
    <definedName name="IQ_ALL_OTHER_UNUSED_FFIEC" hidden="1">"c25861"</definedName>
    <definedName name="IQ_ALL_STATEMENTS_AP" hidden="1">"c25895"</definedName>
    <definedName name="IQ_ALL_STATEMENTS_AP_CO" hidden="1">"c25896"</definedName>
    <definedName name="IQ_ALL_STATEMENTS_INDUSTRY" hidden="1">"c25891"</definedName>
    <definedName name="IQ_ALL_STATEMENTS_INDUSTRY_CO" hidden="1">"c25892"</definedName>
    <definedName name="IQ_ALL_STATEMENTS_STANDARD" hidden="1">"c25893"</definedName>
    <definedName name="IQ_ALL_STATEMENTS_STANDARD_CO" hidden="1">"c25894"</definedName>
    <definedName name="IQ_ALLOW_BORROW_CONST" hidden="1">"c15"</definedName>
    <definedName name="IQ_ALLOW_CONST" hidden="1">"c1342"</definedName>
    <definedName name="IQ_ALLOW_CONST_1" hidden="1">"c1342"</definedName>
    <definedName name="IQ_ALLOW_CONST2"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_MORTGAGE_LL_LOSSES_THRIFT" hidden="1">"c24851"</definedName>
    <definedName name="IQ_ALLOW_NON_MORTGAGE_LOAN_LL_THRIFT" hidden="1">"c24867"</definedName>
    <definedName name="IQ_ALLOWABLE_T2_CAPITAL_FFIEC" hidden="1">"c13150"</definedName>
    <definedName name="IQ_ALLOWABLE_TIER_2_CAPITAL_T2_THRIFT" hidden="1">"c25046"</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AMT_INCLUDED_IN_ALLOWANCE_LOAN_LEASE_LOSSES_PURCHASED_CREDIT_IMPAIRED_LOANS_THRIFT" hidden="1">"c25239"</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LLOWANCES_LL_LOSSES_T2_THRIFT" hidden="1">"c25043"</definedName>
    <definedName name="IQ_AMENDED_BALANCE_PREVIOUS_YR_FDIC" hidden="1">"c6499"</definedName>
    <definedName name="IQ_AMORT_EXP_IMPAIRMENT_OTHER_INTANGIBLE_ASSETS_FFIEC" hidden="1">"c13026"</definedName>
    <definedName name="IQ_AMORT_EXPENSE_FDIC" hidden="1">"c6677"</definedName>
    <definedName name="IQ_AMORT_LOAN_SERVICING_ASSETS_LIABILITIES_THRIFT" hidden="1">"c24767"</definedName>
    <definedName name="IQ_AMORTIZATION" hidden="1">"c1591"</definedName>
    <definedName name="IQ_AMORTIZATION_1" hidden="1">"c1591"</definedName>
    <definedName name="IQ_AMORTIZATION2" hidden="1">"c1471"</definedName>
    <definedName name="IQ_AMORTIZED_COST_FDIC" hidden="1">"c6426"</definedName>
    <definedName name="IQ_AMOUNT_FINANCIAL_LOC_CONVEYED_FFIEC" hidden="1">"c13250"</definedName>
    <definedName name="IQ_AMOUNT_PERFORMANCE_LOC_CONVEYED_FFIEC" hidden="1">"c13252"</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OUT" hidden="1">"c2145"</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OCI_THRIFT" hidden="1">"c24920"</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IC_THRIFT" hidden="1">"c24918"</definedName>
    <definedName name="IQ_APPLICABLE_INCOME_TAXES_AVG_ASSETS_THRIFT" hidden="1">"c25657"</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_DATE_RT" hidden="1">"ASKDATE"</definedName>
    <definedName name="IQ_ASK_NUM_ORDERS_RT" hidden="1">"ASKNUMBERORDERS"</definedName>
    <definedName name="IQ_ASK_PRICE_RT" hidden="1">"ASK"</definedName>
    <definedName name="IQ_ASK_TIME_RT" hidden="1">"ASKTIME"</definedName>
    <definedName name="IQ_ASK_VOLUME_RT" hidden="1">"ASKVOLUME"</definedName>
    <definedName name="IQ_ASKPRICE" hidden="1">"c13927"</definedName>
    <definedName name="IQ_ASSET_BACKED_FDIC" hidden="1">"c6301"</definedName>
    <definedName name="IQ_ASSET_BACKED_SEC_INV_SEC_THRIFT" hidden="1">"c25674"</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FAIR_VALUE" hidden="1">"c13843"</definedName>
    <definedName name="IQ_ASSETS_HELD_FDIC" hidden="1">"c6305"</definedName>
    <definedName name="IQ_ASSETS_HFS_THRIFT" hidden="1">"c24934"</definedName>
    <definedName name="IQ_ASSETS_LEVEL_1" hidden="1">"c13839"</definedName>
    <definedName name="IQ_ASSETS_LEVEL_2" hidden="1">"c13840"</definedName>
    <definedName name="IQ_ASSETS_LEVEL_3" hidden="1">"c13841"</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AME_AP" hidden="1">"c8921"</definedName>
    <definedName name="IQ_ASSETS_NAME_AP_ABS" hidden="1">"c8940"</definedName>
    <definedName name="IQ_ASSETS_NETTING_OTHER_ADJUSTMENTS" hidden="1">"c13842"</definedName>
    <definedName name="IQ_ASSETS_NON_INCLUDABLE_SUBS_ADJUSTED_ASSETS_THRIFT" hidden="1">"c25031"</definedName>
    <definedName name="IQ_ASSETS_OPER_LEASE_DEPR" hidden="1">"c2070"</definedName>
    <definedName name="IQ_ASSETS_OPER_LEASE_GROSS" hidden="1">"c2071"</definedName>
    <definedName name="IQ_ASSETS_PER_EMPLOYEE_FDIC" hidden="1">"c6737"</definedName>
    <definedName name="IQ_ASSETS_PER_EMPLOYEE_THRIFT" hidden="1">"c25783"</definedName>
    <definedName name="IQ_ASSETS_REPRICE_ASSETS_TOT_FFIEC" hidden="1">"c13454"</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HRIFT" hidden="1">"c24862"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BEARING_FUNDS_AVG_ASSETS_THRIFT" hidden="1">"c25646"</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MORTGAGE_LOANS_MBS_THRIFT" hidden="1">"c24948"</definedName>
    <definedName name="IQ_AVG_NON_MORTGAGE_LOANS_THRIFT" hidden="1">"c24949"</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TOTAL_ASSETS_THRIFT" hidden="1">"c24946"</definedName>
    <definedName name="IQ_AVG_TOTAL_BORROWINGS_THRIFT" hidden="1">"c24951"</definedName>
    <definedName name="IQ_AVG_VOLUME" hidden="1">"c1346"</definedName>
    <definedName name="IQ_AVG_VOLUME_1" hidden="1">"c1346"</definedName>
    <definedName name="IQ_AVG_VOLUME2"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ENCHMARK_SECURITY" hidden="1">"c2154"</definedName>
    <definedName name="IQ_BENCHMARK_SPRD" hidden="1">"c2153"</definedName>
    <definedName name="IQ_BENCHMARK_YIELD" hidden="1">"c8955"</definedName>
    <definedName name="IQ_BETA" hidden="1">"c2133"</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ETA2" hidden="1">"c88"</definedName>
    <definedName name="IQ_BID_DATE_RT" hidden="1">"BIDDATE"</definedName>
    <definedName name="IQ_BID_NUM_ORDERS_RT" hidden="1">"BIDNUMBERORDERS"</definedName>
    <definedName name="IQ_BID_PRICE_RT" hidden="1">"BID"</definedName>
    <definedName name="IQ_BID_TIME_RT" hidden="1">"BIDTIME"</definedName>
    <definedName name="IQ_BID_VOLUME_RT" hidden="1">"BIDVOLUME"</definedName>
    <definedName name="IQ_BIDPRICE" hidden="1">"c13926"</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localSheetId="3" hidden="1">"c223"</definedName>
    <definedName name="IQ_BONDRATING_FITCH" localSheetId="11" hidden="1">"c223"</definedName>
    <definedName name="IQ_BONDRATING_FITCH" hidden="1">"IQ_BONDRATING_FITCH"</definedName>
    <definedName name="IQ_BONDRATING_FITCH_DATE" hidden="1">"c241"</definedName>
    <definedName name="IQ_BONDRATING_MOODYS" hidden="1">"IQ_BONDRATING_MOODYS"</definedName>
    <definedName name="IQ_BONDRATING_SP" localSheetId="3" hidden="1">"c224"</definedName>
    <definedName name="IQ_BONDRATING_SP" localSheetId="11" hidden="1">"c224"</definedName>
    <definedName name="IQ_BONDRATING_SP" hidden="1">"IQ_BONDRATING_SP"</definedName>
    <definedName name="IQ_BONDRATING_SP_DATE" hidden="1">"c242"</definedName>
    <definedName name="IQ_BOOK_VALUE" localSheetId="3" hidden="1">"c68"</definedName>
    <definedName name="IQ_BOOK_VALUE" localSheetId="11" hidden="1">"c68"</definedName>
    <definedName name="IQ_BOOK_VALUE" hidden="1">"IQ_BOOK_VALUE"</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OVER_SHARES_1" hidden="1">"c1349"</definedName>
    <definedName name="IQ_BV_OVER_SHARES2" hidden="1">"c100"</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CONTRIBUTIONS_SAVINGS_ASSOCIATION_THRIFT" hidden="1">"c25014"</definedName>
    <definedName name="IQ_CAPITAL_LEASE" hidden="1">"c1350"</definedName>
    <definedName name="IQ_CAPITAL_LEASE_1" hidden="1">"c1350"</definedName>
    <definedName name="IQ_CAPITAL_LEASE2"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_THRIFT" hidden="1">"c24763"</definedName>
    <definedName name="IQ_CAPITALIZED_INTEREST" localSheetId="3" hidden="1">"c3460"</definedName>
    <definedName name="IQ_CAPITALIZED_INTEREST" localSheetId="11" hidden="1">"c3460"</definedName>
    <definedName name="IQ_CAPITALIZED_INTEREST" hidden="1">"c2076"</definedName>
    <definedName name="IQ_CAPITALIZED_INTEREST_1"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PITALIZED_INTEREST2" hidden="1">"c2076"</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 hidden="1">"c1458"</definedName>
    <definedName name="IQ_CASH_1" hidden="1">"c1458"</definedName>
    <definedName name="IQ_CASH_ACQUIRE_CF" localSheetId="3" hidden="1">"c116"</definedName>
    <definedName name="IQ_CASH_ACQUIRE_CF" localSheetId="11" hidden="1">"c116"</definedName>
    <definedName name="IQ_CASH_ACQUIRE_CF" hidden="1">"c1630"</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NET_INCOME_THRIFT" hidden="1">"c25634"</definedName>
    <definedName name="IQ_CASH_DUE_BANKS" hidden="1">"c1351"</definedName>
    <definedName name="IQ_CASH_DUE_BANKS_1"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LIGIBLE_0_PCT_RISK_WEIGHT_THRIFT" hidden="1">"c25051"</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AP" hidden="1">"c25889"</definedName>
    <definedName name="IQ_CASH_FLOW_AP_CO" hidden="1">"c25890"</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INDUSTRY" hidden="1">"c25885"</definedName>
    <definedName name="IQ_CASH_FLOW_INDUSTRY_CO" hidden="1">"c25886"</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ANDARD" hidden="1">"c25887"</definedName>
    <definedName name="IQ_CASH_FLOW_STANDARD_CO" hidden="1">"c25888"</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NON_INT_EARNING_DEPOSITS_THRIFT" hidden="1">"c24818"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SH2" hidden="1">"c118"</definedName>
    <definedName name="IQ_CATASTROPHIC_LOSS_RATIO" hidden="1">"c15881"</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_REUT_CURRENCY_CURRENCY_REUT" hidden="1">"c12526"</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NGES_WORK_CAP_1"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SVA_THRIFT" hidden="1">"c25103"</definedName>
    <definedName name="IQ_CHARGE_OFFS_TOTAL_AVG_LOANS" hidden="1">"c165"</definedName>
    <definedName name="IQ_CHARGE_OFFS_TVA_THRIFT" hidden="1">"c25110"</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IMS_DOMESTIC_DEPOSITORY_INSTITUTIONS_ELIGIBLE_20_PCT_RISK_WEIGHT_THRIFT" hidden="1">"c25060"</definedName>
    <definedName name="IQ_CLAIMS_FHLBS_ELIGIBLE_20_PCT_RISK_WEIGHT_THRIFT" hidden="1">"c25058"</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AMILY_LOANS_TOTAL_LOANS_THRIFT" hidden="1">"c25742"</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LOANS_GROSS_LOANS_THRIFT" hidden="1">"c25724"</definedName>
    <definedName name="IQ_CLOSED_END_LOANS_RISK_BASED_CAPITAL_THRIFT" hidden="1">"c25709"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D_PURCHASED_COMM_NON_MORTGAGE_LOANS_THRIFT" hidden="1">"c25339"</definedName>
    <definedName name="IQ_CLOSED_PURCHASED_CONSUMER_NON_MORTGAGE_LOANS_THRIFT" hidden="1">"c25341"</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DE_QUALITY_PRICE_BID_ASK_RT" hidden="1">"BIDASKQUALITY"</definedName>
    <definedName name="IQ_CODE_QUALITY_PRICE_RT" hidden="1">"PRICEQUALITY"</definedName>
    <definedName name="IQ_COGS" hidden="1">"c175"</definedName>
    <definedName name="IQ_COLLATERAL_TYPE" hidden="1">"c8954"</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_LOANS_FFIEC" hidden="1">"c13872"</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_TOT_LOANS_FFIEC" hidden="1">"c13871"</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_UNUSED_FFIEC" hidden="1">"c25859"</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"c1358"</definedName>
    <definedName name="IQ_COMMON_STOCK_DIVIDENDS_DECLARED_SAVINGS_ASSOCIATION_THRIFT" hidden="1">"c25011"</definedName>
    <definedName name="IQ_COMMON_STOCK_FFIEC" hidden="1">"c12876"</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_BENEFITS" hidden="1">"c213"</definedName>
    <definedName name="IQ_COMPANY_ADDRESS" hidden="1">"c214"</definedName>
    <definedName name="IQ_COMPANY_ID" hidden="1">"c3513"</definedName>
    <definedName name="IQ_COMPANY_ID_QUICK_MATCH" hidden="1">"c16227"</definedName>
    <definedName name="IQ_COMPANY_MAIN_FAX" hidden="1">"c18016"</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1_4_DWELLING_UNITS_THRIFT" hidden="1">"c24839"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LOANS_TOTAL_LOANS" hidden="1">"c15711"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TRUCTION_RISK_BASED_FFIEC" hidden="1">"c13422"</definedName>
    <definedName name="IQ_CONSULTING_FFIEC" hidden="1">"c13055"</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L_REC_FFIEC" hidden="1">"c25869"</definedName>
    <definedName name="IQ_CONSUMER_LOANS" hidden="1">"c223"</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LL_REC_DOM_FFIEC" hidden="1">"c12911"</definedName>
    <definedName name="IQ_CONSUMER_LOANS_NON_ACCRUAL_FFIEC" hidden="1">"c25831"</definedName>
    <definedName name="IQ_CONSUMER_LOANS_RECOV_FFIEC" hidden="1">"c25839"</definedName>
    <definedName name="IQ_CONSUMER_LOANS_THRIFT" hidden="1">"c24858"</definedName>
    <definedName name="IQ_CONSUMER_LOANS_TOT_LOANS_FFIEC" hidden="1">"c13875"</definedName>
    <definedName name="IQ_CONSUMER_LOANS_TOTAL_LOANS" hidden="1">"c15712"</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ASSETS_THRIFT" hidden="1">"c25622"</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UTOR_CIQID" hidden="1">"c13742"</definedName>
    <definedName name="IQ_CONTRIBUTOR_CODE_RT" hidden="1">"CONTRIBUTOR"</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HRIFT" hidden="1">"c25089"</definedName>
    <definedName name="IQ_CORE_DEPOSITS_TOT_DEPOSITS_FFIEC" hidden="1">"c13911"</definedName>
    <definedName name="IQ_CORE_DEPOSITS_TOTAL_ASSETS_THRIFT" hidden="1">"c25699"</definedName>
    <definedName name="IQ_CORE_DEPOSITS_TOTAL_DEPOSITS_THRIFT" hidden="1">"c25782"</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MUNICIPAL_TRUSTEESHIPS_NUMBER_ISSUES_THRIFT" hidden="1">"c25441"</definedName>
    <definedName name="IQ_CORPORATE_MUNICIPAL_TRUSTEESHIPS_PRINCIPAL_AMT_OUTSTANDING_THRIFT" hidden="1">"c25440"</definedName>
    <definedName name="IQ_CORPORATE_OVER_TOTAL" hidden="1">"c13767"</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ED_FUNDS_PURCHASED_THRIFT" hidden="1">"c25681"</definedName>
    <definedName name="IQ_COST_FOREIGN_DEPOSITS_FFIEC" hidden="1">"c13490"</definedName>
    <definedName name="IQ_COST_FUNDS" hidden="1">"c15726"</definedName>
    <definedName name="IQ_COST_FUNDS_PURCHASED_FFIEC" hidden="1">"c13491"</definedName>
    <definedName name="IQ_COST_INT_BEARING_DEPOSITS_THRIFT" hidden="1">"c25680"</definedName>
    <definedName name="IQ_COST_INT_DEPOSITS_FFIEC" hidden="1">"c13489"</definedName>
    <definedName name="IQ_COST_OF_FUNDING_ASSETS_FDIC" hidden="1">"c6725"</definedName>
    <definedName name="IQ_COST_OTHER_BORROWED_FUNDS_THRIFT" hidden="1">"c25682"</definedName>
    <definedName name="IQ_COST_REV" hidden="1">"c226"</definedName>
    <definedName name="IQ_COST_REVENUE" hidden="1">"c1359"</definedName>
    <definedName name="IQ_COST_REVENUE_1"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GROSS_LOANS_THRIFT" hidden="1">"c25734"</definedName>
    <definedName name="IQ_CREDIT_CARD_LOANS_NON_ACCRUAL_FFIEC" hidden="1">"c13324"</definedName>
    <definedName name="IQ_CREDIT_CARD_LOANS_OUTSTANDING_BUS_NON_MORTGAGE_COMM_LOANS_THRIFT" hidden="1">"c24856"</definedName>
    <definedName name="IQ_CREDIT_CARD_LOANS_RECOV_FFIEC" hidden="1">"c13202"</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NET_CHARGE_OFFS_FDIC" hidden="1">"c6654"</definedName>
    <definedName name="IQ_CREDIT_CARD_RECOVERIES_FDIC" hidden="1">"c6653"</definedName>
    <definedName name="IQ_CREDIT_CARD_RELATED_LL_REC_FFIEC" hidden="1">"c25870"</definedName>
    <definedName name="IQ_CREDIT_CARD_RISK_BASED_FFIEC" hidden="1">"c13433"</definedName>
    <definedName name="IQ_CREDIT_CARDS_CONSUMER_LOANS_FFIEC" hidden="1">"c12822"</definedName>
    <definedName name="IQ_CREDIT_CARDS_CONSUMER_OPEN_END_LINES_CREDIT_THRIFT" hidden="1">"c25609"</definedName>
    <definedName name="IQ_CREDIT_CARDS_LL_REC_FFIEC" hidden="1">"c12889"</definedName>
    <definedName name="IQ_CREDIT_CARDS_LOANS_TRADING_DOM_FFIEC" hidden="1">"c12933"</definedName>
    <definedName name="IQ_CREDIT_CARDS_OTHER_OPEN_END_LINES_CREDIT_THRIFT" hidden="1">"c25610"</definedName>
    <definedName name="IQ_CREDIT_CARDS_THRIFT" hidden="1">"c24864"</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_EFFECT_CHANGE_ACCOUNTING_FFIEC" hidden="1">"c25849"</definedName>
    <definedName name="IQ_CUMULATIVE_PREF_THRIFT" hidden="1">"c24915"</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CY_RT" hidden="1">"ISOCURRENCY"</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"c1362"</definedName>
    <definedName name="IQ_DAYS_PAYABLE_OUT" hidden="1">"c274"</definedName>
    <definedName name="IQ_DAYS_SALES_OUT" hidden="1">"c275"</definedName>
    <definedName name="IQ_DAYS_SALES_OUTST" hidden="1">"c1363"</definedName>
    <definedName name="IQ_DAYS_SALES_OUTST_1"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LESS_THAN_1YR_INV_SEC_THRIFT" hidden="1">"c25676"</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BT_SECURITIES_OVER_1YR_INV_SEC_THRIFT" hidden="1">"c25677"</definedName>
    <definedName name="IQ_DECREASE_INT_EXPENSE_FFIEC" hidden="1">"c13064"</definedName>
    <definedName name="IQ_DEDUCTION_EQUITY_INV_OTHER_ASSETS_THRIFT" hidden="1">"c25047"</definedName>
    <definedName name="IQ_DEDUCTION_LOW_LEVEL_RECOURSE_RESIDUAL_INTERESTS_THRIFT" hidden="1">"c25048"</definedName>
    <definedName name="IQ_DEDUCTIONS_TOTAL_RISK_BASED_CAPITAL_FFIEC" hidden="1">"c13152"</definedName>
    <definedName name="IQ_DEF_ACQ_CST" hidden="1">"c1364"</definedName>
    <definedName name="IQ_DEF_ACQ_CST_1"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"c1447"</definedName>
    <definedName name="IQ_DEFERRED_INCOME_TAXES_THRIFT" hidden="1">"c24911"</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CONSOLIDATED_SUBSIDIARIES_THRIFT" hidden="1">"c25570"</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ACQUIRED_NET_DISPOSITIONS_IN_BULK_TRANSACTIONS_THRIFT" hidden="1">"c25345"</definedName>
    <definedName name="IQ_DEPOSITS_AMOUNTS_NETTED_THRIFT" hidden="1">"c25534"</definedName>
    <definedName name="IQ_DEPOSITS_DOM_FFIEC" hidden="1">"c12850"</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1_THRIFT" hidden="1">"c25530"</definedName>
    <definedName name="IQ_DEPOSITS_LEVEL_2_FFIEC" hidden="1">"c13229"</definedName>
    <definedName name="IQ_DEPOSITS_LEVEL_2_THRIFT" hidden="1">"c25531"</definedName>
    <definedName name="IQ_DEPOSITS_LEVEL_3_FFIEC" hidden="1">"c13237"</definedName>
    <definedName name="IQ_DEPOSITS_LEVEL_3_THRIFT" hidden="1">"c25532"</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_AMORT" hidden="1">"c1360"</definedName>
    <definedName name="IQ_DEPRE_AMORT_1" hidden="1">"c1360"</definedName>
    <definedName name="IQ_DEPRE_AMORT_SUPPL" hidden="1">"c1593"</definedName>
    <definedName name="IQ_DEPRE_DEPLE" hidden="1">"c1361"</definedName>
    <definedName name="IQ_DEPRE_DEPLE_1" hidden="1">"c1361"</definedName>
    <definedName name="IQ_DEPRE_SUPP" hidden="1">"c1443"</definedName>
    <definedName name="IQ_DERIVATIVE_ASSETS_AMOUNTS_NETTED_THRIFT" hidden="1">"c25510"</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1_THRIFT" hidden="1">"c25506"</definedName>
    <definedName name="IQ_DERIVATIVE_ASSETS_LEVEL_2_FFIEC" hidden="1">"c15438"</definedName>
    <definedName name="IQ_DERIVATIVE_ASSETS_LEVEL_2_THRIFT" hidden="1">"c25507"</definedName>
    <definedName name="IQ_DERIVATIVE_ASSETS_LEVEL_3_FFIEC" hidden="1">"c15451"</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FAIR_VALUE_TOT_FFIEC" hidden="1">"c15407"</definedName>
    <definedName name="IQ_DERIVATIVE_LIABILITIES_LEVEL_1_FFIEC" hidden="1">"c15429"</definedName>
    <definedName name="IQ_DERIVATIVE_LIABILITIES_LEVEL_1_THRIFT" hidden="1">"c25548"</definedName>
    <definedName name="IQ_DERIVATIVE_LIABILITIES_LEVEL_2_FFIEC" hidden="1">"c15442"</definedName>
    <definedName name="IQ_DERIVATIVE_LIABILITIES_LEVEL_2_THRIFT" hidden="1">"c25549"</definedName>
    <definedName name="IQ_DERIVATIVE_LIABILITIES_LEVEL_3_FFIEC" hidden="1">"c15455"</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CONT_OPER" hidden="1">"c1367"</definedName>
    <definedName name="IQ_DISCONT_OPER_1"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localSheetId="3" hidden="1">"c2205"</definedName>
    <definedName name="IQ_DIV_PAYMENT_DATE" localSheetId="11" hidden="1">"c2205"</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localSheetId="3" hidden="1">"c2204"</definedName>
    <definedName name="IQ_DIV_RECORD_DATE" localSheetId="11" hidden="1">"c2204"</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_SHARE_1"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INCOME_FHLB_STOCK_THRIFT" hidden="1">"c24754"</definedName>
    <definedName name="IQ_DIVIDEND_INCOME_OTHER_EQUITY_INV_THRIFT" hidden="1">"c24755"</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_PARENT_EXCL_EXTRA" hidden="1">"c25791"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AVG_ASSETS_THRIFT" hidden="1">"c25656"</definedName>
    <definedName name="IQ_EARNINGS_CO_FFIEC" hidden="1">"c13032"</definedName>
    <definedName name="IQ_EARNINGS_CO_THRIFT" hidden="1">"c24796"</definedName>
    <definedName name="IQ_EARNINGS_CONT_OPS_HOMEBUILDING_SALES" hidden="1">"c15817"</definedName>
    <definedName name="IQ_EARNINGS_COVERAGE_LOSSES_FFIEC" hidden="1">"c13351"</definedName>
    <definedName name="IQ_EARNINGS_COVERAGE_NET_CHARGE_OFFS_FDIC" hidden="1">"c6735"</definedName>
    <definedName name="IQ_EARNINGS_COVERAGE_NET_LOSSES_THRIFT" hidden="1">"c25641"</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localSheetId="3" hidden="1">"c157"</definedName>
    <definedName name="IQ_EBIT_GROWTH_1" localSheetId="11" hidden="1">"c157"</definedName>
    <definedName name="IQ_EBIT_GROWTH_1" hidden="1">"IQ_EBIT_GROWTH_1"</definedName>
    <definedName name="IQ_EBIT_GROWTH_2" localSheetId="3" hidden="1">"c161"</definedName>
    <definedName name="IQ_EBIT_GROWTH_2" localSheetId="11" hidden="1">"c161"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CAPEX_OVER_TOTAL_IE_1"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localSheetId="3" hidden="1">"c156"</definedName>
    <definedName name="IQ_EBITDA_GROWTH_1" localSheetId="11" hidden="1">"c156"</definedName>
    <definedName name="IQ_EBITDA_GROWTH_1" hidden="1">"IQ_EBITDA_GROWTH_1"</definedName>
    <definedName name="IQ_EBITDA_GROWTH_2" localSheetId="3" hidden="1">"c160"</definedName>
    <definedName name="IQ_EBITDA_GROWTH_2" localSheetId="11" hidden="1">"c160"</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THRIFT" hidden="1">"c24794"</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DUCATION_LOANS_THRIFT" hidden="1">"c24861"</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ERPRISE_VALUE_1"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localSheetId="3" hidden="1">"c189"</definedName>
    <definedName name="IQ_EPS_EST_1" localSheetId="11" hidden="1">"c189"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FFIL_1"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FV_THRIFT" hidden="1">"c24823"</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"c1390"</definedName>
    <definedName name="IQ_ESCROWS_THRIFT" hidden="1">"c24897"</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CIQ_COL" hidden="1">"c11579"</definedName>
    <definedName name="IQ_EST_ACT_FFO_REUT" hidden="1">"c3843"</definedName>
    <definedName name="IQ_EST_ACT_FFO_SHARE" hidden="1">"c4407"</definedName>
    <definedName name="IQ_EST_ACT_FFO_SHARE_CIQ" hidden="1">"c4932"</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"c1869"</definedName>
    <definedName name="IQ_EST_FFO_DIFF_CIQ" hidden="1">"c3721"</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URPRISE_PERCENT" hidden="1">"c1870"</definedName>
    <definedName name="IQ_EST_FFO_SURPRISE_PERCENT_CIQ" hidden="1">"c3722"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"c1428"</definedName>
    <definedName name="IQ_EV_OVER_LTM_EBIT" hidden="1">"c1426"</definedName>
    <definedName name="IQ_EV_OVER_LTM_EBIT_1" hidden="1">"c1426"</definedName>
    <definedName name="IQ_EV_OVER_LTM_EBITDA" hidden="1">"c1427"</definedName>
    <definedName name="IQ_EV_OVER_LTM_EBITDA_1" hidden="1">"c1427"</definedName>
    <definedName name="IQ_EV_OVER_LTM_REVENUE" hidden="1">"c1429"</definedName>
    <definedName name="IQ_EV_OVER_LTM_REVENUE_1" hidden="1">"c1429"</definedName>
    <definedName name="IQ_EV_OVER_REVENUE_EST" localSheetId="3" hidden="1">"c165"</definedName>
    <definedName name="IQ_EV_OVER_REVENUE_EST" localSheetId="11" hidden="1">"c165"</definedName>
    <definedName name="IQ_EV_OVER_REVENUE_EST" hidden="1">"IQ_EV_OVER_REVENUE_EST"</definedName>
    <definedName name="IQ_EV_OVER_REVENUE_EST_1" localSheetId="3" hidden="1">"c166"</definedName>
    <definedName name="IQ_EV_OVER_REVENUE_EST_1" localSheetId="11" hidden="1">"c166"</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ALLOWANCE_LL_LOSSES_THRIFT" hidden="1">"c25078"</definedName>
    <definedName name="IQ_EXCHANGE" hidden="1">"c405"</definedName>
    <definedName name="IQ_EXCHANGE_CODE_RT" hidden="1">"EXCHANGE"</definedName>
    <definedName name="IQ_EXCISE_TAXES_EXCL_SALES" hidden="1">"c5515"</definedName>
    <definedName name="IQ_EXCISE_TAXES_INCL_SALES" hidden="1">"c5514"</definedName>
    <definedName name="IQ_EXERCISE_PRICE" hidden="1">"c1897"</definedName>
    <definedName name="IQ_EXERCISE_PRICE_1" hidden="1">"c1897"</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localSheetId="3" hidden="1">3624</definedName>
    <definedName name="IQ_EXPENSE_CODE_" localSheetId="11" hidden="1">3624</definedName>
    <definedName name="IQ_EXPENSE_CODE_" hidden="1">"totalsystems"</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"c1459"</definedName>
    <definedName name="IQ_EXTRA_ITEMS_OTHER_ADJUSTMENTS_FOREIGN_FFIEC" hidden="1">"c15392"</definedName>
    <definedName name="IQ_EXTRAORDINARY_GAINS_FDIC" hidden="1">"c6586"</definedName>
    <definedName name="IQ_EXTRAORDINARY_ITEMS_AVG_ASSETS_THRIFT">"c25659"</definedName>
    <definedName name="IQ_EXTRAORDINARY_ITEMS_FFIEC" hidden="1">"c13033"</definedName>
    <definedName name="IQ_EXTRAORDINARY_ITEMS_THRIFT">"c24797"</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PURCHASED_SEC_SOLD_REPURCHASE_THRIFT">"c24901"</definedName>
    <definedName name="IQ_FED_FUND_SOLD_SEC_PURCHASED_RESELL_FFIEC" hidden="1">"c15488"</definedName>
    <definedName name="IQ_FED_FUND_SOLD_SEC_PURCHASED_RESELL_THRIFT">"c24821"</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PURCHASED_REPOS_TOTAL_ASSETS_THRIFT">"c25702"</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ERAL_FUNDS_PURCHASED_SEC_SOLD_UNDER_AGREEMENTS_REPURCHASE_AMOUNTS_NETTED_THRIFT">"c25528"</definedName>
    <definedName name="IQ_FEDERAL_FUNDS_PURCHASED_SEC_SOLD_UNDER_AGREEMENTS_REPURCHASE_LEVEL_1_THRIFT">"c25524"</definedName>
    <definedName name="IQ_FEDERAL_FUNDS_PURCHASED_SEC_SOLD_UNDER_AGREEMENTS_REPURCHASE_LEVEL_2_THRIFT">"c25525"</definedName>
    <definedName name="IQ_FEDERAL_FUNDS_PURCHASED_SEC_SOLD_UNDER_AGREEMENTS_REPURCHASE_LEVEL_3_THRIFT">"c25526"</definedName>
    <definedName name="IQ_FEDERAL_FUNDS_PURCHASED_SEC_SOLD_UNDER_AGREEMENTS_REPURCHASE_TOTAL_AFTER_NETTING_THRIFT">"c25529"</definedName>
    <definedName name="IQ_FEDERAL_FUNDS_PURCHASED_SEC_SOLD_UNDER_AGREEMENTS_REPURCHASE_TOTAL_BEFORE_NETTING_THRIFT">"c25527"</definedName>
    <definedName name="IQ_FEDERAL_FUNDS_SOLD_SEC_PURCHASED_UNDER_AGREEMENTS_RESELL_AMOUNTS_NETTED_THRIFT">"c25480"</definedName>
    <definedName name="IQ_FEDERAL_FUNDS_SOLD_SEC_PURCHASED_UNDER_AGREEMENTS_RESELL_LEVEL_1_THRIFT">"c25476"</definedName>
    <definedName name="IQ_FEDERAL_FUNDS_SOLD_SEC_PURCHASED_UNDER_AGREEMENTS_RESELL_LEVEL_2_THRIFT">"c25477"</definedName>
    <definedName name="IQ_FEDERAL_FUNDS_SOLD_SEC_PURCHASED_UNDER_AGREEMENTS_RESELL_LEVEL_3_THRIFT">"c25478"</definedName>
    <definedName name="IQ_FEDERAL_FUNDS_SOLD_SEC_PURCHASED_UNDER_AGREEMENTS_RESELL_TOTAL_AFTER_NETTING_THRIFT">"c25481"</definedName>
    <definedName name="IQ_FEDERAL_FUNDS_SOLD_SEC_PURCHASED_UNDER_AGREEMENTS_RESELL_TOTAL_BEFORE_NETTING_THRIFT">"c25479"</definedName>
    <definedName name="IQ_FEDERAL_INC_TAXES_THRIFT">"c24816"</definedName>
    <definedName name="IQ_FEDFUNDS_PURCHASED_RELATED" hidden="1">"c19132"</definedName>
    <definedName name="IQ_FEDFUNDS_SOLD" hidden="1">"c2256"</definedName>
    <definedName name="IQ_FEDFUNDS_SOLD_RELATED" hidden="1">"c19130"</definedName>
    <definedName name="IQ_FEE_INCOME_COMM_LOANS_THRIFT">"c24751"</definedName>
    <definedName name="IQ_FEE_INCOME_CONSUMER_LOANS_THRIFT">"c24752"</definedName>
    <definedName name="IQ_FEE_INCOME_MORTGAGE_LOANS_THRIFT">"c24750"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"c3668"</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DATE" hidden="1">"c12212"</definedName>
    <definedName name="IQ_FFO_EST_DET_EST_DATE_CIQ" hidden="1">"c12267"</definedName>
    <definedName name="IQ_FFO_EST_DET_EST_DATE_REUT" hidden="1">"c12295"</definedName>
    <definedName name="IQ_FFO_EST_DET_EST_INCL" hidden="1">"c12349"</definedName>
    <definedName name="IQ_FFO_EST_DET_EST_INCL_CIQ" hidden="1">"c12395"</definedName>
    <definedName name="IQ_FFO_EST_DET_EST_INCL_REUT" hidden="1">"c12419"</definedName>
    <definedName name="IQ_FFO_EST_DET_EST_ORIGIN" hidden="1">"c12722"</definedName>
    <definedName name="IQ_FFO_EST_DET_EST_ORIGIN_CIQ" hidden="1">"c12720"</definedName>
    <definedName name="IQ_FFO_EST_DET_EST_ORIGIN_REUT" hidden="1">"c12724"</definedName>
    <definedName name="IQ_FFO_EST_DET_EST_REUT" hidden="1">"c12153"</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CIQ" hidden="1">"c4970"</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CIQ" hidden="1">"c4977"</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CIQ" hidden="1">"c4978"</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CIQ" hidden="1">"c4979"</definedName>
    <definedName name="IQ_FFO_SHARE_NUM_EST" hidden="1">"c4451"</definedName>
    <definedName name="IQ_FFO_SHARE_NUM_EST_CIQ" hidden="1">"c4980"</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S_BASIC" hidden="1">"c16185"</definedName>
    <definedName name="IQ_FFO_SHARES_DILUTED" hidden="1">"c16187"</definedName>
    <definedName name="IQ_FFO_STDDEV_EST" hidden="1">"c422"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HLB_STOCK_NOT_CARRIED_FV_THRIFT">"c24880"</definedName>
    <definedName name="IQ_FIDUCIARY_ACTIVITIES_FDIC" hidden="1">"c6571"</definedName>
    <definedName name="IQ_FIDUCIARY_ACTIVITIES_INCOME_ADJUSTED_OPERATING_INCOME_THRIFT">"c25689"</definedName>
    <definedName name="IQ_FIDUCIARY_INCOME_OPERATING_INC_FFIEC" hidden="1">"c13383"</definedName>
    <definedName name="IQ_FIDUCIARY_MANAGED_ASSETS_THRIFT">"c25438"</definedName>
    <definedName name="IQ_FIDUCIARY_RELATED_SERVICES_EXP_THRIFT">"c24812"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MINORITY_INT_REDEEM">"c25788"</definedName>
    <definedName name="IQ_FIN_DIV_MINORITY_INTEREST">"c25790"</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_UNUSED_FFIEC">"c25860"</definedName>
    <definedName name="IQ_FIN_INSTANCE_ID" hidden="1">"c13921"</definedName>
    <definedName name="IQ_FIN_PERIOD_ID" hidden="1">"c13920"</definedName>
    <definedName name="IQ_FINANCIAL_ASSETS_CARRIED_FV_THROUGH_EARNINGS_THRIFT">"c24931"</definedName>
    <definedName name="IQ_FINANCIAL_ASSETS_HELD_TRADING_PURPOSES_THRIFT">"c24930"</definedName>
    <definedName name="IQ_FINANCIAL_LIABILITIES_CARRIED_FV_THROUGH_EARNINGS_THRIFT">"c24932"</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"c1405"</definedName>
    <definedName name="IQ_FINANCING_CASH_SUPPL" hidden="1">"c1406"</definedName>
    <definedName name="IQ_FINANCING_CASH_SUPPL_1"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SCAL_YEAR_END_THRIFT">"c25020"</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OUNDATIONS_ENDOWMENT_ACCOUNTS_MANAGED_ASSETS_THRIFT">"c25354"</definedName>
    <definedName name="IQ_FOUNDATIONS_ENDOWMENT_ACCOUNTS_NONMANAGED_ASSETS_THRIFT">"c25375"</definedName>
    <definedName name="IQ_FOUNDATIONS_ENDOWMENT_ACCOUNTS_NUMBER_MANAGED_ACCOUNTS_THRIFT">"c25365"</definedName>
    <definedName name="IQ_FOUNDATIONS_ENDOWMENT_ACCOUNTS_NUMBER_NONMANAGED_ACCOUNTS_THRIFT">"c25387"</definedName>
    <definedName name="IQ_FOUNDATIONS_ENDOWMENTS_INC_THRIFT">"c24807"</definedName>
    <definedName name="IQ_FQ" hidden="1">500</definedName>
    <definedName name="IQ_FREE_OPERATING_CASH_FLOW_DEBT_CSD" hidden="1">"c27718"</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BROKERED_TIME_DEPOSITS_THRIFT">"c25005"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"c17682"</definedName>
    <definedName name="IQ_FUTURES_FORWARD_CONTRACTS_NOTIONAL_AMOUNT_FDIC" hidden="1">"c6518"</definedName>
    <definedName name="IQ_FUTURES_FORWARD_CONTRACTS_RATE_RISK_FDIC" hidden="1">"c6508"</definedName>
    <definedName name="IQ_FUTURES_NAME">"c13936"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ASSETS_1"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BARGAIN_PURCHASES_FFIEC">"c25844"</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_AVAILABLE_SALE_AVG_ASSETS_THRIFT">"c25655"</definedName>
    <definedName name="IQ_GAINS_SEC_HELD_MATURITY_AVG_ASSETS_THRIFT">"c25654"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OBLIGATIONS_STATE_LOCAL_GOVERNMENTS_ELIGIBLE_20_PCT_RISK_WEIGHT_THRIFT">"c25059"</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INTANGIBLE_ASSETS_THRIFT">"c24887"</definedName>
    <definedName name="IQ_GOODWILL_NET" hidden="1">"c1380"</definedName>
    <definedName name="IQ_GOODWILL_NET_1" hidden="1">"c1380"</definedName>
    <definedName name="IQ_GOODWILL_OTHER_INTANGIBLE_ASSETS_ADJUSTED_ASSETS_THRIFT">"c25032"</definedName>
    <definedName name="IQ_GOODWILL_OTHER_INTANGIBLE_ASSETS_T1_THRIFT">"c25023"</definedName>
    <definedName name="IQ_GOODWILL_OTHER_INTANGIBLE_ASSETS_THRIFT">"c24890"</definedName>
    <definedName name="IQ_GOODWILL_OTHER_INTANGIBLES_EXP_THRIFT">"c24791"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"c1446"</definedName>
    <definedName name="IQ_GROSS_EARNED" hidden="1">"c2732"</definedName>
    <definedName name="IQ_GROSS_GW" hidden="1">"c519"</definedName>
    <definedName name="IQ_GROSS_INTAN" hidden="1">"c520"</definedName>
    <definedName name="IQ_GROSS_INTAN_ASSETS">"c17748"</definedName>
    <definedName name="IQ_GROSS_LIFE_EARNED" hidden="1">"c2737"</definedName>
    <definedName name="IQ_GROSS_LIFE_IN_FORCE" hidden="1">"c2767"</definedName>
    <definedName name="IQ_GROSS_LOAN_AVG_LOANS_THRIFT">"c25636"</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UARANTEED_PORTION_OTHER_LOANS_LEASES_EXCLUDE_REBOOKED_GNMA_LOANS_DUE_90_THRIFT">"c25280"</definedName>
    <definedName name="IQ_GUARANTEED_PORTION_OTHER_LOANS_LEASES_EXCLUDE_REBOOKED_GNMA_LOANS_NON_ACCRUAL_THRIFT">"c25301"</definedName>
    <definedName name="IQ_GUARTANTEED_PORTION_OTHER_LOANS_LEASES_EXCLUDE_REBOOKED_GNMA_LOANS_DUE_30_89_THRIFT">"c25259"</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DATE_RT" hidden="1">"HIGHDATE"</definedName>
    <definedName name="IQ_HIGH_LOW_CLOSEPRICE_DATE" hidden="1">"c1204"</definedName>
    <definedName name="IQ_HIGH_PRICE_RT" hidden="1">"HIGH"</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_TIME_RT" hidden="1">"HIGHTIME"</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INSTITUTION_TYPE">"c24729"</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ANS_TOTAL_LOANS_THRIFT">"c25748"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MPROVEMENT_LOANS_NOT_SECURED_RE_THRIFT">"c24860"</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_INV_SEC_THRIFT">"c25669"</definedName>
    <definedName name="IQ_HTM_SEC_TIER_1_CAPITAL_THRIFT">"c25629"</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CHARGES_DEBT_EQUITY_SEC_THRIFT">"c24777"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"c1395"</definedName>
    <definedName name="IQ_INC_AVAIL_INCL" hidden="1">"c1396"</definedName>
    <definedName name="IQ_INC_AVAIL_INCL_1" hidden="1">"c1396"</definedName>
    <definedName name="IQ_INC_BEFORE_TAX" hidden="1">"c1375"</definedName>
    <definedName name="IQ_INC_BEFORE_TAX_1"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BEFORE_EXTRAORDINARY_ITEMS_AVG_ASSETS_THRIFT">"c25658"</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STATEMENT_AP">"c25877"</definedName>
    <definedName name="IQ_INCOME_STATEMENT_AP_CO">"c25878"</definedName>
    <definedName name="IQ_INCOME_STATEMENT_INDUSTRY">"c25873"</definedName>
    <definedName name="IQ_INCOME_STATEMENT_INDUSTRY_CO">"c25874"</definedName>
    <definedName name="IQ_INCOME_STATEMENT_STANDARD">"c25875"</definedName>
    <definedName name="IQ_INCOME_STATEMENT_STANDARD_CO">"c25876"</definedName>
    <definedName name="IQ_INCOME_TAX_FOREIGN_FFIEC" hidden="1">"c15391"</definedName>
    <definedName name="IQ_INCOME_TAXES_FDIC" hidden="1">"c6582"</definedName>
    <definedName name="IQ_INCOME_TAXES_FFIEC" hidden="1">"c13030"</definedName>
    <definedName name="IQ_INCOME_TAXES_PRETAX_NET_OPERATING_INCOME_THRIFT">"c25693"</definedName>
    <definedName name="IQ_INCOME_TAXES_THRIFT">"c24795"</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SURED_GUARANTEED_AGENCY_US_SPONSORED_ENTERPRISE_THRIFT">"c24830"</definedName>
    <definedName name="IQ_INT_ADVANCES_FHLB_THRIFT">"c24759"</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COMM_LOANS_LEASES_THRIFT">"c24748"</definedName>
    <definedName name="IQ_INT_CONSUMER_LOANS_LEASES_THRIFT">"c24749"</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EPOSITS_INV_SEC_THRIFT">"c24745"</definedName>
    <definedName name="IQ_INT_DEPOSITS_THRIFT">"c24757"</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ARNING_DEPOSITS_FHLBS_THRIFT">"c24819"</definedName>
    <definedName name="IQ_INT_ESCROWS_THRIFT">"c24758"</definedName>
    <definedName name="IQ_INT_EXP_AVG_ASSETS_FFIEC" hidden="1">"c13357"</definedName>
    <definedName name="IQ_INT_EXP_AVG_ASSETS_THRIFT">"c25648"</definedName>
    <definedName name="IQ_INT_EXP_AVG_EARNING_ASSETS_THRIFT">"c25667"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FULLY_INSURED_BROKERED_DEPOSITS_THRIFT">"c24982"</definedName>
    <definedName name="IQ_INT_EXP_INCL_CAP" hidden="1">"c2988"</definedName>
    <definedName name="IQ_INT_EXP_INS" hidden="1">"c589"</definedName>
    <definedName name="IQ_INT_EXP_LTD" hidden="1">"c2086"</definedName>
    <definedName name="IQ_INT_EXP_OTHER_BROKERED_DEPOSITS_THRIFT">"c24983"</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AVG_ASSETS_THRIFT">"c25647"</definedName>
    <definedName name="IQ_INT_INCOME_AVG_EARNING_ASSETS_THRIFT">"c25666"</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MBS_THRIFT">"c24746"</definedName>
    <definedName name="IQ_INT_MORTGAGE_COLLATERALIZED_SEC_THRIFT">"c24761"</definedName>
    <definedName name="IQ_INT_MORTGAGE_LOANS_THRIFT">"c24747"</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ONLY_STRIP_RECEIVABLES_OTHER_INSTRUMENTS_THRIFT">"c24891"</definedName>
    <definedName name="IQ_INT_OTHER_BORROWINGS_THRIFT">"c24762"</definedName>
    <definedName name="IQ_INT_RATE_EXPOSURE_FFIEC" hidden="1">"c13058"</definedName>
    <definedName name="IQ_INT_RATE_SPREAD" hidden="1">"c604"</definedName>
    <definedName name="IQ_INT_SAVINGS_DEPOSITS_MMDA_DOM_FFIEC" hidden="1">"c15364"</definedName>
    <definedName name="IQ_INT_SUB_DEBT_THRIFT">"c24760"</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_YIELD_DEPOSITS_INV_SEC_THRIFT">"c25679"</definedName>
    <definedName name="IQ_INT_YIELD_MBS_THRIFT">"c25678"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_ASSETS_ADJUSTED_ASSETS_THRIFT">"c25036"</definedName>
    <definedName name="IQ_INTANGIBLE_ASSETS_T1_THRIFT">"c25027"</definedName>
    <definedName name="IQ_INTANGIBLES_NET" hidden="1">"c1407"</definedName>
    <definedName name="IQ_INTANGIBLES_NET_1"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ALL_OTHER_ACCOUNTS_THRIFT">"c25424"</definedName>
    <definedName name="IQ_INTEREST_BEARING_DEPOSITS_DOMESTIC_FDIC" hidden="1">"c6478"</definedName>
    <definedName name="IQ_INTEREST_BEARING_DEPOSITS_EMPLOYEE_BENEFIT_RETIREMENT_RELATED_ACCOUNTS_THRIFT">"c25408"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"c25392"</definedName>
    <definedName name="IQ_INTEREST_BEARING_TRANS_DOM_QUARTERLY_AVG_FFIEC" hidden="1">"c15484"</definedName>
    <definedName name="IQ_INTEREST_CASH_DEPOSITS" hidden="1">"c2255"</definedName>
    <definedName name="IQ_INTEREST_CREDITED_DEPOSITS_THRIFT">"c25344"</definedName>
    <definedName name="IQ_INTEREST_EXP" hidden="1">"c618"</definedName>
    <definedName name="IQ_INTEREST_EXP_NET" hidden="1">"c1450"</definedName>
    <definedName name="IQ_INTEREST_EXP_NON" hidden="1">"c1383"</definedName>
    <definedName name="IQ_INTEREST_EXP_NON_1" hidden="1">"c1383"</definedName>
    <definedName name="IQ_INTEREST_EXP_SUPPL" hidden="1">"c1460"</definedName>
    <definedName name="IQ_INTEREST_INC" hidden="1">"c1393"</definedName>
    <definedName name="IQ_INTEREST_INC_1"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TRACO_INC_CREDITS_FIDUCIARY_RELATED_SERVICES_THRIFT">"c24814"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IN_UNREGISTERED_FUNDS_PRIVATE_EQUITY_INV_ALL_OTHER_ACCOUNTS_THRIFT">"c25433"</definedName>
    <definedName name="IQ_INV_IN_UNREGISTERED_FUNDS_PRIVATE_EQUITY_INV_EMPLOYEE_BENEFIT_RETIREMENT_RELATED_ACCOUNTS_THRIFT">"c25417"</definedName>
    <definedName name="IQ_INV_IN_UNREGISTERED_FUNDS_PRIVATE_EQUITY_INV_PERSONAL_TRUST_AGENCY_INV_MANAGEMENT_ACCOUNTS_THRIFT">"c25401"</definedName>
    <definedName name="IQ_INV_MANAGEMENT_INV_ADVISORY_AGENCY_ACCOUNTS_GROSS_LOSSES_MANAGED_ACCOUNTS_THRIFT">"c25463"</definedName>
    <definedName name="IQ_INV_MANAGEMENT_INV_ADVISORY_AGENCY_ACCOUNTS_GROSS_LOSSES_NONMANAGED_ACCOUNTS_THRIFT">"c25468"</definedName>
    <definedName name="IQ_INV_MANAGEMENT_INV_ADVISORY_AGENCY_ACCOUNTS_MANAGED_ASSETS_THRIFT">"c25353"</definedName>
    <definedName name="IQ_INV_MANAGEMENT_INV_ADVISORY_AGENCY_ACCOUNTS_NONMANAGED_ASSETS_THRIFT">"c25374"</definedName>
    <definedName name="IQ_INV_MANAGEMENT_INV_ADVISORY_AGENCY_ACCOUNTS_NUMBER_MANAGED_ACCOUNTS_THRIFT">"c25364"</definedName>
    <definedName name="IQ_INV_MANAGEMENT_INV_ADVISORY_AGENCY_ACCOUNTS_NUMBER_NONMANAGED_ACCOUNTS_THRIFT">"c25386"</definedName>
    <definedName name="IQ_INV_MANAGEMENT_INV_ADVISORY_AGENCY_ACCOUNTS_RECOVERIES_THRIFT">"c25473"</definedName>
    <definedName name="IQ_INV_METHOD" hidden="1">"c621"</definedName>
    <definedName name="IQ_INV_MGMT_ADVISORY_AGENCY_ACCOUNTS_INC_THRIFT">"c24806"</definedName>
    <definedName name="IQ_INV_NONCONTROLLING_INTERESTS_IN_SUBS_T1_THRIFT">"c25022"</definedName>
    <definedName name="IQ_INV_REL_ID" hidden="1">"c15220"</definedName>
    <definedName name="IQ_INV_REL_NAME" hidden="1">"c15219"</definedName>
    <definedName name="IQ_INV_SEC_TOTAL_ASSETS_THRIFT">"c25697"</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"c17796"</definedName>
    <definedName name="IQ_INVEST_BREAKUP_COMMON">"c17687"</definedName>
    <definedName name="IQ_INVEST_BREAKUP_CORP_DEBT">"c17684"</definedName>
    <definedName name="IQ_INVEST_BREAKUP_CORP_EQUITY">"c17689"</definedName>
    <definedName name="IQ_INVEST_BREAKUP_NON_US_GOVT">"c17794"</definedName>
    <definedName name="IQ_INVEST_BREAKUP_NOT_CLASSIFIED">"c17690"</definedName>
    <definedName name="IQ_INVEST_BREAKUP_OTHER_FIXED">"c17685"</definedName>
    <definedName name="IQ_INVEST_BREAKUP_PREFERRED">"c17688"</definedName>
    <definedName name="IQ_INVEST_BREAKUP_PUBLIC_UTIL_DEBT">"c17683"</definedName>
    <definedName name="IQ_INVEST_BREAKUP_STATE_MUNI">"c17795"</definedName>
    <definedName name="IQ_INVEST_BREAKUP_TOTAL_FIXED">"c17686"</definedName>
    <definedName name="IQ_INVEST_BREAKUP_TOTAL_INVEST">"c17691"</definedName>
    <definedName name="IQ_INVEST_BREAKUP_US_GOVT">"c17793"</definedName>
    <definedName name="IQ_INVEST_CREDIT_QUAL_AMORT_TYPE_1">"c17785"</definedName>
    <definedName name="IQ_INVEST_CREDIT_QUAL_AMORT_TYPE_1_PCT">"c17844"</definedName>
    <definedName name="IQ_INVEST_CREDIT_QUAL_AMORT_TYPE_2">"c17786"</definedName>
    <definedName name="IQ_INVEST_CREDIT_QUAL_AMORT_TYPE_2_PCT">"c17845"</definedName>
    <definedName name="IQ_INVEST_CREDIT_QUAL_AMORT_TYPE_3">"c17787"</definedName>
    <definedName name="IQ_INVEST_CREDIT_QUAL_AMORT_TYPE_3_PCT">"c17846"</definedName>
    <definedName name="IQ_INVEST_CREDIT_QUAL_AMORT_TYPE_4">"c17788"</definedName>
    <definedName name="IQ_INVEST_CREDIT_QUAL_AMORT_TYPE_4_PCT">"c17847"</definedName>
    <definedName name="IQ_INVEST_CREDIT_QUAL_AMORT_TYPE_5">"c17789"</definedName>
    <definedName name="IQ_INVEST_CREDIT_QUAL_AMORT_TYPE_5_PCT">"c17848"</definedName>
    <definedName name="IQ_INVEST_CREDIT_QUAL_AMORT_TYPE_6">"c17790"</definedName>
    <definedName name="IQ_INVEST_CREDIT_QUAL_AMORT_TYPE_6_PCT">"c17849"</definedName>
    <definedName name="IQ_INVEST_CREDIT_QUAL_AMORT_TYPE_OTHER">"c17791"</definedName>
    <definedName name="IQ_INVEST_CREDIT_QUAL_AMORT_TYPE_OTHER_PCT">"c17850"</definedName>
    <definedName name="IQ_INVEST_CREDIT_QUAL_AMORT_TYPE_TOTAL_FIXED">"c17792"</definedName>
    <definedName name="IQ_INVEST_CREDIT_QUAL_CV_TYPE_1">"c17769"</definedName>
    <definedName name="IQ_INVEST_CREDIT_QUAL_CV_TYPE_1_PCT">"c17830"</definedName>
    <definedName name="IQ_INVEST_CREDIT_QUAL_CV_TYPE_2">"c17770"</definedName>
    <definedName name="IQ_INVEST_CREDIT_QUAL_CV_TYPE_2_PCT">"c17831"</definedName>
    <definedName name="IQ_INVEST_CREDIT_QUAL_CV_TYPE_3">"c17771"</definedName>
    <definedName name="IQ_INVEST_CREDIT_QUAL_CV_TYPE_3_PCT">"c17832"</definedName>
    <definedName name="IQ_INVEST_CREDIT_QUAL_CV_TYPE_4">"c17772"</definedName>
    <definedName name="IQ_INVEST_CREDIT_QUAL_CV_TYPE_4_PCT">"c17833"</definedName>
    <definedName name="IQ_INVEST_CREDIT_QUAL_CV_TYPE_5">"c17773"</definedName>
    <definedName name="IQ_INVEST_CREDIT_QUAL_CV_TYPE_5_PCT">"c17834"</definedName>
    <definedName name="IQ_INVEST_CREDIT_QUAL_CV_TYPE_6">"c17774"</definedName>
    <definedName name="IQ_INVEST_CREDIT_QUAL_CV_TYPE_6_PCT">"c17835"</definedName>
    <definedName name="IQ_INVEST_CREDIT_QUAL_CV_TYPE_OTHER">"c17775"</definedName>
    <definedName name="IQ_INVEST_CREDIT_QUAL_CV_TYPE_OTHER_PCT">"c17836"</definedName>
    <definedName name="IQ_INVEST_CREDIT_QUAL_CV_TYPE_TOTAL_FIXED">"c17776"</definedName>
    <definedName name="IQ_INVEST_CREDIT_QUAL_FV_TYPE_1">"c17777"</definedName>
    <definedName name="IQ_INVEST_CREDIT_QUAL_FV_TYPE_1_PCT">"c17837"</definedName>
    <definedName name="IQ_INVEST_CREDIT_QUAL_FV_TYPE_2">"c17778"</definedName>
    <definedName name="IQ_INVEST_CREDIT_QUAL_FV_TYPE_2_PCT">"c17838"</definedName>
    <definedName name="IQ_INVEST_CREDIT_QUAL_FV_TYPE_3">"c17779"</definedName>
    <definedName name="IQ_INVEST_CREDIT_QUAL_FV_TYPE_3_PCT">"c17839"</definedName>
    <definedName name="IQ_INVEST_CREDIT_QUAL_FV_TYPE_4">"c17780"</definedName>
    <definedName name="IQ_INVEST_CREDIT_QUAL_FV_TYPE_4_PCT">"c17840"</definedName>
    <definedName name="IQ_INVEST_CREDIT_QUAL_FV_TYPE_5">"c17781"</definedName>
    <definedName name="IQ_INVEST_CREDIT_QUAL_FV_TYPE_5_PCT">"c17841"</definedName>
    <definedName name="IQ_INVEST_CREDIT_QUAL_FV_TYPE_6">"c17782"</definedName>
    <definedName name="IQ_INVEST_CREDIT_QUAL_FV_TYPE_6_PCT">"c17842"</definedName>
    <definedName name="IQ_INVEST_CREDIT_QUAL_FV_TYPE_OTHER">"c17783"</definedName>
    <definedName name="IQ_INVEST_CREDIT_QUAL_FV_TYPE_OTHER_PCT">"c17843"</definedName>
    <definedName name="IQ_INVEST_CREDIT_QUAL_FV_TYPE_TOTAL_FIXED">"c17784"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"c17692"</definedName>
    <definedName name="IQ_INVEST_DETAIL_AVAIL_SALE_AMORT">"c17810"</definedName>
    <definedName name="IQ_INVEST_DETAIL_HELD_MATURITY">"c17807"</definedName>
    <definedName name="IQ_INVEST_DETAIL_OTHER">"c17809"</definedName>
    <definedName name="IQ_INVEST_DETAIL_TRADING">"c17808"</definedName>
    <definedName name="IQ_INVEST_DETAIL_TRADING_AMORT">"c17811"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"c17764"</definedName>
    <definedName name="IQ_INVEST_MAT_AMORT_1_5_YR_PCT">"c17825"</definedName>
    <definedName name="IQ_INVEST_MAT_AMORT_1_YR">"c17763"</definedName>
    <definedName name="IQ_INVEST_MAT_AMORT_1_YR_PCT">"c17824"</definedName>
    <definedName name="IQ_INVEST_MAT_AMORT_5_10_YR">"c17765"</definedName>
    <definedName name="IQ_INVEST_MAT_AMORT_5_10_YR_PCT">"c17826"</definedName>
    <definedName name="IQ_INVEST_MAT_AMORT_AFTER_10_YR">"c17766"</definedName>
    <definedName name="IQ_INVEST_MAT_AMORT_AFTER_10_YR_PCT">"c17827"</definedName>
    <definedName name="IQ_INVEST_MAT_AMORT_ASSET_MBS">"c17767"</definedName>
    <definedName name="IQ_INVEST_MAT_AMORT_ASSET_MBS_PCT">"c17828"</definedName>
    <definedName name="IQ_INVEST_MAT_AMORT_OTHER_FIXED">"c17768"</definedName>
    <definedName name="IQ_INVEST_MAT_AMORT_OTHER_FIXED_PCT">"c17829"</definedName>
    <definedName name="IQ_INVEST_MAT_CV_1_5_YR">"c17752"</definedName>
    <definedName name="IQ_INVEST_MAT_CV_1_5_YR_PCT">"c17813"</definedName>
    <definedName name="IQ_INVEST_MAT_CV_1_YR">"c17751"</definedName>
    <definedName name="IQ_INVEST_MAT_CV_1_YR_PCT">"c17812"</definedName>
    <definedName name="IQ_INVEST_MAT_CV_5_10_YR">"c17753"</definedName>
    <definedName name="IQ_INVEST_MAT_CV_5_10_YR_PCT">"c17814"</definedName>
    <definedName name="IQ_INVEST_MAT_CV_AFTER_10_YR">"c17754"</definedName>
    <definedName name="IQ_INVEST_MAT_CV_AFTER_10_YR_PCT">"c17815"</definedName>
    <definedName name="IQ_INVEST_MAT_CV_ASSET_MBS">"c17755"</definedName>
    <definedName name="IQ_INVEST_MAT_CV_ASSET_MBS_PCT">"c17816"</definedName>
    <definedName name="IQ_INVEST_MAT_CV_OTHER_FIXED">"c17756"</definedName>
    <definedName name="IQ_INVEST_MAT_CV_OTHER_FIXED_PCT">"c17817"</definedName>
    <definedName name="IQ_INVEST_MAT_FV_1_5_YR">"c17758"</definedName>
    <definedName name="IQ_INVEST_MAT_FV_1_5_YR_PCT">"c17819"</definedName>
    <definedName name="IQ_INVEST_MAT_FV_1_YR">"c17757"</definedName>
    <definedName name="IQ_INVEST_MAT_FV_1_YR_PCT">"c17818"</definedName>
    <definedName name="IQ_INVEST_MAT_FV_5_10_YR">"c17759"</definedName>
    <definedName name="IQ_INVEST_MAT_FV_5_10_YR_PCT">"c17820"</definedName>
    <definedName name="IQ_INVEST_MAT_FV_AFTER_10_YR">"c17760"</definedName>
    <definedName name="IQ_INVEST_MAT_FV_AFTER_10_YR_PCT">"c17821"</definedName>
    <definedName name="IQ_INVEST_MAT_FV_ASSET_MBS">"c17761"</definedName>
    <definedName name="IQ_INVEST_MAT_FV_ASSET_MBS_PCT">"c17822"</definedName>
    <definedName name="IQ_INVEST_MAT_FV_OTHER_FIXED">"c17762"</definedName>
    <definedName name="IQ_INVEST_MAT_FV_OTHER_FIXED_PCT">"c17823"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"c20509"</definedName>
    <definedName name="IQ_INVESTORS_ALL_COVER">"c20510"</definedName>
    <definedName name="IQ_INVESTORS_ALL_ID">"C20508"</definedName>
    <definedName name="IQ_INVESTORS_ALL_REL">"c20511"</definedName>
    <definedName name="IQ_INVESTORS_ALL_STAKE">"c20512"</definedName>
    <definedName name="IQ_INVESTORS_CURR">"c20514"</definedName>
    <definedName name="IQ_INVESTORS_CURR_COVER">"c20515"</definedName>
    <definedName name="IQ_INVESTORS_CURR_ID">"c20513"</definedName>
    <definedName name="IQ_INVESTORS_CURR_RECENT_AMOUNT">"c20516"</definedName>
    <definedName name="IQ_INVESTORS_CURR_REL">"c20517"</definedName>
    <definedName name="IQ_INVESTORS_CURR_STAKE">"c20518"</definedName>
    <definedName name="IQ_INVESTORS_CURR_TRANSACTION_DATE">"c20519"</definedName>
    <definedName name="IQ_INVESTORS_CURR_TRANSACTION_ID">"c20520"</definedName>
    <definedName name="IQ_INVESTORS_PENDING">"c20522"</definedName>
    <definedName name="IQ_INVESTORS_PENDING_COVER">"c20523"</definedName>
    <definedName name="IQ_INVESTORS_PENDING_ID">"c20521"</definedName>
    <definedName name="IQ_INVESTORS_PENDING_REL">"c20524"</definedName>
    <definedName name="IQ_INVESTORS_PENDING_STAKE">"c20525"</definedName>
    <definedName name="IQ_INVESTORS_PRIOR">"c20526"</definedName>
    <definedName name="IQ_INVESTORS_PRIOR_ID">"c20527"</definedName>
    <definedName name="IQ_IPRD" hidden="1">"c644"</definedName>
    <definedName name="IQ_IPRD_SUPPLE" hidden="1">"c13813"</definedName>
    <definedName name="IQ_IRA_KEOGH_ACCOUNTS_FDIC" hidden="1">"c6496"</definedName>
    <definedName name="IQ_IRA_KEOGH_ACCOUNTS_GREATER_THAN_100000_INCLUDED_IN_TIME_DEPOSITS_THRIFT">"c25004"</definedName>
    <definedName name="IQ_IRA_KEOGH_ACCOUNTS_THRIFT">"c24994"</definedName>
    <definedName name="IQ_IRAS_HSAS_SIMILAR_ACCOUNTS_MANAGED_ASSETS_THRIFT">"c25351"</definedName>
    <definedName name="IQ_IRAS_HSAS_SIMILAR_ACCOUNTS_NONMANAGED_ASSETS_THRIFT">"c25372"</definedName>
    <definedName name="IQ_IRAS_HSAS_SIMILAR_ACCOUNTS_NUMBER_MANAGED_ACCOUNTS_THRIFT">"c25362"</definedName>
    <definedName name="IQ_IRAS_HSAS_SIMILAR_ACCOUNTS_NUMBER_NONMANAGED_ACCOUNTS_THRIFT">"c25384"</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"c1391"</definedName>
    <definedName name="IQ_ISS_STOCK_NET" hidden="1">"c1601"</definedName>
    <definedName name="IQ_ISSUE_CURRENCY" hidden="1">"c2156"</definedName>
    <definedName name="IQ_ISSUE_NAME" hidden="1">"c2142"</definedName>
    <definedName name="IQ_ISSUED_GUARANTEED_FNMA_FHLMC_GNMA_THRIFT">"c24833"</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S_IN_DEFAULT_PRINCIPAL_AMT_OUTSTANDING_THRIFT">"c25442"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KEY_PERSON_LIFE_INSURANCE_THRIFT">"c24885"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LOANS_IN_PROCESS_FORECLOSURE_THRIFT">"c25309"</definedName>
    <definedName name="IQ_LAND_LOANS_TOTAL_LOANS_THRIFT">"c25747"</definedName>
    <definedName name="IQ_LAND_MINERAL_RIGHTS_TO_PPE_GROSS_COAL" hidden="1">"c15949"</definedName>
    <definedName name="IQ_LAND_MINERAL_RIGHTS_TO_PPE_NET_COAL" hidden="1">"c15950"</definedName>
    <definedName name="IQ_LAND_PML_ADJUSTED_NCOS_TOTAL_THRIFT">"c25208"</definedName>
    <definedName name="IQ_LAND_PML_GVA_CHARGE_OFFS_THRIFT">"c25123"</definedName>
    <definedName name="IQ_LAND_PML_GVA_RECOVERIES_THRIFT">"c25154"</definedName>
    <definedName name="IQ_LAND_PML_SVA_PROVISIONS_TRANSFERS_FROM_GVA_TOTAL_THRIFT">"c25177"</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localSheetId="3" hidden="1">"c151"</definedName>
    <definedName name="IQ_LAST_EBIT_MARGIN" localSheetId="11" hidden="1">"c151"</definedName>
    <definedName name="IQ_LAST_EBIT_MARGIN" hidden="1">"IQ_LAST_EBIT_MARGIN"</definedName>
    <definedName name="IQ_LAST_EBITDA_MARGIN" localSheetId="3" hidden="1">"c150"</definedName>
    <definedName name="IQ_LAST_EBITDA_MARGIN" localSheetId="11" hidden="1">"c150"</definedName>
    <definedName name="IQ_LAST_EBITDA_MARGIN" hidden="1">"IQ_LAST_EBITDA_MARGIN"</definedName>
    <definedName name="IQ_LAST_GROSS_MARGIN" localSheetId="3" hidden="1">"c149"</definedName>
    <definedName name="IQ_LAST_GROSS_MARGIN" localSheetId="11" hidden="1">"c149"</definedName>
    <definedName name="IQ_LAST_GROSS_MARGIN" hidden="1">"IQ_LAST_GROSS_MARGIN"</definedName>
    <definedName name="IQ_LAST_NET_INC_MARGIN" localSheetId="3" hidden="1">"c152"</definedName>
    <definedName name="IQ_LAST_NET_INC_MARGIN" localSheetId="11" hidden="1">"c152"</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CEIVABLES_THRIFT">"c24857"</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EXP_THRIFT">"c24789"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TTERS_CREDIT_THRIFT">"c25612"</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_LIQUID_ASSETS_THRIFT">"c25626"</definedName>
    <definedName name="IQ_LIQUID_ASSETS_NONCORE_FUNDING_FFIEC" hidden="1">"c13339"</definedName>
    <definedName name="IQ_LIQUID_ASSETS_TOTAL_ASSETS_THRIFT">"c25696"</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L_ALLOWANCE_GROSS_LOANS_THRIFT">"c25637"</definedName>
    <definedName name="IQ_LL_ALLOWANCE_NET_LOANS_LOSSES_THRIFT">"c25642"</definedName>
    <definedName name="IQ_LL_ALLOWANCE_NONACCRUAL_ASSETS_THRIFT">"c25638"</definedName>
    <definedName name="IQ_LME_INVENTORY" hidden="1">"c24740"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ALLOWANCE_PAST_DUE_NONACCRUAL_LOANS_THRIFT">"c25643"</definedName>
    <definedName name="IQ_LOAN_LEASE_RECEIV" hidden="1">"c657"</definedName>
    <definedName name="IQ_LOAN_LOSS" hidden="1">"c1386"</definedName>
    <definedName name="IQ_LOAN_LOSS_1" hidden="1">"c1386"</definedName>
    <definedName name="IQ_LOAN_LOSS_ALLOW_FDIC" hidden="1">"c6326"</definedName>
    <definedName name="IQ_LOAN_LOSS_ALLOWANCE_GROSS_LOANS_THRIFT">"c25736"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RECOVERIES_AVG_LOANS_THRIFT">"c25644"</definedName>
    <definedName name="IQ_LOAN_SERVICE_REV" hidden="1">"c658"</definedName>
    <definedName name="IQ_LOAN_SERVICING_FEES_THRIFT">"c24790"</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_LL_REC_DOM_FFIEC">"c25855"</definedName>
    <definedName name="IQ_LOANS_DEP_LL_REC_FFIEC">"c25851"</definedName>
    <definedName name="IQ_LOANS_DEP_OTHER_LL_REC_DOM_FFIEC">"c25854"</definedName>
    <definedName name="IQ_LOANS_DEP_OTHER_LL_REC_FFIEC">"c25850"</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INDIVIDUALS_GROSS_LOANS_THRIFT">"c25733"</definedName>
    <definedName name="IQ_LOANS_INDIVIDUALS_RISK_BASED_CAPITAL_THRIFT">"c25718"</definedName>
    <definedName name="IQ_LOANS_LEASES_AMOUNTS_NETTED_THRIFT">"c25498"</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DUE_30_89_THRIFT">"c25257"</definedName>
    <definedName name="IQ_LOANS_LEASES_HFS_DUE_90_THRIFT">"c25278"</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HFS_NON_ACCRUAL_THRIFT">"c25299"</definedName>
    <definedName name="IQ_LOANS_LEASES_LEVEL_1_FFIEC" hidden="1">"c13217"</definedName>
    <definedName name="IQ_LOANS_LEASES_LEVEL_1_THRIFT">"c25494"</definedName>
    <definedName name="IQ_LOANS_LEASES_LEVEL_2_FFIEC" hidden="1">"c13225"</definedName>
    <definedName name="IQ_LOANS_LEASES_LEVEL_2_THRIFT">"c25495"</definedName>
    <definedName name="IQ_LOANS_LEASES_LEVEL_3_FFIEC" hidden="1">"c13233"</definedName>
    <definedName name="IQ_LOANS_LEASES_LEVEL_3_THRIFT">"c25496"</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EASES_REPORTED_WHOLLY_PARTIALLY_GUARANT_US_GOVT_AGENCY_SPONS_ENTITY_DUE_30_89_THRIFT">"c25258"</definedName>
    <definedName name="IQ_LOANS_LEASES_REPORTED_WHOLLY_PARTIALLY_GUARANT_US_GOVT_AGENCY_SPONS_ENTITY_DUE_90_THRIFT">"c25279"</definedName>
    <definedName name="IQ_LOANS_LEASES_REPORTED_WHOLLY_PARTIALLY_GUARANT_US_GOVT_AGENCY_SPONS_ENTITY_NON_ACCRUAL_THRIFT">"c25300"</definedName>
    <definedName name="IQ_LOANS_LEASES_TOTAL_AFTER_NETTING_THRIFT">"c25499"</definedName>
    <definedName name="IQ_LOANS_LEASES_TOTAL_BEFORE_NETTING_THRIFT">"c25497"</definedName>
    <definedName name="IQ_LOANS_LOC_ASSETS_TOT_FFIEC" hidden="1">"c13441"</definedName>
    <definedName name="IQ_LOANS_NOT_SECURED_RE_FDIC" hidden="1">"c6381"</definedName>
    <definedName name="IQ_LOANS_PAST_DUE" hidden="1">"c667"</definedName>
    <definedName name="IQ_LOANS_PURCHASE_CARRY_LL_REC_DOM_FFIEC">"c25856"</definedName>
    <definedName name="IQ_LOANS_PURCHASE_CARRY_LL_REC_FFIEC">"c25852"</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_100000_THROUGH_250000_THRIFT">"c24968"</definedName>
    <definedName name="IQ_LOANS_SECURED_FARM_250000_THROUGH_500000_THRIFT">"c24970"</definedName>
    <definedName name="IQ_LOANS_SECURED_FARM_LESS_THAN_EQUAL_100000_THRIFT">"c24966"</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SERVICED_OTHERS_THRIFT">"c24935"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"c1387"</definedName>
    <definedName name="IQ_LONG_TERM_DEBT_OVER_TOTAL_CAP" hidden="1">"c1388"</definedName>
    <definedName name="IQ_LONG_TERM_DEBT_OVER_TOTAL_CAP_1" hidden="1">"c1388"</definedName>
    <definedName name="IQ_LONG_TERM_GROWTH" hidden="1">"c671"</definedName>
    <definedName name="IQ_LONG_TERM_INV" hidden="1">"c1389"</definedName>
    <definedName name="IQ_LONG_TERM_INV_1" hidden="1">"c1389"</definedName>
    <definedName name="IQ_LOSS_ALLOWANCE_LOANS_FDIC" hidden="1">"c6739"</definedName>
    <definedName name="IQ_LOSS_AVAIL_SALE_EQUITY_SEC_T1_FFIEC" hidden="1">"c13132"</definedName>
    <definedName name="IQ_LOSS_LOSS_EXP" hidden="1">"c672"</definedName>
    <definedName name="IQ_LOSS_RECOGNIZED_OCI_FFIEC">"c25847"</definedName>
    <definedName name="IQ_LOSS_TO_NET_EARNED" hidden="1">"c2751"</definedName>
    <definedName name="IQ_LOW_DATE_RT" hidden="1">"LOWDATE"</definedName>
    <definedName name="IQ_LOW_PRICE_RT" hidden="1">"LOW"</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_TIME_RT" hidden="1">"LOWTIME"</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OTHER_PROF_SERVICES_THRIFT">"c24788"</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MO_LOANS_SOLD_WITH_RECOURSE_120_DAYS_LESS_THRIFT">"c25337"</definedName>
    <definedName name="IQ_MEMO_LOANS_SOLD_WITH_RECOURSE_GREATER_THAN_120_DAYS_THRIFT">"c25338"</definedName>
    <definedName name="IQ_MEMO_REFINANCING_LOANS_THRIFT">"c25336"</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ETRIC_NAME">"c18017"</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AVG_ASSETS_THRIFT">"c25660"</definedName>
    <definedName name="IQ_MINORITY_INT_BS_FFIEC" hidden="1">"c12874"</definedName>
    <definedName name="IQ_MINORITY_INT_FFIEC" hidden="1">"c13031"</definedName>
    <definedName name="IQ_MINORITY_INT_REDEEM">"c25787"</definedName>
    <definedName name="IQ_MINORITY_INT_REDEEM_TOT">"c25789"</definedName>
    <definedName name="IQ_MINORITY_INT_THRIFT">"c24926"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ISCELLANEOUS_ASSETS_ALL_OTHER_ACCOUNTS_THRIFT">"c25437"</definedName>
    <definedName name="IQ_MISCELLANEOUS_ASSETS_EMPLOYEE_BENEFIT_RETIREMENT_RELATED_ACCOUNTS_THRIFT">"c25421"</definedName>
    <definedName name="IQ_MISCELLANEOUS_ASSETS_PERSONAL_TRUST_AGENCY_INV_MANAGEMENT_ACCOUNTS_THRIFT">"c25405"</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MDA_SAVINGS_TOTAL_DEPOSITS_THRIFT">"c25778"</definedName>
    <definedName name="IQ_MOBILE_HOME_LOANS_THRIFT">"c24863"</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ARKET_DEPOSIT_ACCOUNTS_THRIFT">"c24999"</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DATE_LT" hidden="1">"c5682"</definedName>
    <definedName name="IQ_MOODYS_ISSUE_LT" hidden="1">"c5684"</definedName>
    <definedName name="IQ_MOODYS_ISSUE_WATCHLIST_DATE" hidden="1">"c5685"</definedName>
    <definedName name="IQ_MOODYS_ISSUE_WATCHLIST_INDICATOR" hidden="1">"c5687"</definedName>
    <definedName name="IQ_MOODYS_ISSUE_WATCHLIST_REASON" hidden="1">"c5686"</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ASSET_BACKED_SEC_ELIGIBLE_20_PCT_RISK_WEIGHT_THRIFT">"c25057"</definedName>
    <definedName name="IQ_MORTGAGE_ASSET_BACKED_SEC_ELIGIBLE_50_PCT_RISK_WEIGHT_THRIFT">"c25066"</definedName>
    <definedName name="IQ_MORTGAGE_BACKED_SEC_ADJUSTED_NCOS_THRIFT">"c25198"</definedName>
    <definedName name="IQ_MORTGAGE_BACKED_SEC_GVA_CHARGE_OFFS_THRIFT">"c25113"</definedName>
    <definedName name="IQ_MORTGAGE_BACKED_SEC_GVA_RECOVERIES_THRIFT">"c25144"</definedName>
    <definedName name="IQ_MORTGAGE_BACKED_SEC_INV_SEC_THRIFT">"c25673"</definedName>
    <definedName name="IQ_MORTGAGE_BACKED_SEC_SVA_PROVISIONS_TRANSFERS_FROM_GVA_THRIFT">"c25167"</definedName>
    <definedName name="IQ_MORTGAGE_BACKED_SECURITIES_FDIC" hidden="1">"c6402"</definedName>
    <definedName name="IQ_MORTGAGE_DEBT_UNDER_CAPITAL_LEASES_FFIEC" hidden="1">"c15276"</definedName>
    <definedName name="IQ_MORTGAGE_LOAN_SERVICING_FEES_THRIFT">"c24766"</definedName>
    <definedName name="IQ_MORTGAGE_LOANS_ADJUSTED_NCOS_TOTAL_THRIFT">"c25199"</definedName>
    <definedName name="IQ_MORTGAGE_LOANS_CASH_REPAYMENT_PRINCIPAL_THRIFT">"c25334"</definedName>
    <definedName name="IQ_MORTGAGE_LOANS_DEBITS_LESS_CREDITS_OTHER_THAN_REPAYMENT_PRINCIPAL_THRIFT">"c25335"</definedName>
    <definedName name="IQ_MORTGAGE_LOANS_FORECLOSED_DURING_QUARTER_TOTAL_THRIFT">"c25236"</definedName>
    <definedName name="IQ_MORTGAGE_LOANS_GROSS_LOANS_THRIFT">"c25721"</definedName>
    <definedName name="IQ_MORTGAGE_LOANS_GVA_RECOVERIES_TOTAL_THRIFT">"c25145"</definedName>
    <definedName name="IQ_MORTGAGE_LOANS_PARTICIPATIONS_PURCHASED_FROM_ENTITIES_OTHER_THAN_FEDERALLY_INSURED_DEPOSITORY_INSTITUTIONS_THEIR_SUBSIDIARIES_THRIFT">"c25326"</definedName>
    <definedName name="IQ_MORTGAGE_LOANS_PARTICIPATIONS_PURCHASED_SECURED_1_4_DWELLING_UNITS_THRIFT">"c25325"</definedName>
    <definedName name="IQ_MORTGAGE_LOANS_PARTICIPATIONS_PURCHASED_SECURED_HOME_EQUITY_JUNIOR_LIENS_THRIFT">"c25327"</definedName>
    <definedName name="IQ_MORTGAGE_LOANS_PARTICIPATIONS_PURCHASED_SECURED_MULTIFAMILY_5_MORE_DWELLING_UNITS_THRIFT">"c25328"</definedName>
    <definedName name="IQ_MORTGAGE_LOANS_PARTICIPATIONS_PURCHASED_SECURED_NONRES_THRIFT">"c25329"</definedName>
    <definedName name="IQ_MORTGAGE_LOANS_PARTICIPATIONS_SOLD_SECURED_1_4_DWELLING_UNITS_THRIFT">"c25330"</definedName>
    <definedName name="IQ_MORTGAGE_LOANS_PARTICIPATIONS_SOLD_SECURED_HOME_EQUITY_JUNIOR_LIENS_THRIFT">"c25331"</definedName>
    <definedName name="IQ_MORTGAGE_LOANS_PARTICIPATIONS_SOLD_SECURED_MULTIFAMILY_5_MORE_DWELLING_UNITS_THRIFT">"c25332"</definedName>
    <definedName name="IQ_MORTGAGE_LOANS_PARTICIPATIONS_SOLD_SECURED_NONRES_THRIFT">"c25333"</definedName>
    <definedName name="IQ_MORTGAGE_LOANS_RISK_BASED_CAPITAL_THRIFT">"c25706"</definedName>
    <definedName name="IQ_MORTGAGE_LOANS_SECURED_NON_RES_PROPERTY_100000_THROUGH_250000_THRIFT">"c24954"</definedName>
    <definedName name="IQ_MORTGAGE_LOANS_SECURED_NON_RES_PROPERTY_250000_THROUGH_1000000_THRIFT">"c24956"</definedName>
    <definedName name="IQ_MORTGAGE_LOANS_SECURED_NON_RES_PROPERTY_LESS_THAN_EQUAL_100000_THRIFT">"c24952"</definedName>
    <definedName name="IQ_MORTGAGE_LOANS_SVA_PROVISIONS_TRANSFERS_FROM_GVA_TOTAL_THRIFT">"c25168"</definedName>
    <definedName name="IQ_MORTGAGE_LOANS_TOTAL_GVA_CHARGE_OFFS_THRIFT">"c25114"</definedName>
    <definedName name="IQ_MORTGAGE_LOANS_TOTAL_LOANS_THRIFT">"c25740"</definedName>
    <definedName name="IQ_MORTGAGE_SERV_RIGHTS" hidden="1">"c2242"</definedName>
    <definedName name="IQ_MORTGAGE_SERVICING_ASSETS_FFIEC" hidden="1">"c12838"</definedName>
    <definedName name="IQ_MORTGAGE_SERVICING_FDIC" hidden="1">"c6335"</definedName>
    <definedName name="IQ_MORTGAGE_SERVICING_RIGHTS_AMOUNTS_NETTED_THRIFT">"c25504"</definedName>
    <definedName name="IQ_MORTGAGE_SERVICING_RIGHTS_LEVEL_1_THRIFT">"c25500"</definedName>
    <definedName name="IQ_MORTGAGE_SERVICING_RIGHTS_LEVEL_2_THRIFT">"c25501"</definedName>
    <definedName name="IQ_MORTGAGE_SERVICING_RIGHTS_LEVEL_3_THRIFT">"c25502"</definedName>
    <definedName name="IQ_MORTGAGE_SERVICING_RIGHTS_TOTAL_AFTER_NETTING_THRIFT">"c25505"</definedName>
    <definedName name="IQ_MORTGAGE_SERVICING_RIGHTS_TOTAL_BEFORE_NETTING_THRIFT">"c25503"</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5_MORE_DWELLING_UNITS_CONSTRUCTION_MORTGAGE_LOANS_ADJUSTED_NCOS_TOTAL_THRIFT">"c25201"</definedName>
    <definedName name="IQ_MULTIFAMILY_5_MORE_DWELLING_UNITS_CONSTRUCTION_MORTGAGE_LOANS_GVA_CHARGE_OFFS_THRIFT">"c25116"</definedName>
    <definedName name="IQ_MULTIFAMILY_5_MORE_DWELLING_UNITS_CONSTRUCTION_MORTGAGE_LOANS_GVA_RECOVERIES_THRIFT">"c25147"</definedName>
    <definedName name="IQ_MULTIFAMILY_5_MORE_DWELLING_UNITS_CONSTRUCTION_MORTGAGE_LOANS_SVA_PROVISIONS_TRANSFERS_FROM_GVA_TOTAL_THRIFT">"c25170"</definedName>
    <definedName name="IQ_MULTIFAMILY_5_MORE_DWELLING_UNITS_IN_PROCESS_FORECLOSURE_THRIFT">"c25307"</definedName>
    <definedName name="IQ_MULTIFAMILY_5_MORE_DWELLING_UNITS_PML_ADJUSTED_NCOS_TOTAL_THRIFT">"c25206"</definedName>
    <definedName name="IQ_MULTIFAMILY_5_MORE_DWELLING_UNITS_PML_GVA_CHARGE_OFFS_THRIFT">"c25121"</definedName>
    <definedName name="IQ_MULTIFAMILY_5_MORE_DWELLING_UNITS_PML_GVA_RECOVERIES_THRIFT">"c25152"</definedName>
    <definedName name="IQ_MULTIFAMILY_5_MORE_DWELLING_UNITS_PML_SVA_PROVISIONS_TRANSFERS_FROM_GVA_TOTAL_THRIFT">"c25175"</definedName>
    <definedName name="IQ_MULTIFAMILY_5_MORE_LOANS_TOTAL_LOANS_THRIFT">"c25745"</definedName>
    <definedName name="IQ_MULTIFAMILY_LOANS_GROSS_LOANS_FFIEC" hidden="1">"c13404"</definedName>
    <definedName name="IQ_MULTIFAMILY_LOANS_GROSS_LOANS_THRIFT">"c25729"</definedName>
    <definedName name="IQ_MULTIFAMILY_LOANS_RISK_BASED_CAPITAL_THRIFT">"c25714"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NICIPAL_SEC_INV_SEC_THRIFT">"c25672"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MUTUAL_FUNDS_EQUITY_ALL_OTHER_ACCOUNTS_THRIFT">"c25428"</definedName>
    <definedName name="IQ_MUTUAL_FUNDS_EQUITY_EMPLOYEE_BENEFIT_RETIREMENT_RELATED_ACCOUNTS_THRIFT">"c25412"</definedName>
    <definedName name="IQ_MUTUAL_FUNDS_EQUITY_PERSONAL_TRUST_AGENCY_INV_MANAGEMENT_ACCOUNTS_THRIFT">"c25396"</definedName>
    <definedName name="IQ_MUTUAL_FUNDS_MONEY_MARKET_ALL_OTHER_ACCOUNTS_THRIFT">"c25427"</definedName>
    <definedName name="IQ_MUTUAL_FUNDS_MONEY_MARKET_EMPLOYEE_BENEFIT_RETIREMENT_RELATED_ACCOUNTS_THRIFT">"c25411"</definedName>
    <definedName name="IQ_MUTUAL_FUNDS_MONEY_MARKET_PERSONAL_TRUST_AGENCY_INV_MANAGEMENT_ACCOUNTS_THRIFT">"c25395"</definedName>
    <definedName name="IQ_MUTUAL_FUNDS_OTHER_ALL_OTHER_ACCOUNTS_THRIFT">"c25429"</definedName>
    <definedName name="IQ_MUTUAL_FUNDS_OTHER_EMPLOYEE_BENEFIT_RETIREMENT_RELATED_ACCOUNTS_THRIFT">"c25413"</definedName>
    <definedName name="IQ_MUTUAL_FUNDS_OTHER_PERSONAL_TRUST_AGENCY_INV_MANAGEMENT_ACCOUNTS_THRIFT">"c25397"</definedName>
    <definedName name="IQ_NAMES" hidden="1">42089.6798148148</definedName>
    <definedName name="IQ_NAMES_1" hidden="1">41015.5247222222</definedName>
    <definedName name="IQ_NAMES_REV" hidden="1">42089.6798148148</definedName>
    <definedName name="IQ_NAMES_REVISION_DATE_" localSheetId="3" hidden="1">42121.7571990741</definedName>
    <definedName name="IQ_NAMES_REVISION_DATE_" localSheetId="11" hidden="1">42121.7571990741</definedName>
    <definedName name="IQ_NAMES_REVISION_DATE_" hidden="1">43019.6639236111</definedName>
    <definedName name="IQ_NAMES_REVISION_DATE__1" hidden="1">41915.6047569444</definedName>
    <definedName name="IQ_NAMES_REVISION_DATE__2" hidden="1">42222.6277546296</definedName>
    <definedName name="IQ_NAMES_REVISION_DATE_1" hidden="1">40359.682337963</definedName>
    <definedName name="IQ_NAMES_REVISION_DATE_2" hidden="1">41015.5247222222</definedName>
    <definedName name="IQ_NAMES_REVISION_DATE_3" hidden="1">40721.916875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EST" hidden="1">"c5609"</definedName>
    <definedName name="IQ_NAV_SHARE_EST_NOTE">"c17522"</definedName>
    <definedName name="IQ_NAV_SHARE_EST_NOTE_CIQ">"c17475"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LOSED_END_1_4_FAMILY_LOANS_TOTAL_LOANS_THRIFT">"c25769"</definedName>
    <definedName name="IQ_NCLS_COMM_IND_LOANS_TOT_LOANS_FFIEC" hidden="1">"c13898"</definedName>
    <definedName name="IQ_NCLS_COMM_LOANS_TOTAL_LOANS_THRIFT">"c25775"</definedName>
    <definedName name="IQ_NCLS_COMM_RE_FARM_LOANS_TOT_LOANS_FFIEC" hidden="1">"c13897"</definedName>
    <definedName name="IQ_NCLS_COMM_RE_FARM_LOANS_TOTAL_LOANS_THRIFT">"c25771"</definedName>
    <definedName name="IQ_NCLS_COMM_RE_NONFARM_NONRES_TOT_LOANS_FFIEC" hidden="1">"c13896"</definedName>
    <definedName name="IQ_NCLS_COMM_RE_NONFARM_NONRESIDENTIAL_TOTAL_LOANS_THRIFT">"c25773"</definedName>
    <definedName name="IQ_NCLS_CONST_LAND_DEV_LOANS_TOT_LOANS_FFIEC" hidden="1">"c13890"</definedName>
    <definedName name="IQ_NCLS_CONSTRUCTION_LAND_DEVELOPMENT_LOANS_TOTAL_LOANS_THRIFT">"c25767"</definedName>
    <definedName name="IQ_NCLS_CONSUMER_LOANS_TOT_LOANS_FFIEC" hidden="1">"c13899"</definedName>
    <definedName name="IQ_NCLS_CONSUMER_LOANS_TOTAL_LOANS_THRIFT">"c25776"</definedName>
    <definedName name="IQ_NCLS_FARM_LOANS_TOT_LOANS_FFIEC" hidden="1">"c13895"</definedName>
    <definedName name="IQ_NCLS_HOME_EQUITY_LOANS_TOT_LOANS_FFIEC" hidden="1">"c13892"</definedName>
    <definedName name="IQ_NCLS_LAND_LOANS_TOTAL_LOANS_THRIFT">"c25772"</definedName>
    <definedName name="IQ_NCLS_MULTIFAM_5_LOANS_TOT_LOANS_FFIEC" hidden="1">"c13894"</definedName>
    <definedName name="IQ_NCLS_MULTIFAMILY_5_MORE_LOANS_TOTAL_LOANS_THRIFT">"c25770"</definedName>
    <definedName name="IQ_NCLS_TOT_1_4_FAM_LOANS_TOT_LOANS_FFIEC" hidden="1">"c13893"</definedName>
    <definedName name="IQ_NCLS_TOT_LEASES_TOT_LOANS_FFIEC" hidden="1">"c13900"</definedName>
    <definedName name="IQ_NCLS_TOT_LOANS_TOT_LOANS_FFIEC" hidden="1">"c13901"</definedName>
    <definedName name="IQ_NCLS_TOTAL_1_4_FAMILY_LOANS_TOTAL_LOANS_THRIFT">"c25768"</definedName>
    <definedName name="IQ_NCLS_TOTAL_LOANS_TOTAL_LOANS_THRIFT">"c25765"</definedName>
    <definedName name="IQ_NCLS_TOTAL_MORTGAGE_LOANS_TOTAL_LOANS_THRIFT">"c25766"</definedName>
    <definedName name="IQ_NCLS_TOTAL_NON_RE_LOANS_TOTAL_LOANS_THRIFT">"c25774"</definedName>
    <definedName name="IQ_NCOS_CLOSED_END_1_4_FAM_LOANS_TOT_LOANS_FFIEC" hidden="1">"c13879"</definedName>
    <definedName name="IQ_NCOS_CLOSED_END_1_4_FAMILY_LOANS_TOTAL_LOANS_THRIFT">"c25757"</definedName>
    <definedName name="IQ_NCOS_COMM_IND_LOANS_TOT_LOANS_FFIEC" hidden="1">"c13886"</definedName>
    <definedName name="IQ_NCOS_COMM_LOANS_TOTAL_LOANS_THRIFT">"c25763"</definedName>
    <definedName name="IQ_NCOS_COMM_RE_FARM_LOANS_TOT_LOANS_FFIEC" hidden="1">"c13885"</definedName>
    <definedName name="IQ_NCOS_COMM_RE_FARM_LOANS_TOTAL_LOANS_THRIFT">"c25759"</definedName>
    <definedName name="IQ_NCOS_COMM_RE_NONFARM_NONRES_TOT_LOANS_FFIEC" hidden="1">"c13884"</definedName>
    <definedName name="IQ_NCOS_COMM_RE_NONFARM_NONRESIDENTIAL_TOTAL_LOANS_THRIFT">"c25761"</definedName>
    <definedName name="IQ_NCOS_CONST_LAND_DEV_LOANS_TOT_LOANS_FFIEC" hidden="1">"c13878"</definedName>
    <definedName name="IQ_NCOS_CONSTRUCTION_LAND_DEVELOPMENT_LOANS_TOTAL_LOANS_THRIFT">"c25755"</definedName>
    <definedName name="IQ_NCOS_CONSUMER_LOANS_TOT_LOANS_FFIEC" hidden="1">"c13887"</definedName>
    <definedName name="IQ_NCOS_CONSUMER_LOANS_TOTAL_LOANS_THRIFT">"c25764"</definedName>
    <definedName name="IQ_NCOS_FARM_LOANS_TOT_LOANS_FFIEC" hidden="1">"c13883"</definedName>
    <definedName name="IQ_NCOS_HOME_EQUITY_LOANS_TOT_LOANS_FFIEC" hidden="1">"c13880"</definedName>
    <definedName name="IQ_NCOS_LAND_LOANS_TOTAL_LOANS_THRIFT">"c25760"</definedName>
    <definedName name="IQ_NCOS_MULTIFAM_5_LOANS_TOT_LOANS_FFIEC" hidden="1">"c13882"</definedName>
    <definedName name="IQ_NCOS_MULTIFAMILY_5_MORE_LOANS_TOTAL_LOANS_THRIFT">"c25758"</definedName>
    <definedName name="IQ_NCOS_TOT_1_4_FAM_LOANS_TOT_LOANS_FFIEC" hidden="1">"c13881"</definedName>
    <definedName name="IQ_NCOS_TOT_LEASES_TOT_LOANS_FFIEC" hidden="1">"c13888"</definedName>
    <definedName name="IQ_NCOS_TOT_LOANS_TOT_LOANS_FFIEC" hidden="1">"c13889"</definedName>
    <definedName name="IQ_NCOS_TOTAL_1_4_FAMILY_LOANS_TOTAL_LOANS_THRIFT">"c25756"</definedName>
    <definedName name="IQ_NCOS_TOTAL_LOANS_TOTAL_LOANS_THRIFT">"c25753"</definedName>
    <definedName name="IQ_NCOS_TOTAL_MORTGAGE_LOANS_TOTAL_LOANS_THRIFT">"c25754"</definedName>
    <definedName name="IQ_NCOS_TOTAL_NON_RE_LOANS_TOTAL_LOANS_THRIFT">"c25762"</definedName>
    <definedName name="IQ_NEARBY_CONTRACT_ID">"c14328"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ED_FUNDS_PURCHASED_TOTAL_ASSETS_THRIFT">"c25704"</definedName>
    <definedName name="IQ_NET_FIDUCIARY_RELATED_SERVICES_INC_THRIFT">"c24815"</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AFS_SEC_THRIFT">"c24770"</definedName>
    <definedName name="IQ_NET_GAIN_SALE_LOANS_HELD_INV_THRIFT">"c24774"</definedName>
    <definedName name="IQ_NET_GAIN_SALE_LOANS_LEASES_HFS_THRIFT">"c24771"</definedName>
    <definedName name="IQ_NET_GAIN_SALE_OTHER_ASSETS_HELD_INV_THRIFT">"c24775"</definedName>
    <definedName name="IQ_NET_GAIN_SALE_OTHER_ASSETS_HFS_THRIFT">"c24772"</definedName>
    <definedName name="IQ_NET_GAIN_SALE_PREMISES_FIXED_ASSETS_EXP_FFIEC" hidden="1">"c15372"</definedName>
    <definedName name="IQ_NET_GAIN_SALE_PREMISES_FIXED_ASSETS_INC_FFIEC" hidden="1">"c15369"</definedName>
    <definedName name="IQ_NET_GAIN_SALE_SEC_HTM_THRIFT">"c24773"</definedName>
    <definedName name="IQ_NET_GAINS_FIN_ASSETS_LIABILITIES_FV_THRIFT">"c24776"</definedName>
    <definedName name="IQ_NET_IMPAIR_LOSS_FFIEC">"c25848"</definedName>
    <definedName name="IQ_NET_INC" hidden="1">"c1394"</definedName>
    <definedName name="IQ_NET_INC_1"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"c1368"</definedName>
    <definedName name="IQ_NET_INC_CF" hidden="1">"c1397"</definedName>
    <definedName name="IQ_NET_INC_CF_1" hidden="1">"c1397"</definedName>
    <definedName name="IQ_NET_INC_GROWTH_1" localSheetId="3" hidden="1">"c158"</definedName>
    <definedName name="IQ_NET_INC_GROWTH_1" localSheetId="11" hidden="1">"c158"</definedName>
    <definedName name="IQ_NET_INC_GROWTH_1" hidden="1">"IQ_NET_INC_GROWTH_1"</definedName>
    <definedName name="IQ_NET_INC_GROWTH_2" localSheetId="3" hidden="1">"c162"</definedName>
    <definedName name="IQ_NET_INC_GROWTH_2" localSheetId="11" hidden="1">"c162"</definedName>
    <definedName name="IQ_NET_INC_GROWTH_2" hidden="1">"IQ_NET_INC_GROWTH_2"</definedName>
    <definedName name="IQ_NET_INC_MARGIN" hidden="1">"c1398"</definedName>
    <definedName name="IQ_NET_INC_MARGIN_1" hidden="1">"c1398"</definedName>
    <definedName name="IQ_NET_INCOME_AVG_ASSETS_THRIFT">"c25661"</definedName>
    <definedName name="IQ_NET_INCOME_FDIC" hidden="1">"c6587"</definedName>
    <definedName name="IQ_NET_INCOME_HOMEBUILDING_SALES" hidden="1">"c15818"</definedName>
    <definedName name="IQ_NET_INCOME_LH_FFIEC" hidden="1">"c13110"</definedName>
    <definedName name="IQ_NET_INCOME_LOCOM_ADJUST_THRIFT">"c24779"</definedName>
    <definedName name="IQ_NET_INCOME_LOSS_ATTRIBUTABLE_SAVINGS_ASSOCIATION_THRIFT">"c25009"</definedName>
    <definedName name="IQ_NET_INCOME_PC_FFIEC" hidden="1">"c13103"</definedName>
    <definedName name="IQ_NET_INCOME_REPOSSESS_ASSETS_THRIFT">"c24778"</definedName>
    <definedName name="IQ_NET_INCOME_SALE_ASSETS_HFS_AFS_SEC_THRIFT">"c24769"</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FTER_PROVISION_THRIFT">"c25871"</definedName>
    <definedName name="IQ_NET_INT_INCOME_AVG_ASSET" hidden="1">"c15706"</definedName>
    <definedName name="IQ_NET_INT_INCOME_AVG_ASSETS_THRIFT">"c25649"</definedName>
    <definedName name="IQ_NET_INT_INCOME_AVG_EARNING_ASSETS_THRIFT">"c25668"</definedName>
    <definedName name="IQ_NET_INT_INCOME_FFIEC" hidden="1">"c13001"</definedName>
    <definedName name="IQ_NET_INT_INCOME_FTE_FFIEC" hidden="1">"c13036"</definedName>
    <definedName name="IQ_NET_INT_INCOME_THRIFT">"c24765"</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_LOSSES_AVG_LOANS_THRIFT">"c25635"</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CORE_DEPOSITS_THRIFT">"c25628"</definedName>
    <definedName name="IQ_NET_LOANS_DEPOSITS_FFIEC" hidden="1">"c13340"</definedName>
    <definedName name="IQ_NET_LOANS_EQUITY_FFIEC" hidden="1">"c13347"</definedName>
    <definedName name="IQ_NET_LOANS_EQUITY_THRIFT">"c25632"</definedName>
    <definedName name="IQ_NET_LOANS_LEASES_CORE_DEPOSITS_FDIC" hidden="1">"c6743"</definedName>
    <definedName name="IQ_NET_LOANS_LEASES_DEPOSITS_FDIC" hidden="1">"c6742"</definedName>
    <definedName name="IQ_NET_LOANS_LEASES_LETTERS_CREDIT_TOTAL_ASSETS_THRIFT">"c25698"</definedName>
    <definedName name="IQ_NET_LOANS_LEASES_TOTAL_ASSETS_THRIFT">"c25694"</definedName>
    <definedName name="IQ_NET_LOANS_TOTAL_DEPOSITS" hidden="1">"c779"</definedName>
    <definedName name="IQ_NET_LOANS_TOTAL_DEPOSITS_THRIFT">"c25627"</definedName>
    <definedName name="IQ_NET_LOSSES" hidden="1">"c15873"</definedName>
    <definedName name="IQ_NET_LOSSES_FIDUCIARY_RELATED_SERVICES_THRIFT">"c24813"</definedName>
    <definedName name="IQ_NET_NEW_CLIENT_ASSETS" hidden="1">"c20430"</definedName>
    <definedName name="IQ_NET_NONCORE_FUNDING_DEPENDENCE_SHORT_TERM_THRIFT">"c25624"</definedName>
    <definedName name="IQ_NET_NONCORE_FUNDING_DEPENDENCE_THRIFT">"c25623"</definedName>
    <definedName name="IQ_NET_NONINTEREST_INC_EXP_INTERNATIONAL_OPS_FFIEC" hidden="1">"c15387"</definedName>
    <definedName name="IQ_NET_OCCUPANCY_EXP_ADJUSTED_OPERATING_INCOME_THRIFT">"c25686"</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PROVISION_LOSS_GVA_THRIFT">"c25092"</definedName>
    <definedName name="IQ_NET_PROVISION_LOSS_SVA_THRIFT">"c25100"</definedName>
    <definedName name="IQ_NET_PROVISION_LOSS_TVA_THRIFT">"c25107"</definedName>
    <definedName name="IQ_NET_RENTAL_EXP_FN" hidden="1">"c780"</definedName>
    <definedName name="IQ_NET_SECURITIZATION_INC_FOREIGN_FFIEC" hidden="1">"c15379"</definedName>
    <definedName name="IQ_NET_SECURITIZATION_INCOME_FDIC" hidden="1">"c6669"</definedName>
    <definedName name="IQ_NET_SERVICING_FEES_ADJUSTED_OPERATING_INCOME_THRIFT">"c25690"</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BASIS_ACCOUNTING_ADJUSTMENTS_SAVINGS_ASSOCIATION_THRIFT">"c25015"</definedName>
    <definedName name="IQ_NEW_DEPOSITS_RECEIVED_LESS_DEPOSITS_WITHDRAWN_THRIFT">"c25343"</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ANK_NONCONTROLLING_INT_THRIFT">"c24798"</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COMPANY">"c25786"</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NCONTROLLING_INT_THRIFT">"c24799"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I_THRIFT">"c24800"</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MAND_DEPOSITS_THRIFT">"c25007"</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FTER_PROVISION_THRIFT">"c25872"</definedName>
    <definedName name="IQ_NON_INT_EXP_AVG_ASSETS_FFIEC" hidden="1">"c18878"</definedName>
    <definedName name="IQ_NON_INT_EXP_AVG_ASSETS_THRIFT">"c25784"</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_THRIFT">"c24793"</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DJUSTED_OPERATING_INCOME_THRIFT">"c25688"</definedName>
    <definedName name="IQ_NON_INT_INCOME_AVG_ASSET" hidden="1">"c15707"</definedName>
    <definedName name="IQ_NON_INT_INCOME_AVG_ASSETS_THRIFT">"c25650"</definedName>
    <definedName name="IQ_NON_INT_INCOME_FFIEC" hidden="1">"c13017"</definedName>
    <definedName name="IQ_NON_INT_INCOME_THRIFT">"c24781"</definedName>
    <definedName name="IQ_NON_INTEREST_BEARING_DEPOSITS_ALL_OTHER_ACCOUNTS_THRIFT">"c25423"</definedName>
    <definedName name="IQ_NON_INTEREST_BEARING_DEPOSITS_EMPLOYEE_BENEFIT_RETIREMENT_RELATED_ACCOUNTS_THRIFT">"c25407"</definedName>
    <definedName name="IQ_NON_INTEREST_BEARING_DEPOSITS_PERSONAL_TRUST_AGENCY_INV_MANAGEMENT_ACCOUNTS_THRIFT">"c25391"</definedName>
    <definedName name="IQ_NON_INTEREST_EXP" hidden="1">"c1400"</definedName>
    <definedName name="IQ_NON_INTEREST_EXP_1" hidden="1">"c1400"</definedName>
    <definedName name="IQ_NON_INTEREST_INC" hidden="1">"c1401"</definedName>
    <definedName name="IQ_NON_INTEREST_INC_1" hidden="1">"c1401"</definedName>
    <definedName name="IQ_NON_MORTGAGE_AGRICULTURE_FARMERS_COMM_LOANS_100000_THROUGH_250000_THRIFT">"c24974"</definedName>
    <definedName name="IQ_NON_MORTGAGE_AGRICULTURE_FARMERS_COMM_LOANS_250000_THROUGH_500000_THRIFT">"c24976"</definedName>
    <definedName name="IQ_NON_MORTGAGE_AGRICULTURE_FARMERS_COMM_LOANS_LESS_THAN_EQUAL_100000_THRIFT">"c24972"</definedName>
    <definedName name="IQ_NON_MORTGAGE_LOANS_ADJUSTED_NCOS_TOTAL_TOTAL_THRIFT">"c25209"</definedName>
    <definedName name="IQ_NON_MORTGAGE_LOANS_GVA_CHARGE_OFFS_TOTAL_THRIFT">"c25124"</definedName>
    <definedName name="IQ_NON_MORTGAGE_LOANS_GVA_RECOVERIES_TOTAL_THRIFT">"c25155"</definedName>
    <definedName name="IQ_NON_MORTGAGE_LOANS_SVA_PROVISIONS_TRANSFERS_FROM_GVA_TOTAL_TOTAL_THRIFT">"c25178"</definedName>
    <definedName name="IQ_NON_MORTGAGE_NON_AGRICULTURE_COMM_LOANS_100000_THROUGH_250000_THRIFT">"c24961"</definedName>
    <definedName name="IQ_NON_MORTGAGE_NON_AGRICULTURE_COMM_LOANS_250000_THROUGH_1000000_THRIFT">"c24963"</definedName>
    <definedName name="IQ_NON_MORTGAGE_NON_AGRICULTURE_COMM_LOANS_LESS_THAN_EQUAL_100000_THRIFT">"c24959"</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FUNDING_TOTAL_ASSETS_THRIFT">"c25700"</definedName>
    <definedName name="IQ_NONCUMULATIVE_PREF_THRIFT">"c24916"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LOANS_GROSS_LOANS_THRIFT">"c25730"</definedName>
    <definedName name="IQ_NONFARM_NONRES_LOANS_RISK_BASED_CAPITAL_THRIFT">"c25715"</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RES_PROPERTY_CONSTRUCTION_MORTGAGE_LOANS_GVA_CHARGE_OFFS_THRIFT">"c25117"</definedName>
    <definedName name="IQ_NONRES_PROPERTY_CONSTRUCTION_MORTGAGE_LOANS_GVA_RECOVERIES_THRIFT">"c25148"</definedName>
    <definedName name="IQ_NONRES_PROPERTY_DWELLING_UNITS_CONSTRUCTION_MORTGAGE_LOANS_ADJUSTED_NCOS_TOTAL_THRIFT">"c25202"</definedName>
    <definedName name="IQ_NONRES_PROPERTY_DWELLING_UNITS_CONSTRUCTION_MORTGAGE_LOANS_SVA_PROVISIONS_TRANSFERS_FROM_GVA_TOTAL_THRIFT">"c25171"</definedName>
    <definedName name="IQ_NONRES_PROPERTY_EXCEPT_LAND_IN_PROCESS_FORECLOSURE_THRIFT">"c25308"</definedName>
    <definedName name="IQ_NONRES_PROPERTY_EXCEPT_LAND_PML_ADJUSTED_NCOS_TOTAL_THRIFT">"c25207"</definedName>
    <definedName name="IQ_NONRES_PROPERTY_EXCEPT_LAND_PML_GVA_CHARGE_OFFS_THRIFT">"c25122"</definedName>
    <definedName name="IQ_NONRES_PROPERTY_EXCEPT_LAND_PML_GVA_RECOVERIES_THRIFT">"c25153"</definedName>
    <definedName name="IQ_NONRES_PROPERTY_EXCEPT_LAND_PML_SVA_PROVISIONS_TRANSFERS_FROM_GVA_TOTAL_THRIFT">"c25176"</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OBLIGATIONS_FDIC_INC_COVERED_ASSETS_ELIGIBLE_0_PCT_RISK_WEIGHT_THRIFT">"c25053"</definedName>
    <definedName name="IQ_NOTES_PAY" hidden="1">"c1423"</definedName>
    <definedName name="IQ_NOTES_PAY_1"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_ACCOUNTS_EXCLUDING_RETIREMENT_ACCOUNTS_GREATER_THAN_250000_THRIFT">"c24989"</definedName>
    <definedName name="IQ_NUMBER_DEPOSIT_ACCOUNTS_EXCLUDING_RETIREMENT_ACCOUNTS_LESS_THAN_250000_THRIFT">"c24988"</definedName>
    <definedName name="IQ_NUMBER_DEPOSIT_ACCOUNTS_THRIFT">"c24987"</definedName>
    <definedName name="IQ_NUMBER_DEPOSITS_LESS_THAN_100K_FDIC" hidden="1">"c6495"</definedName>
    <definedName name="IQ_NUMBER_DEPOSITS_MORE_THAN_100K_FDIC" hidden="1">"c6493"</definedName>
    <definedName name="IQ_NUMBER_FIDUCIARY_MANAGED_ACCOUNTS_THRIFT">"c25439"</definedName>
    <definedName name="IQ_NUMBER_FTE_EMPLOYEES_THRIFT">"c24929"</definedName>
    <definedName name="IQ_NUMBER_ISSUES_IN_DEFAULT_THRIFT">"c25443"</definedName>
    <definedName name="IQ_NUMBER_LOANS_SECURED_FARM_100000_THROUGH_250000_THRIFT">"c24969"</definedName>
    <definedName name="IQ_NUMBER_LOANS_SECURED_FARM_250000_THROUGH_500000_THRIFT">"c24971"</definedName>
    <definedName name="IQ_NUMBER_LOANS_SECURED_FARM_LESS_THAN_EQUAL_100000_THRIFT">"c24967"</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MORTGAGE_LOANS_SECURED_NON_RES_PROPERTY_100000_THROUGH_250000_THRIFT">"c24955"</definedName>
    <definedName name="IQ_NUMBER_MORTGAGE_LOANS_SECURED_NON_RES_PROPERTY_250000_THROUGH_1000000_THRIFT">"c24957"</definedName>
    <definedName name="IQ_NUMBER_MORTGAGE_LOANS_SECURED_NON_RES_PROPERTY_LESS_THAN_EQUAL_100000_THRIFT">"c24953"</definedName>
    <definedName name="IQ_NUMBER_MORTGAGE_LOANS_SECURED_NON_RES_PROPERTY_THRIFT">"c24958"</definedName>
    <definedName name="IQ_NUMBER_NON_MORTGAGE_AGRICULTURE_FARMERS_COMM_LOANS_100000_THROUGH_250000_THRIFT">"c24975"</definedName>
    <definedName name="IQ_NUMBER_NON_MORTGAGE_AGRICULTURE_FARMERS_COMM_LOANS_250000_THROUGH_500000_THRIFT">"c24977"</definedName>
    <definedName name="IQ_NUMBER_NON_MORTGAGE_AGRICULTURE_FARMERS_COMM_LOANS_LESS_THAN_EQUAL_100000_THRIFT">"c24973"</definedName>
    <definedName name="IQ_NUMBER_NON_MORTGAGE_LOANS_EXCEPT_CREDIT_CARD_LOANS_THRIFT">"c24965"</definedName>
    <definedName name="IQ_NUMBER_NON_MORTGAGE_NON_AGRICULTURE_COMM_LOANS_100000_THROUGH_250000_THRIFT">"c24962"</definedName>
    <definedName name="IQ_NUMBER_NON_MORTGAGE_NON_AGRICULTURE_COMM_LOANS_250000_THROUGH_1000000_THRIFT">"c24964"</definedName>
    <definedName name="IQ_NUMBER_NON_MORTGAGE_NON_AGRICULTURE_COMM_LOANS_LESS_THAN_EQUAL_100000_THRIFT">"c24960"</definedName>
    <definedName name="IQ_NUMBER_NONINTEREST_BEARING_TRANSACTION_ACCOUNTS_MORE_THAN_250000_THRIFT">"c25583"</definedName>
    <definedName name="IQ_NUMBER_RETIREMENT_DEPOSIT_ACCOUNTS_GREATER_THAN_250000_THRIFT">"c24993"</definedName>
    <definedName name="IQ_NUMBER_RETIREMENT_DEPOSIT_ACCOUNTS_LESS_THAN_250000_THRIFT">"c24992"</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AVG_ASSETS_THRIFT">"c25663"</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FFICE_OCCUPANCY_EQUIP_EXP_THRIFT">"c24787"</definedName>
    <definedName name="IQ_OFFICE_PREMISES_EQUIPMENT_THRIFT">"c24882"</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DATE_RT" hidden="1">"FIRSTDATETIME"</definedName>
    <definedName name="IQ_OPEN_END_LINES_CREDIT_THRIFT">"c25608"</definedName>
    <definedName name="IQ_OPEN_INTEREST">"c13931"</definedName>
    <definedName name="IQ_OPEN_PRICE_RT" hidden="1">"FIRST"</definedName>
    <definedName name="IQ_OPEN_TIME_RT" hidden="1">"FIRSTDATETIME1"</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ARGIN_1"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CCRUED_INT_PAYABLE_THRIFT">"c24908"</definedName>
    <definedName name="IQ_OTHER_ADDITIONS_ADJUSTED_ASSETS_THRIFT">"c25037"</definedName>
    <definedName name="IQ_OTHER_ADDITIONS_T1_FFIEC" hidden="1">"c13142"</definedName>
    <definedName name="IQ_OTHER_ADDITIONS_T1_THRIFT">"c25028"</definedName>
    <definedName name="IQ_OTHER_ADDITIONS_T2_FFIEC" hidden="1">"c13148"</definedName>
    <definedName name="IQ_OTHER_ADDITIONS_T2_THRIFT">"c25044"</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DJUSTMENTS_SAVINGS_ASSOCIATION_THRIFT">"c25018"</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OCI_THRIFT">"c24923"</definedName>
    <definedName name="IQ_OTHER_ASSETS" hidden="1">"c860"</definedName>
    <definedName name="IQ_OTHER_ASSETS_ADJUSTED_NCOS_TOTAL_THRIFT">"c25227"</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GVA_CHARGE_OFFS_THRIFT">"c25142"</definedName>
    <definedName name="IQ_OTHER_ASSETS_GVA_RECOVERIES_THRIFT">"c25165"</definedName>
    <definedName name="IQ_OTHER_ASSETS_GVA_THRIFT">"c24893"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SVA_PROVISIONS_TRANSFERS_FROM_GVA_TOTAL_THRIFT">"c25196"</definedName>
    <definedName name="IQ_OTHER_ASSETS_THRIFT">"c24892"</definedName>
    <definedName name="IQ_OTHER_ASSETS_TOTAL_FFIEC" hidden="1">"c12841"</definedName>
    <definedName name="IQ_OTHER_ASSETS_UTI" hidden="1">"c866"</definedName>
    <definedName name="IQ_OTHER_BALANCE_CHANGES_OTHER_MORTGAGE_BACKED_SEC_THRIFT">"c25316"</definedName>
    <definedName name="IQ_OTHER_BALANCE_CHANGES_PASS_THROUGH_MORTGAGE_BACKED_SEC_THRIFT">"c25313"</definedName>
    <definedName name="IQ_OTHER_BANK_OWNED_LIFE_INSURANCE_THRIFT">"c24886"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AMOUNTS_NETTED_THRIFT">"c25546"</definedName>
    <definedName name="IQ_OTHER_BORROWINGS_LESS_THAN_1_YR_TOTAL_ASSETS_THRIFT">"c25705"</definedName>
    <definedName name="IQ_OTHER_BORROWINGS_LEVEL_1_THRIFT">"c25542"</definedName>
    <definedName name="IQ_OTHER_BORROWINGS_LEVEL_2_THRIFT">"c25543"</definedName>
    <definedName name="IQ_OTHER_BORROWINGS_LEVEL_3_THRIFT">"c25544"</definedName>
    <definedName name="IQ_OTHER_BORROWINGS_THRIFT">"c24904"</definedName>
    <definedName name="IQ_OTHER_BORROWINGS_TOTAL_AFTER_NETTING_THRIFT">"c25547"</definedName>
    <definedName name="IQ_OTHER_BORROWINGS_TOTAL_BEFORE_NETTING_THRIFT">"c25545"</definedName>
    <definedName name="IQ_OTHER_BROKERED_TIME_DEPOSITS_THRIFT">"c25006"</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MON_PREFERRED_STOCKS_ALL_OTHER_ACCOUNTS_THRIFT">"c25434"</definedName>
    <definedName name="IQ_OTHER_COMMON_PREFERRED_STOCKS_EMPLOYEE_BENEFIT_RETIREMENT_RELATED_ACCOUNTS_THRIFT">"c25418"</definedName>
    <definedName name="IQ_OTHER_COMMON_PREFERRED_STOCKS_PERSONAL_TRUST_AGENCY_INV_MANAGEMENT_ACCOUNTS_THRIFT">"c25402"</definedName>
    <definedName name="IQ_OTHER_COMPREHENSIVE_INCOME_FDIC" hidden="1">"c6503"</definedName>
    <definedName name="IQ_OTHER_COMPREHENSIVE_INCOME_FFIEC" hidden="1">"c12970"</definedName>
    <definedName name="IQ_OTHER_COMPREHENSIVE_INCOME_SAVINGS_ASSOCIATION_THRIFT">"c25016"</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GROSS_LOANS_THRIFT">"c25728"</definedName>
    <definedName name="IQ_OTHER_CONSTRUCTION_LOANS_NON_ACCRUAL_FFIEC" hidden="1">"c13312"</definedName>
    <definedName name="IQ_OTHER_CONSTRUCTION_LOANS_RISK_BASED_CAPITAL_THRIFT">"c25713"</definedName>
    <definedName name="IQ_OTHER_CONSTRUCTION_LOANS_UNUSED_FFIEC" hidden="1">"c13245"</definedName>
    <definedName name="IQ_OTHER_CONSTRUCTION_RISK_BASED_FFIEC" hidden="1">"c13424"</definedName>
    <definedName name="IQ_OTHER_CONSUMER_INC_LEASE_RECEIVABLES_THRIFT">"c24865"</definedName>
    <definedName name="IQ_OTHER_CONSUMER_LL_REC_FFIEC" hidden="1">"c12891"</definedName>
    <definedName name="IQ_OTHER_CONSUMER_LOANS_FFIEC" hidden="1">"c12824"</definedName>
    <definedName name="IQ_OTHER_CONSUMER_LOANS_TRADING_DOM_FFIEC" hidden="1">"c12935"</definedName>
    <definedName name="IQ_OTHER_CONTINGENT_LIABILITIES_THRIFT">"c25621"</definedName>
    <definedName name="IQ_OTHER_CREDIT_CARD_LINES_UNUSED_FFIEC">"c25863"</definedName>
    <definedName name="IQ_OTHER_CURRENT_ASSETS" hidden="1">"c1403"</definedName>
    <definedName name="IQ_OTHER_CURRENT_ASSETS_1" hidden="1">"c1403"</definedName>
    <definedName name="IQ_OTHER_CURRENT_LIAB" hidden="1">"c1404"</definedName>
    <definedName name="IQ_OTHER_CURRENT_LIAB_1"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ADJUSTED_ASSETS_THRIFT">"c25034"</definedName>
    <definedName name="IQ_OTHER_DEDUCTIONS_LEVERAGE_RATIO_FFIEC" hidden="1">"c13158"</definedName>
    <definedName name="IQ_OTHER_DEDUCTIONS_T1_THRIFT">"c25025"</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LIGIBLE_0_PCT_RISK_WEIGHT_THRIFT">"c25054"</definedName>
    <definedName name="IQ_OTHER_ELIGIBLE_20_PCT_RISK_WEIGHT_THRIFT">"c25061"</definedName>
    <definedName name="IQ_OTHER_ELIGIBLE_50_PCT_RISK_WEIGHT_THRIFT">"c25068"</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ONENTS_THRIFT">"c24924"</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INSTRUMENTS_T2_THRIFT">"c25042"</definedName>
    <definedName name="IQ_OTHER_EQUITY_INV_NOT_CARRIED_FV_THRIFT">"c24881"</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EES_CHARGES_THRIFT">"c24768"</definedName>
    <definedName name="IQ_OTHER_FIDUCIARY_ACCOUNTS_INC_THRIFT">"c24808"</definedName>
    <definedName name="IQ_OTHER_FIDUCIARY_ACCOUNTS_MANAGED_ASSETS_THRIFT">"c25355"</definedName>
    <definedName name="IQ_OTHER_FIDUCIARY_ACCOUNTS_NONMANAGED_ASSETS_THRIFT">"c25376"</definedName>
    <definedName name="IQ_OTHER_FIDUCIARY_ACCOUNTS_NUMBER_MANAGED_ACCOUNTS_THRIFT">"c25366"</definedName>
    <definedName name="IQ_OTHER_FIDUCIARY_ACCOUNTS_NUMBER_NONMANAGED_ACCOUNTS_THRIFT">"c25388"</definedName>
    <definedName name="IQ_OTHER_FIDUCIARY_ACCOUNTS_RELATED_SERVICES_GROSS_LOSSES_MANAGED_ACCOUNTS_THRIFT">"c25464"</definedName>
    <definedName name="IQ_OTHER_FIDUCIARY_ACCOUNTS_RELATED_SERVICES_GROSS_LOSSES_NONMANAGED_ACCOUNTS_THRIFT">"c25469"</definedName>
    <definedName name="IQ_OTHER_FIDUCIARY_ACCOUNTS_RELATED_SERVICES_RECOVERIES_THRIFT">"c25474"</definedName>
    <definedName name="IQ_OTHER_FIDUCIARY_RELATED_SERVICES_INC_THRIFT">"c24810"</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ARNING_DEPOSITS_THRIFT">"c24820"</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_SEC_INV_SEC_THRIFT">"c25675"</definedName>
    <definedName name="IQ_OTHER_INV_SEC_THRIFT">"c24826"</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DEFERRED_INCOME_THRIFT">"c24912"</definedName>
    <definedName name="IQ_OTHER_LIABILITIES_FDIC" hidden="1">"c6347"</definedName>
    <definedName name="IQ_OTHER_LIABILITIES_FFIEC" hidden="1">"c12872"</definedName>
    <definedName name="IQ_OTHER_LIABILITIES_THRIFT">"c24905"</definedName>
    <definedName name="IQ_OTHER_LIABILITIES_TOTAL_FFIEC" hidden="1">"c12869"</definedName>
    <definedName name="IQ_OTHER_LINES_CREDIT_THRIFT">"c25611"</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EASES_GROSS_LOANS_THRIFT">"c25735"</definedName>
    <definedName name="IQ_OTHER_LOANS_LEASES_RISK_BASED_CAPITAL_THRIFT">"c25720"</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EXCLUDING_BONDS_THRIFT">"c24832"</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HRIFT">"c24835"</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ET_1" hidden="1">"c1453"</definedName>
    <definedName name="IQ_OTHER_NO_NINT_INCOME_THRIFT">"c24780"</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HRIFT">"c24792"</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ADJUSTED_OPERATING_INCOME_THRIFT">"c25691"</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TES_BONDS_ALL_OTHER_ACCOUNTS_THRIFT">"c25432"</definedName>
    <definedName name="IQ_OTHER_NOTES_BONDS_EMPLOYEE_BENEFIT_RETIREMENT_RELATED_ACCOUNTS_THRIFT">"c25416"</definedName>
    <definedName name="IQ_OTHER_NOTES_BONDS_PERSONAL_TRUST_AGENCY_INV_MANAGEMENT_ACCOUNTS_THRIFT">"c25400"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EXPENSES_ADJUSTED_OPERATING_INCOME_THRIFT">"c25687"</definedName>
    <definedName name="IQ_OTHER_OPERATING_EXPENSES_AVG_ASSETS_THRIFT">"c25664"</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ASS_THROUGH_THRIFT">"c24831"</definedName>
    <definedName name="IQ_OTHER_PC_WRITTEN" hidden="1">"c1006"</definedName>
    <definedName name="IQ_OTHER_PML_SECURED_FIRST_LIEN_1_4_DWELLING_UNITS_DUE_30_89_THRIFT">"c25242"</definedName>
    <definedName name="IQ_OTHER_PML_SECURED_FIRST_LIEN_1_4_DWELLING_UNITS_DUE_90_THRIFT">"c25263"</definedName>
    <definedName name="IQ_OTHER_PML_SECURED_FIRST_LIEN_1_4_DWELLING_UNITS_NON_ACCRUAL_THRIFT">"c25284"</definedName>
    <definedName name="IQ_OTHER_PML_SECURED_JUNIOR_LIEN_1_4_DWELLING_UNITS_DUE_30_89_THRIFT">"c25243"</definedName>
    <definedName name="IQ_OTHER_PML_SECURED_JUNIOR_LIEN_1_4_DWELLING_UNITS_DUE_90_THRIFT">"c25264"</definedName>
    <definedName name="IQ_OTHER_PML_SECURED_JUNIOR_LIEN_1_4_DWELLING_UNITS_NON_ACCRUAL_THRIFT">"c25285"</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POSSESSED_ASSETS_ADJUSTED_NCOS_TOTAL_THRIFT">"c25224"</definedName>
    <definedName name="IQ_OTHER_REPOSSESSED_ASSETS_GVA_CHARGE_OFFS_THRIFT">"c25139"</definedName>
    <definedName name="IQ_OTHER_REPOSSESSED_ASSETS_SVA_PROVISIONS_TRANSFERS_FROM_GVA_TOTAL_THRIFT">"c25193"</definedName>
    <definedName name="IQ_OTHER_RESIDUAL_INTERESTS_THRIFT">"c24940"</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ERVICE_CHARGES_COMM_FEE_DOM_FFIEC">"c25822"</definedName>
    <definedName name="IQ_OTHER_SHORT_TERM_OBLIGATIONS_ALL_OTHER_ACCOUNTS_THRIFT">"c25431"</definedName>
    <definedName name="IQ_OTHER_SHORT_TERM_OBLIGATIONS_EMPLOYEE_BENEFIT_RETIREMENT_RELATED_ACCOUNTS_THRIFT">"c25415"</definedName>
    <definedName name="IQ_OTHER_SHORT_TERM_OBLIGATIONS_PERSONAL_TRUST_AGENCY_INV_MANAGEMENT_ACCOUNTS_THRIFT">"c25399"</definedName>
    <definedName name="IQ_OTHER_SQ_FT" hidden="1">"c8780"</definedName>
    <definedName name="IQ_OTHER_STRIKE_PRICE_GRANTED" hidden="1">"c2692"</definedName>
    <definedName name="IQ_OTHER_TAX_EQUIVALENT_ADJUSTMENTS_FFIEC" hidden="1">"c13855"</definedName>
    <definedName name="IQ_OTHER_TEMP_IMPAIR_LOSS_HTM_AFS_FFIEC">"c25845"</definedName>
    <definedName name="IQ_OTHER_TIME_DEPOSITS_THRIFT">"c25569"</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ALANCE_CONTRACTUAL_PURCHASED_CREDIT_IMPAIRED_LOANS_THRIFT">"c25237"</definedName>
    <definedName name="IQ_OUTSTANDING_BS_DATE" hidden="1">"c2128"</definedName>
    <definedName name="IQ_OUTSTANDING_BS_DATE_1" hidden="1">"c2128"</definedName>
    <definedName name="IQ_OUTSTANDING_CHECKS_DRAWN_AGAINST_FHLBS_FEDERAL_RESERVE_BANKS_THRIFT">"c25571"</definedName>
    <definedName name="IQ_OUTSTANDING_COMMITMENTS_LOANS_CLOSED_LOANS_IN_PROCESS_MORTGAGE_CONSTRUCTION_LOANS_THRIFT">"c25591"</definedName>
    <definedName name="IQ_OUTSTANDING_COMMITMENTS_LOANS_CLOSED_LOANS_IN_PROCESS_NON_MORTGAGE_LOANS_THRIFT">"c25593"</definedName>
    <definedName name="IQ_OUTSTANDING_COMMITMENTS_LOANS_CLOSED_LOANS_IN_PROCESS_OTHER_MORTGAGE_LOANS_THRIFT">"c25592"</definedName>
    <definedName name="IQ_OUTSTANDING_COMMITMENTS_ORIGINATE_MORTGAGE_LOANS_SECURED_1_4_DWELLING_UNITS_THRIFT">"c25595"</definedName>
    <definedName name="IQ_OUTSTANDING_COMMITMENTS_ORIGINATE_MORTGAGE_LOANS_SECURED_ALL_OTHER_RE_THRIFT">"c25597"</definedName>
    <definedName name="IQ_OUTSTANDING_COMMITMENTS_ORIGINATE_MORTGAGE_LOANS_SECURED_MULTIFAMILY_5_MORE_DWELLING_UNITS_THRIFT">"c25596"</definedName>
    <definedName name="IQ_OUTSTANDING_COMMITMENTS_ORIGINATE_MORTGAGE_LOANS_SECURED_RE_THRIFT">"c25594"</definedName>
    <definedName name="IQ_OUTSTANDING_COMMITMENTS_ORIGINATE_NON_MORTGAGE_LOANS_THRIFT">"c25598"</definedName>
    <definedName name="IQ_OUTSTANDING_COMMITMENTS_PURCHASE_INV_SEC_THRIFT">"c25603"</definedName>
    <definedName name="IQ_OUTSTANDING_COMMITMENTS_PURCHASE_LOANS_THRIFT">"c25599"</definedName>
    <definedName name="IQ_OUTSTANDING_COMMITMENTS_PURCHASE_MORTGAGE_BACKED_SEC_THRIFT">"c25601"</definedName>
    <definedName name="IQ_OUTSTANDING_COMMITMENTS_SELL_INV_SEC_THRIFT">"c25604"</definedName>
    <definedName name="IQ_OUTSTANDING_COMMITMENTS_SELL_LOANS_THRIFT">"c25600"</definedName>
    <definedName name="IQ_OUTSTANDING_COMMITMENTS_SELL_MORTGAGE_BACKED_SEC_THRIFT">"c25602"</definedName>
    <definedName name="IQ_OUTSTANDING_COMMITMENTS_UNDISBURSED_BALANCE_LOANS_CLOSED_THRIFT">"c25590"</definedName>
    <definedName name="IQ_OUTSTANDING_FILING_DATE" localSheetId="3" hidden="1">"c1023"</definedName>
    <definedName name="IQ_OUTSTANDING_FILING_DATE" localSheetId="11"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"c25684"</definedName>
    <definedName name="IQ_OVERHEAD_EXP_AVG_ASSETS_FFIEC" hidden="1">"c13361"</definedName>
    <definedName name="IQ_OVERHEAD_EXP_AVG_ASSETS_THRIFT">"c25652"</definedName>
    <definedName name="IQ_OVERHEAD_EXP_REV_FFIEC" hidden="1">"c13494"</definedName>
    <definedName name="IQ_OVERHEAD_EXP_REVENUES_THRIFT">"c25683"</definedName>
    <definedName name="IQ_OVERHEAD_LESS_NON_INT_INCOME_ADJUSTED_OPERATING_INCOME_THRIFT">"c25692"</definedName>
    <definedName name="IQ_OVERHEAD_LESS_NON_INT_INCOME_AVG_ASSETS_THRIFT">"c25665"</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S_THROUGH_MBS_THRIFT">"c24829"</definedName>
    <definedName name="IQ_PASSBOOK_ACCOUNTS_INC_NONDEMAND_ESCROWS_THRIFT">"c25000"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ST_DUE_LOANS_GROSS_LOANS_THRIFT">"c25737"</definedName>
    <definedName name="IQ_PAY_ACCRUED" hidden="1">"c1457"</definedName>
    <definedName name="IQ_PAY_ACCRUED_1"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ASSETS_TEST_THRIFT">"c25587"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DATE_THRIFT">"c25897"</definedName>
    <definedName name="IQ_PERIODLENGTH_AP" hidden="1">"c11746"</definedName>
    <definedName name="IQ_PERIODLENGTH_CF" hidden="1">"c1502"</definedName>
    <definedName name="IQ_PERIODLENGTH_IS" hidden="1">"c1503"</definedName>
    <definedName name="IQ_PERMANENT_1_4_DWELLING_UNITS_ALL_OTHER_SECURED_FIRST_LIENS_THRIFT">"c24844"</definedName>
    <definedName name="IQ_PERMANENT_1_4_DWELLING_UNITS_ALL_OTHER_SECURED_JUNIOR_LIENS_THRIFT">"c24845"</definedName>
    <definedName name="IQ_PERMANENT_1_4_DWELLING_UNITS_REVOLVING_OPEN_END_LOANS_THRIFT">"c24843"</definedName>
    <definedName name="IQ_PERMANENT_LAND_THRIFT">"c24848"</definedName>
    <definedName name="IQ_PERMANENT_LOANS_SECURED_1_4_DWELLING_UNITS_FORECLOSED_DURING_QUARTER_THRIFT">"c25232"</definedName>
    <definedName name="IQ_PERMANENT_LOANS_SECURED_LAND_FORECLOSED_DURING_QUARTER_THRIFT">"c25235"</definedName>
    <definedName name="IQ_PERMANENT_LOANS_SECURED_MULTIFAMILY_5_MORE_DWELLING_UNITS_FORECLOSED_DURING_QUARTER_THRIFT">"c25233"</definedName>
    <definedName name="IQ_PERMANENT_LOANS_SECURED_NONRES_EXCEPT_LAND_FORECLOSED_DURING_QUARTER_THRIFT">"c25234"</definedName>
    <definedName name="IQ_PERMANENT_MORTGAGE_LOANS_THRIFT">"c24842"</definedName>
    <definedName name="IQ_PERMANENT_MULTIFAMILY_5_MORE_DWELLING_UNITS_THRIFT">"c24846"</definedName>
    <definedName name="IQ_PERMANENT_NONRES_PROPERTY_EXCEPT_LAND_THRIFT">"c24847"</definedName>
    <definedName name="IQ_PERPETUAL_PREF_STOCK_THRIFT">"c24914"</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"c25461"</definedName>
    <definedName name="IQ_PERSONAL_TRUST_AGENCY_ACCOUNTS_GROSS_LOSSES_NONMANAGED_ACCOUNTS_THRIFT">"c25466"</definedName>
    <definedName name="IQ_PERSONAL_TRUST_AGENCY_ACCOUNTS_INC_THRIFT">"c24801"</definedName>
    <definedName name="IQ_PERSONAL_TRUST_AGENCY_ACCOUNTS_MANAGED_ASSETS_THRIFT">"c25347"</definedName>
    <definedName name="IQ_PERSONAL_TRUST_AGENCY_ACCOUNTS_NONMANAGED_ASSETS_THRIFT">"c25368"</definedName>
    <definedName name="IQ_PERSONAL_TRUST_AGENCY_ACCOUNTS_NUMBER_MANAGED_ACCOUNTS_THRIFT">"c25358"</definedName>
    <definedName name="IQ_PERSONAL_TRUST_AGENCY_ACCOUNTS_NUMBER_NONMANAGED_ACCOUNTS_THRIFT">"c25380"</definedName>
    <definedName name="IQ_PERSONAL_TRUST_AGENCY_ACCOUNTS_RECOVERIES_THRIFT">"c25471"</definedName>
    <definedName name="IQ_PERSONNEL_EXP_ADJUSTED_OPERATING_INCOME_THRIFT">"c25685"</definedName>
    <definedName name="IQ_PERSONNEL_EXP_AVG_ASSETS_FFIEC" hidden="1">"c13371"</definedName>
    <definedName name="IQ_PERSONNEL_EXP_AVG_ASSETS_THRIFT">"c25662"</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LOANS_THRIFT">"c24936"</definedName>
    <definedName name="IQ_PLEDGED_SEC_INVEST_SECURITIES_FFIEC" hidden="1">"c13467"</definedName>
    <definedName name="IQ_PLEDGED_SECURITIES_FDIC" hidden="1">"c6401"</definedName>
    <definedName name="IQ_PLEDGED_SECURITIES_FFIEC" hidden="1">"c24743"</definedName>
    <definedName name="IQ_PLEDGED_TRADING_ASSETS_THRIFT">"c24937"</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L_SECURED_LAND_DUE_30_89_THRIFT">"c25246"</definedName>
    <definedName name="IQ_PML_SECURED_LAND_DUE_90_THRIFT">"c25267"</definedName>
    <definedName name="IQ_PML_SECURED_LAND_NON_ACCRUAL_THRIFT">"c25288"</definedName>
    <definedName name="IQ_PML_SECURED_MULTIFAMILY_5_MORE_DWELLING_UNITS_DUE_30_89_THRIFT">"c25244"</definedName>
    <definedName name="IQ_PML_SECURED_MULTIFAMILY_5_MORE_DWELLING_UNITS_DUE_90_THRIFT">"c25265"</definedName>
    <definedName name="IQ_PML_SECURED_MULTIFAMILY_5_MORE_DWELLING_UNITS_NON_ACCRUAL_THRIFT">"c25286"</definedName>
    <definedName name="IQ_PML_SECURED_NONRES_PROPERTY_EXCEPT_LAND_DUE_30_89_THRIFT">"c25245"</definedName>
    <definedName name="IQ_PML_SECURED_NONRES_PROPERTY_EXCEPT_LAND_DUE_90_THRIFT">"c25266"</definedName>
    <definedName name="IQ_PML_SECURED_NONRES_PROPERTY_EXCEPT_LAND_NON_ACCRUAL_THRIFT">"c25287"</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"c1416"</definedName>
    <definedName name="IQ_PREF_STOCK_FFIEC" hidden="1">"c12875"</definedName>
    <definedName name="IQ_PREF_TOT" hidden="1">"c1415"</definedName>
    <definedName name="IQ_PREF_TOT_1" hidden="1">"c1415"</definedName>
    <definedName name="IQ_PREFERRED_DEPOSITS_FFIEC" hidden="1">"c15312"</definedName>
    <definedName name="IQ_PREFERRED_DEPOSITS_THRIFT">"c24996"</definedName>
    <definedName name="IQ_PREFERRED_FDIC" hidden="1">"c6349"</definedName>
    <definedName name="IQ_PREFERRED_LIST" hidden="1">"c13506"</definedName>
    <definedName name="IQ_PREFERRED_STOCK_DIVIDENDS_DECLARED_SAVINGS_ASSOCIATION_THRIFT">"c25010"</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EXPEN_1"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localSheetId="3" hidden="1">"c16"</definedName>
    <definedName name="IQ_PRETAX_INC" localSheetId="11" hidden="1">"c16"</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CONTRACT_ID">"c13929"</definedName>
    <definedName name="IQ_PREV_MONTHLY_FACTOR" hidden="1">"c8973"</definedName>
    <definedName name="IQ_PREV_MONTHLY_FACTOR_DATE" hidden="1">"c8974"</definedName>
    <definedName name="IQ_PREVIOUS_DATE_RT" hidden="1">"PREVIOUSLASTDATE"</definedName>
    <definedName name="IQ_PREVIOUS_PRICE_RT" hidden="1">"PREVIOUSLAST"</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CHANGE_PCT_RT" hidden="1">"CHANGEPCT"</definedName>
    <definedName name="IQ_PRICE_CHANGE_RT" hidden="1">"CHANGE"</definedName>
    <definedName name="IQ_PRICE_DATE_RT" hidden="1">"LASTDATE"</definedName>
    <definedName name="IQ_PRICE_OVER_BVPS" hidden="1">"c1412"</definedName>
    <definedName name="IQ_PRICE_OVER_BVPS_1" hidden="1">"c1412"</definedName>
    <definedName name="IQ_PRICE_OVER_EPS_EST" localSheetId="3" hidden="1">"c174"</definedName>
    <definedName name="IQ_PRICE_OVER_EPS_EST" localSheetId="11" hidden="1">"c174"</definedName>
    <definedName name="IQ_PRICE_OVER_EPS_EST" hidden="1">"IQ_PRICE_OVER_EPS_EST"</definedName>
    <definedName name="IQ_PRICE_OVER_EPS_EST_1" localSheetId="3" hidden="1">"c175"</definedName>
    <definedName name="IQ_PRICE_OVER_EPS_EST_1" localSheetId="11" hidden="1">"c175"</definedName>
    <definedName name="IQ_PRICE_OVER_EPS_EST_1" hidden="1">"IQ_PRICE_OVER_EPS_EST_1"</definedName>
    <definedName name="IQ_PRICE_OVER_LTM_EPS" hidden="1">"c1413"</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RT" hidden="1">"LAST"</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TIME_RT" hidden="1">"LASTTIME"</definedName>
    <definedName name="IQ_PRICE_UNIT">"c15556"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"c16246"</definedName>
    <definedName name="IQ_PRIMARY_EST_CONSOLIDATION_CIQ">"c16247"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OR_PERIOD_ADJUSTMENTS_SAVINGS_ASSOCIATION_THRIFT">"c25017"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"c1379"</definedName>
    <definedName name="IQ_PROPERTY_MGMT_FEE" hidden="1">"c1074"</definedName>
    <definedName name="IQ_PROPERTY_NET" hidden="1">"c1402"</definedName>
    <definedName name="IQ_PROPERTY_NET_1"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AVG_LOANS_THRIFT">"c25639"</definedName>
    <definedName name="IQ_PROVISION_LL_FFIEC" hidden="1">"c13019"</definedName>
    <definedName name="IQ_PROVISION_LL_INT_BEARING_ASSETS_THRIFT">"c24783"</definedName>
    <definedName name="IQ_PROVISION_LL_NET_LOSSES_THRIFT">"c25640"</definedName>
    <definedName name="IQ_PROVISION_LL_NON_INT_BEARING_ASSETS_THRIFT">"c24784"</definedName>
    <definedName name="IQ_PROVISION_LOAN_LL_AVG_ASSETS_THRIFT">"c25785"</definedName>
    <definedName name="IQ_PROVISION_LOAN_LOSS_AVG_ASSETS_FFIEC" hidden="1">"c18879"</definedName>
    <definedName name="IQ_PROVISION_LOAN_LOSSES_AVG_ASSETS_THRIFT">"c25653"</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ES_OTHER_MORTGAGE_BACKED_SEC_THRIFT">"c25314"</definedName>
    <definedName name="IQ_PURCHASES_PASS_THROUGH_MORTGAGE_BACKED_SEC_THRIFT">"c25311"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MULTIFAMILY_RES_MORTGAGE_LOANS_ELIGIBLE_50_PCT_RISK_WEIGHT_THRIFT">"c25065"</definedName>
    <definedName name="IQ_QUALIFYING_SINGLE_FAMILY_RES_MORTGAGE_LOANS_ELIGIBLE_50_PCT_RISK_WEIGHT_THRIFT">"c25064"</definedName>
    <definedName name="IQ_QUALIFYING_SUB_DEBT_REDEEM_PREF_T2_FFIEC" hidden="1">"c13144"</definedName>
    <definedName name="IQ_QUALIFYING_SUB_DEBT_REDEEMABLE_PREFERRED_T2_THRIFT">"c25041"</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DWELLING_UNITS_REPOSSESSED_ASSETS_ADJUSTED_NCOS_TOTAL_THRIFT">"c25220"</definedName>
    <definedName name="IQ_RE_1_4_DWELLING_UNITS_REPOSSESSED_ASSETS_GVA_CHARGE_OFFS_THRIFT">"c25135"</definedName>
    <definedName name="IQ_RE_1_4_DWELLING_UNITS_REPOSSESSED_ASSETS_SVA_PROVISIONS_TRANSFERS_FROM_GVA_TOTAL_THRIFT">"c25189"</definedName>
    <definedName name="IQ_RE_1_4_RISK_BASED_FFIEC" hidden="1">"c13418"</definedName>
    <definedName name="IQ_RE_ACQ_SATISFACTION_DEBTS_FFIEC" hidden="1">"c12832"</definedName>
    <definedName name="IQ_RE_ALL_OTHER_ACCOUNTS_THRIFT">"c25436"</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CONSTRUCTION_REPOSSESSED_ASSETS_ADJUSTED_NCOS_TOTAL_THRIFT">"c25219"</definedName>
    <definedName name="IQ_RE_CONSTRUCTION_REPOSSESSED_ASSETS_GVA_CHARGE_OFFS_THRIFT">"c25134"</definedName>
    <definedName name="IQ_RE_CONSTRUCTION_REPOSSESSED_ASSETS_SVA_PROVISIONS_TRANSFERS_FROM_GVA_TOTAL_THRIFT">"c25188"</definedName>
    <definedName name="IQ_RE_DEPR_AMORT" hidden="1">"c8750"</definedName>
    <definedName name="IQ_RE_DEPRECIATION" hidden="1">"c16045"</definedName>
    <definedName name="IQ_RE_EMPLOYEE_BENEFIT_RETIREMENT_RELATED_ACCOUNTS_THRIFT">"c25420"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HELD_INV_ADJUSTED_NCOS_THRIFT">"c25225"</definedName>
    <definedName name="IQ_RE_HELD_INV_GVA_CHARGE_OFFS_THRIFT">"c25140"</definedName>
    <definedName name="IQ_RE_HELD_INV_SVA_PROVISIONS_TRANSFERS_FROM_GVA_THRIFT">"c25194"</definedName>
    <definedName name="IQ_RE_HELD_INV_THRIFT">"c24878"</definedName>
    <definedName name="IQ_RE_INVEST_FDIC" hidden="1">"c6331"</definedName>
    <definedName name="IQ_RE_LAND_REPOSSESSED_ASSETS_ADJUSTED_NCOS_TOTAL_THRIFT">"c25223"</definedName>
    <definedName name="IQ_RE_LAND_REPOSSESSED_ASSETS_GVA_CHARGE_OFFS_THRIFT">"c25138"</definedName>
    <definedName name="IQ_RE_LAND_REPOSSESSED_ASSETS_SVA_PROVISIONS_TRANSFERS_FROM_GVA_TOTAL_THRIFT">"c25192"</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"c25826"</definedName>
    <definedName name="IQ_RE_LOANS_DUE_90_FFIEC">"c25827"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LOANS_NON_ACCRUAL_FFIEC">"c25828"</definedName>
    <definedName name="IQ_RE_LOANS_SECURED_1_4_FAMILY_GROSS_LOANS_THRIFT">"c25722"</definedName>
    <definedName name="IQ_RE_LOANS_SECURED_1_4_FAMILY_RISK_BASED_CAPITAL_THRIFT">"c25707"</definedName>
    <definedName name="IQ_RE_LOANS_SECURED_LAND_GROSS_LOANS_THRIFT">"c25731"</definedName>
    <definedName name="IQ_RE_LOANS_SECURED_LAND_RISK_BASED_CAPITAL_THRIFT">"c25716"</definedName>
    <definedName name="IQ_RE_MAINT_CAPEX" hidden="1">"c8755"</definedName>
    <definedName name="IQ_RE_MINORITY_INTEREST" hidden="1">"c8752"</definedName>
    <definedName name="IQ_RE_MORTGAGES_ALL_OTHER_ACCOUNTS_THRIFT">"c25435"</definedName>
    <definedName name="IQ_RE_MORTGAGES_EMPLOYEE_BENEFIT_RETIREMENT_RELATED_ACCOUNTS_THRIFT">"c25419"</definedName>
    <definedName name="IQ_RE_MORTGAGES_PERSONAL_TRUST_AGENCY_INV_MANAGEMENT_ACCOUNTS_THRIFT">"c25403"</definedName>
    <definedName name="IQ_RE_MULTIFAMILY_5_MORE_DWELLING_UNITS_REPOSSESSED_ASSETS_ADJUSTED_NCOS_TOTAL_THRIFT">"c25221"</definedName>
    <definedName name="IQ_RE_MULTIFAMILY_5_MORE_DWELLING_UNITS_REPOSSESSED_ASSETS_GVA_CHARGE_OFFS_THRIFT">"c25136"</definedName>
    <definedName name="IQ_RE_MULTIFAMILY_5_MORE_DWELLING_UNITS_REPOSSESSED_ASSETS_SVA_PROVISIONS_TRANSFERS_FROM_GVA_TOTAL_THRIFT">"c25190"</definedName>
    <definedName name="IQ_RE_NET_INCOME" hidden="1">"c8749"</definedName>
    <definedName name="IQ_RE_NOI" hidden="1">"c8864"</definedName>
    <definedName name="IQ_RE_NOI_GROWTH_SAME_PROP" hidden="1">"c8866"</definedName>
    <definedName name="IQ_RE_NOI_SAME_PROP" hidden="1">"c8865"</definedName>
    <definedName name="IQ_RE_NONRES_EXCEPT_LAND_REPOSSESSED_ASSETS_ADJUSTED_NCOS_TOTAL_THRIFT">"c25222"</definedName>
    <definedName name="IQ_RE_NONRES_EXCEPT_LAND_REPOSSESSED_ASSETS_GVA_CHARGE_OFFS_THRIFT">"c25137"</definedName>
    <definedName name="IQ_RE_NONRES_EXCEPT_LAND_REPOSSESSED_ASSETS_SVA_PROVISIONS_TRANSFERS_FROM_GVA_TOTAL_THRIFT">"c25191"</definedName>
    <definedName name="IQ_RE_OTHER_ITEMS" hidden="1">"c8753"</definedName>
    <definedName name="IQ_RE_PERSONAL_TRUST_AGENCY_INV_MANAGEMENT_ACCOUNTS_THRIFT">"c25404"</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BOOKED_GNMA_LOANS_REPURCHASED_ELIGIBLE_REPURCHASE_DUE_30_89_THRIFT">"c25260"</definedName>
    <definedName name="IQ_REBOOKED_GNMA_LOANS_REPURCHASED_ELIGIBLE_REPURCHASE_DUE_90_THRIFT">"c25281"</definedName>
    <definedName name="IQ_REBOOKED_GNMA_LOANS_REPURCHASED_ELIGIBLE_REPURCHASE_NON_ACCRUAL_THRIFT">"c25302"</definedName>
    <definedName name="IQ_RECENT_FUNDS" hidden="1">"c18908"</definedName>
    <definedName name="IQ_RECENT_FUNDS_ID" hidden="1">"c18909"</definedName>
    <definedName name="IQ_RECIPROCAL_BROKERED_DEPOSITS_THRIFT">"c24997"</definedName>
    <definedName name="IQ_RECORDED_INV_PURCHASED_CREDIT_IMPAIRED_LOANS_THRIFT">"c25238"</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GVA_THRIFT">"c25094"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"c25108"</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OSSESS_1_4_DWELLING_UNITS_RE_THRIFT">"c24871"</definedName>
    <definedName name="IQ_REPOSSESS_ASSETS_THRIFT">"c24869"</definedName>
    <definedName name="IQ_REPOSSESS_CONSTRUCTION_RE_THRIFT">"c24870"</definedName>
    <definedName name="IQ_REPOSSESS_GVA_THRIFT">"c24877"</definedName>
    <definedName name="IQ_REPOSSESS_LAND_THRIFT">"c24874"</definedName>
    <definedName name="IQ_REPOSSESS_MULTIFAMILY_5_MORE_DWELLING_UNITS_RE_THRIFT">"c24872"</definedName>
    <definedName name="IQ_REPOSSESS_NONRES_EXCEPT_LAND_RE_THRIFT">"c24873"</definedName>
    <definedName name="IQ_REPOSSESS_OTHER_ASSETS_THRIFT">"c24876"</definedName>
    <definedName name="IQ_REPOSSESS_US_GOVT_GUARANTEED_INSURED_RE_OWNED_THRIFT">"c24875"</definedName>
    <definedName name="IQ_REPOSSESSED_ASSETS_TOTAL_ADJUSTED_NCOS_TOTAL_THRIFT">"c25218"</definedName>
    <definedName name="IQ_REPOSSESSED_ASSETS_TOTAL_GVA_CHARGE_OFFS_THRIFT">"c25133"</definedName>
    <definedName name="IQ_REPOSSESSED_ASSETS_TOTAL_SVA_PROVISIONS_TRANSFERS_FROM_GVA_TOTAL_THRIFT">"c25187"</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"c1419"</definedName>
    <definedName name="IQ_RESIDENTIAL_LOANS" hidden="1">"c1102"</definedName>
    <definedName name="IQ_RESIDUAL_INTERESTS_INT_ONLY_STRIPS_THRIFT">"c24939"</definedName>
    <definedName name="IQ_RESIDUAL_INTERESTS_THRIFT">"c24938"</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FRANCHISE_STORES_1" hidden="1">"c2903"</definedName>
    <definedName name="IQ_RETAIL_ACQUIRED_OWNED_STORES" hidden="1">"c2903"</definedName>
    <definedName name="IQ_RETAIL_ACQUIRED_OWNED_STORES_1"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"c9903"</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"c1420"</definedName>
    <definedName name="IQ_RETAINED_EARNINGS_AVERAGE_EQUITY_FDIC" hidden="1">"c6733"</definedName>
    <definedName name="IQ_RETAINED_EARNINGS_EQUITY_FFIEC" hidden="1">"c13348"</definedName>
    <definedName name="IQ_RETAINED_EARNINGS_EQUITY_THRIFT">"c25633"</definedName>
    <definedName name="IQ_RETAINED_EARNINGS_FFIEC" hidden="1">"c12878"</definedName>
    <definedName name="IQ_RETAINED_EARNINGS_THRIFT">"c24919"</definedName>
    <definedName name="IQ_RETIREMENT_DEFINED_BENEFIT_INC_THRIFT">"c24803"</definedName>
    <definedName name="IQ_RETIREMENT_DEFINED_CONT_INC_THRIFT">"c24802"</definedName>
    <definedName name="IQ_RETIREMENT_DEPOSITS_LESS_THAN_250000_THRIFT">"c24990"</definedName>
    <definedName name="IQ_RETIREMENT_DEPOSITS_WITH_BALANCES_GREATER_THAN_250000_THRIFT">"c24991"</definedName>
    <definedName name="IQ_RETIREMENT_OTHER_RETIREMENT_ACCOUNTS_INC_THRIFT">"c24804"</definedName>
    <definedName name="IQ_RETIREMENT_RELATED_EMPLOYEE_BENEFIT_ACCOUNTS_GROSS_LOSSES_MANAGED_ACCOUNTS_THRIFT">"c25462"</definedName>
    <definedName name="IQ_RETIREMENT_RELATED_EMPLOYEE_BENEFIT_ACCOUNTS_GROSS_LOSSES_NONMANAGED_ACCOUNTS_THRIFT">"c25467"</definedName>
    <definedName name="IQ_RETIREMENT_RELATED_EMPLOYEE_BENEFIT_ACCOUNTS_RECOVERIES_THRIFT">"c25472"</definedName>
    <definedName name="IQ_RETIREMENT_RELATED_TRUST_AGENCY_ACCOUNTS_EMPLOYEE_BENEFIT_DEFINED_BENEFIT_MANAGED_ASSETS_THRIFT">"c25349"</definedName>
    <definedName name="IQ_RETIREMENT_RELATED_TRUST_AGENCY_ACCOUNTS_EMPLOYEE_BENEFIT_DEFINED_BENEFIT_NONMANAGED_ASSETS_THRIFT">"c25370"</definedName>
    <definedName name="IQ_RETIREMENT_RELATED_TRUST_AGENCY_ACCOUNTS_EMPLOYEE_BENEFIT_DEFINED_BENEFIT_NUMBER_MANAGED_ACCOUNTS_THRIFT">"c25360"</definedName>
    <definedName name="IQ_RETIREMENT_RELATED_TRUST_AGENCY_ACCOUNTS_EMPLOYEE_BENEFIT_DEFINED_BENEFIT_NUMBER_NONMANAGED_ACCOUNTS_THRIFT">"c25382"</definedName>
    <definedName name="IQ_RETIREMENT_RELATED_TRUST_AGENCY_ACCOUNTS_EMPLOYEE_BENEFIT_DEFINED_CONTRIBUTION_MANAGED_ASSETS_THRIFT">"c25348"</definedName>
    <definedName name="IQ_RETIREMENT_RELATED_TRUST_AGENCY_ACCOUNTS_EMPLOYEE_BENEFIT_DEFINED_CONTRIBUTION_NONMANAGED_ASSETS_THRIFT">"c25369"</definedName>
    <definedName name="IQ_RETIREMENT_RELATED_TRUST_AGENCY_ACCOUNTS_EMPLOYEE_BENEFIT_DEFINED_CONTRIBUTION_NUMBER_MANAGED_ACCOUNTS_THRIFT">"c25359"</definedName>
    <definedName name="IQ_RETIREMENT_RELATED_TRUST_AGENCY_ACCOUNTS_EMPLOYEE_BENEFIT_DEFINED_CONTRIBUTION_NUMBER_NONMANAGED_ACCOUNTS_THRIFT">"c25381"</definedName>
    <definedName name="IQ_RETIREMENT_RELATED_TRUST_AGENCY_ACCOUNTS_EMPLOYEE_BENEFIT_OTHER_MANAGED_ASSETS_THRIFT">"c25350"</definedName>
    <definedName name="IQ_RETIREMENT_RELATED_TRUST_AGENCY_ACCOUNTS_EMPLOYEE_BENEFIT_OTHER_NONMANAGED_ASSETS_THRIFT">"c25371"</definedName>
    <definedName name="IQ_RETIREMENT_RELATED_TRUST_AGENCY_ACCOUNTS_EMPLOYEE_BENEFIT_OTHER_NUMBER_MANAGED_ACCOUNTS_THRIFT">"c25361"</definedName>
    <definedName name="IQ_RETIREMENT_RELATED_TRUST_AGENCY_ACCOUNTS_EMPLOYEE_BENEFIT_OTHER_NUMBER_NONMANAGED_ACCOUNTS_THRIFT">"c25383"</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Est" hidden="1">"IQ_REVENUE_EST"</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BEFORE_LL_THRIFT">"c24782"</definedName>
    <definedName name="IQ_REVENUE_COMMERCIAL" hidden="1">"c2881"</definedName>
    <definedName name="IQ_REVENUE_DIGITAL_CABLE" hidden="1">"c2876"</definedName>
    <definedName name="IQ_REVENUE_EST" hidden="1">"c1126"</definedName>
    <definedName name="IQ_REVENUE_EST_1" localSheetId="3" hidden="1">"c190"</definedName>
    <definedName name="IQ_REVENUE_EST_1" localSheetId="11" hidden="1">"c190"</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"c16285"</definedName>
    <definedName name="IQ_REVENUE_EST_DOWN_2MONTH_CIQ">"c16609"</definedName>
    <definedName name="IQ_REVENUE_EST_DOWN_3MONTH">"c16289"</definedName>
    <definedName name="IQ_REVENUE_EST_DOWN_3MONTH_CIQ">"c16613"</definedName>
    <definedName name="IQ_REVENUE_EST_DOWN_MONTH">"c16281"</definedName>
    <definedName name="IQ_REVENUE_EST_DOWN_MONTH_CIQ">"c16605"</definedName>
    <definedName name="IQ_REVENUE_EST_NOTE">"c17502"</definedName>
    <definedName name="IQ_REVENUE_EST_NOTE_CIQ">"c17455"</definedName>
    <definedName name="IQ_REVENUE_EST_NUM_ANALYSTS_2MONTH">"c16283"</definedName>
    <definedName name="IQ_REVENUE_EST_NUM_ANALYSTS_2MONTH_CIQ">"c16607"</definedName>
    <definedName name="IQ_REVENUE_EST_NUM_ANALYSTS_3MONTH">"c16287"</definedName>
    <definedName name="IQ_REVENUE_EST_NUM_ANALYSTS_3MONTH_CIQ">"c16611"</definedName>
    <definedName name="IQ_REVENUE_EST_NUM_ANALYSTS_MONTH">"c16279"</definedName>
    <definedName name="IQ_REVENUE_EST_NUM_ANALYSTS_MONTH_CIQ">"c16603"</definedName>
    <definedName name="IQ_REVENUE_EST_REUT" hidden="1">"c3634"</definedName>
    <definedName name="IQ_REVENUE_EST_THOM" hidden="1">"c3652"</definedName>
    <definedName name="IQ_REVENUE_EST_TOTAL_REVISED_2MONTH">"c16286"</definedName>
    <definedName name="IQ_REVENUE_EST_TOTAL_REVISED_2MONTH_CIQ">"c16610"</definedName>
    <definedName name="IQ_REVENUE_EST_TOTAL_REVISED_3MONTH">"c16290"</definedName>
    <definedName name="IQ_REVENUE_EST_TOTAL_REVISED_3MONTH_CIQ">"c16614"</definedName>
    <definedName name="IQ_REVENUE_EST_TOTAL_REVISED_MONTH">"c16282"</definedName>
    <definedName name="IQ_REVENUE_EST_TOTAL_REVISED_MONTH_CIQ">"c16606"</definedName>
    <definedName name="IQ_REVENUE_EST_UP_2MONTH">"c16284"</definedName>
    <definedName name="IQ_REVENUE_EST_UP_2MONTH_CIQ">"c16608"</definedName>
    <definedName name="IQ_REVENUE_EST_UP_3MONTH">"c16288"</definedName>
    <definedName name="IQ_REVENUE_EST_UP_3MONTH_CIQ">"c16612"</definedName>
    <definedName name="IQ_REVENUE_EST_UP_MONTH">"c16280"</definedName>
    <definedName name="IQ_REVENUE_EST_UP_MONTH_CIQ">"c16604"</definedName>
    <definedName name="IQ_REVENUE_GROWTH_1" localSheetId="3" hidden="1">"c155"</definedName>
    <definedName name="IQ_REVENUE_GROWTH_1" localSheetId="11" hidden="1">"c155"</definedName>
    <definedName name="IQ_REVENUE_GROWTH_1" hidden="1">"IQ_REVENUE_GROWTH_1"</definedName>
    <definedName name="IQ_REVENUE_GROWTH_2" localSheetId="3" hidden="1">"c159"</definedName>
    <definedName name="IQ_REVENUE_GROWTH_2" localSheetId="11" hidden="1">"c159"</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39421.6485648148</definedName>
    <definedName name="IQ_REVISION_DATE__1" hidden="1">39301.7944328704</definedName>
    <definedName name="IQ_Revision_Date_guess" hidden="1">38978.3778356481</definedName>
    <definedName name="IQ_REVISION_DATE_ORIGMODEL" hidden="1">39850.4274305556</definedName>
    <definedName name="IQ_REVISION_DATE_REVISEDMODEL" hidden="1">39850.4274305556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GROSS_LOANS_THRIFT">"c25723"</definedName>
    <definedName name="IQ_REVOLVING_LOANS_RISK_BASED_CAPITAL_THRIFT">"c25708"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OPEN_END_PML_SECURED_1_4_DWELLING_UNITS_DUE_30_89_THRIFT">"c25241"</definedName>
    <definedName name="IQ_REVOLVING_OPEN_END_PML_SECURED_1_4_DWELLING_UNITS_DUE_90_THRIFT">"c25262"</definedName>
    <definedName name="IQ_REVOLVING_OPEN_END_PML_SECURED_1_4_DWELLING_UNITS_NON_ACCRUAL_THRIFT">"c25283"</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BEFORE_EXCESS_ALLOWANCE_LL_LOSSES_THRIFT">"c25077"</definedName>
    <definedName name="IQ_RISK_WEIGHTED_ASSETS_FDIC" hidden="1">"c6370"</definedName>
    <definedName name="IQ_RISK_WEIGHTED_ASSETS_LOW_LEVEL_RECOURSE_RESIDUAL_INTERESTS_THRIFT">"c25075"</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EMPLOYEE_BENEFITS_THRIFT">"c24786"</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COMM_NON_MORTGAGE_LOANS_THRIFT">"c25340"</definedName>
    <definedName name="IQ_SALES_CONSUMER_NON_MORTGAGE_LOANS_THRIFT">"c25342"</definedName>
    <definedName name="IQ_SALES_MARKETING" hidden="1">"c2240"</definedName>
    <definedName name="IQ_SALES_OTHER_MORTGAGE_BACKED_SEC_THRIFT">"c25315"</definedName>
    <definedName name="IQ_SALES_PASS_THROUGH_MORTGAGE_BACKED_SEC_THRIFT">"c25312"</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ASSOCIATION_EQUITY_CAPITAL_BEGINNING_BALANCE_FROM_PRIOR_QTR_THRIFT">"c25008"</definedName>
    <definedName name="IQ_SAVINGS_ASSOCIATION_EQUITY_CAPITAL_ENDING_BALANCE_THRIFT">"c25019"</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ACKED_NON_MORTGAGE_LOANS_THRIFT">"c24825"</definedName>
    <definedName name="IQ_SEC_BACKED_US_GOVT_ELIGIBLE_0_PCT_RISK_WEIGHT_THRIFT">"c25052"</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RISK_WEIGHTED_100_PCT_MORE_UNDER_RATINGS_THRIFT">"c25071"</definedName>
    <definedName name="IQ_SEC_SOLD_REPURCHASE_FFIEC" hidden="1">"c12857"</definedName>
    <definedName name="IQ_SEC_SOLD_UNDER_AGREEMENTS_REPURCHASE_THRIFT">"c25574"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"c24854"</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FED_FUNDS_PURCHASED_TOTAL_ASSETS_THRIFT">"c25703"</definedName>
    <definedName name="IQ_SECURED_FEDERAL_FUNDS_PURCHASED_THRIFT">"c25573"</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COMM_FEE_DOM_FFIEC">"c25821"</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ASSETS_MORTGAGE_LOANS_THRIFT">"c24888"</definedName>
    <definedName name="IQ_SERVICING_ASSETS_NON_MORTGAGE_LOANS_THRIFT">"c24889"</definedName>
    <definedName name="IQ_SERVICING_FEES_FFIEC" hidden="1">"c13011"</definedName>
    <definedName name="IQ_SERVICING_FEES_OPERATING_INC_FFIEC" hidden="1">"c13389"</definedName>
    <definedName name="IQ_SETTLEMENT_PRICE">"c15157"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_SHORT_TERM_NONCORE_FUNDING_THRIFT">"c25625"</definedName>
    <definedName name="IQ_SHORT_TERM_INV_TOTAL_ASSETS_THRIFT">"c25695"</definedName>
    <definedName name="IQ_SHORT_TERM_INVEST" hidden="1">"c1425"</definedName>
    <definedName name="IQ_SHORT_TERM_INVEST_1"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"c17802"</definedName>
    <definedName name="IQ_SPOT_HIGHPRICE">"c17800"</definedName>
    <definedName name="IQ_SPOT_LASTSALEPRICE">"c17806"</definedName>
    <definedName name="IQ_SPOT_LOWPRICE">"c17801"</definedName>
    <definedName name="IQ_SPOT_PRICEDATE">"c17805"</definedName>
    <definedName name="IQ_SPOT_YEARHIGH">"c17803"</definedName>
    <definedName name="IQ_SPOT_YEARLOW">"c17804"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ETTERS_CREDIT_THRIFT" hidden="1">"c25614"</definedName>
    <definedName name="IQ_STANDBY_LOC_FHLB_BANK_BEHALF_OFF_BS_FFIEC" hidden="1">"c15412"</definedName>
    <definedName name="IQ_STATE" hidden="1">"c1200"</definedName>
    <definedName name="IQ_STATE_COUNTY_MUNICIPAL_OBLIGATIONS_ALL_OTHER_ACCOUNTS_THRIFT">"c25426"</definedName>
    <definedName name="IQ_STATE_COUNTY_MUNICIPAL_OBLIGATIONS_EMPLOYEE_BENEFIT_RETIREMENT_RELATED_ACCOUNTS_THRIFT">"c25410"</definedName>
    <definedName name="IQ_STATE_COUNTY_MUNICIPAL_OBLIGATIONS_PERSONAL_TRUST_AGENCY_INV_MANAGEMENT_ACCOUNTS_THRIFT">"c25394"</definedName>
    <definedName name="IQ_STATE_LOCAL_OTHER_INC_TAXES_THRIFT">"c24817"</definedName>
    <definedName name="IQ_STATE_LOCAL_REVENUE_BONDS_ELIGIBLE_50_PCT_RISK_WEIGHT_THRIFT">"c25067"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_MUNI_OBLIGATIONS_THRIFT">"c24824"</definedName>
    <definedName name="IQ_STATE_OF_INC">"c18104"</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ISSUED_SAVINGS_ASSOCIATION_THRIFT">"c25012"</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OCK_RETIRED_SAVINGS_ASSOCIATION_THRIFT">"c25013"</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ENTURES_THRIFT">"c24902"</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ORDINATED_DEBENTURES_AMOUNTS_NETTED_THRIFT">"c25540"</definedName>
    <definedName name="IQ_SUBORDINATED_DEBENTURES_LEVEL_1_THRIFT">"c25536"</definedName>
    <definedName name="IQ_SUBORDINATED_DEBENTURES_LEVEL_2_THRIFT">"c25537"</definedName>
    <definedName name="IQ_SUBORDINATED_DEBENTURES_LEVEL_3_THRIFT">"c25538"</definedName>
    <definedName name="IQ_SUBORDINATED_DEBENTURES_TOTAL_AFTER_NETTING_THRIFT">"c25541"</definedName>
    <definedName name="IQ_SUBORDINATED_DEBENTURES_TOTAL_BEFORE_NETTING_THRIFT">"c25539"</definedName>
    <definedName name="IQ_SUBORDINATED_DEBENTURES_WITH_REMAINING_MATURITY_ONE_YEAR_LESS_THRIFT">"c25577"</definedName>
    <definedName name="IQ_SUBORDINATED_DEBENTURES_WITH_REMAINING_MATURITY_OVER_ONE_YEAR_THRIFT">"c25578"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ASSETS_THRIFT">"c25088"</definedName>
    <definedName name="IQ_TANGIBLE_COMMON_EQUITY_FFIEC" hidden="1">"c13914"</definedName>
    <definedName name="IQ_TANGIBLE_COMMON_EQUITY_THRIFT">"c25086"</definedName>
    <definedName name="IQ_TANGIBLE_EQUITY_ASSETS_FFIEC" hidden="1">"c13346"</definedName>
    <definedName name="IQ_TANGIBLE_EQUITY_FFIEC" hidden="1">"c13915"</definedName>
    <definedName name="IQ_TANGIBLE_EQUITY_RATIO_THRIFT">"c25084"</definedName>
    <definedName name="IQ_TANGIBLE_EQUITY_THRIFT">"c25087"</definedName>
    <definedName name="IQ_TANGIBLE_TIER_1_LEVERAGE_FFIEC" hidden="1">"c13345"</definedName>
    <definedName name="IQ_TANGIBLE_TIER_1_LEVERAGE_RATIO_THRIFT">"c25631"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THRIFT">"c25081"</definedName>
    <definedName name="IQ_TIER_1_CAPITAL_REQUIREMENT_ADJUSTED_ASSETS_THRIFT">"c25039"</definedName>
    <definedName name="IQ_TIER_1_CAPITAL_T1_THRIFT">"c25029"</definedName>
    <definedName name="IQ_TIER_1_LEVERAGE_RATIO_FFIEC" hidden="1">"c13160"</definedName>
    <definedName name="IQ_TIER_1_RISK_BASED_CAPITAL_RATIO_FDIC" hidden="1">"c6746"</definedName>
    <definedName name="IQ_TIER_1_RISK_BASED_CAPITAL_RATIO_FFIEC" hidden="1">"c13161"</definedName>
    <definedName name="IQ_TIER_1_RISK_BASED_CAPITAL_RATIO_THRIFT">"c25083"</definedName>
    <definedName name="IQ_TIER_2_CAPITAL_FFIEC" hidden="1">"c13149"</definedName>
    <definedName name="IQ_TIER_2_CAPITAL_T2_THRIFT">"c25045"</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100000_MORE_TOTAL_ASSETS_THRIFT">"c25701"</definedName>
    <definedName name="IQ_TIME_DEPOSITS_100000_THROUGH_250000_THRIFT">"c25002"</definedName>
    <definedName name="IQ_TIME_DEPOSITS_GREATER_100000_TOTAL_DEPOSITS_THRIFT">"c25779"</definedName>
    <definedName name="IQ_TIME_DEPOSITS_GREATER_THAN_250000_THRIFT">"c25003"</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HRIFT">"c25001"</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1_4_FAMILY_LOANS_TOTAL_LOANS_THRIFT">"c25741"</definedName>
    <definedName name="IQ_TOTAL_ALLOWABLE_EXCLUSIONS_THRIFT">"c25567"</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USTED_ASSETS_THRIFT">"c25030"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MANAGED_PROP_MUTUAL_FUNDS_ANNUITIES_THRIFT">"c24941"</definedName>
    <definedName name="IQ_TOTAL_ASSETS_MEASURED_FV_RECURRING_BASIS_AMOUNTS_NETTED_THRIFT">"c25522"</definedName>
    <definedName name="IQ_TOTAL_ASSETS_MEASURED_FV_RECURRING_BASIS_LEVEL_1_THRIFT">"c25518"</definedName>
    <definedName name="IQ_TOTAL_ASSETS_MEASURED_FV_RECURRING_BASIS_LEVEL_2_THRIFT">"c25519"</definedName>
    <definedName name="IQ_TOTAL_ASSETS_MEASURED_FV_RECURRING_BASIS_LEVEL_3_THRIFT">"c25520"</definedName>
    <definedName name="IQ_TOTAL_ASSETS_MEASURED_FV_RECURRING_BASIS_TOTAL_AFTER_NETTING_THRIFT">"c25523"</definedName>
    <definedName name="IQ_TOTAL_ASSETS_MEASURED_FV_RECURRING_BASIS_TOTAL_BEFORE_NETTING_THRIFT">"c25521"</definedName>
    <definedName name="IQ_TOTAL_ASSETS_PC_FFIEC" hidden="1">"c13099"</definedName>
    <definedName name="IQ_TOTAL_ASSETS_SUBTOTAL_AP" hidden="1">"c8985"</definedName>
    <definedName name="IQ_TOTAL_ASSETS_THRIFT">"c24894"</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ORROWINGS_THRIFT">"c24899"</definedName>
    <definedName name="IQ_TOTAL_BROKER_ORIGINATED_DEPOSITS_FULLY_INSURED_THRIFT">"c24978"</definedName>
    <definedName name="IQ_TOTAL_BROKER_ORIGINATED_DEPOSITS_OTHER_THRIFT">"c24981"</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EPOSITS_INV_SEC_THRIFT">"c24828"</definedName>
    <definedName name="IQ_TOTAL_CASH_DIVID" hidden="1">"c1455"</definedName>
    <definedName name="IQ_TOTAL_CASH_DIVID_1"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"c1352"</definedName>
    <definedName name="IQ_TOTAL_CASH_INVEST" hidden="1">"c1353"</definedName>
    <definedName name="IQ_TOTAL_CASH_INVEST_1" hidden="1">"c1353"</definedName>
    <definedName name="IQ_TOTAL_CASH_OPER" hidden="1">"c1354"</definedName>
    <definedName name="IQ_TOTAL_CASH_OPER_1"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"c1411"</definedName>
    <definedName name="IQ_TOTAL_COMMON_EQUITY" hidden="1">"c1246"</definedName>
    <definedName name="IQ_TOTAL_COMMON_EQUITY_FFIEC" hidden="1">"c13913"</definedName>
    <definedName name="IQ_TOTAL_COMMON_EQUITY_THRIFT">"c25085"</definedName>
    <definedName name="IQ_TOTAL_COMMON_EQUITY_TOTAL_ASSETS_FFIEC" hidden="1">"c13864"</definedName>
    <definedName name="IQ_TOTAL_COMMON_EQUITY_TOTAL_ASSETS_THRIFT">"c25739"</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"c1430"</definedName>
    <definedName name="IQ_TOTAL_CURRENT_LIAB" hidden="1">"c1431"</definedName>
    <definedName name="IQ_TOTAL_CURRENT_LIAB_1" hidden="1">"c1431"</definedName>
    <definedName name="IQ_TOTAL_DAILY_AVERAGE_ALLOWABLE_EXCLUSIONS_THRIFT">"c25580"</definedName>
    <definedName name="IQ_TOTAL_DAILY_AVERAGE_FOREIGN_DEPOSITS_THRIFT">"c25581"</definedName>
    <definedName name="IQ_TOTAL_DAILY_AVERAGE_GROSS_DEPOSIT_LIABILITIES_BEFORE_EXCLUSIONS_THRIFT">"c25579"</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"c1433"</definedName>
    <definedName name="IQ_TOTAL_DEBT_OVER_TOTAL_BV" hidden="1">"c1434"</definedName>
    <definedName name="IQ_TOTAL_DEBT_OVER_TOTAL_BV_1" hidden="1">"c1434"</definedName>
    <definedName name="IQ_TOTAL_DEBT_OVER_TOTAL_CAP" hidden="1">"c1432"</definedName>
    <definedName name="IQ_TOTAL_DEBT_OVER_TOTAL_CAP_1"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EPOSITS_THRIFT">"c24984"</definedName>
    <definedName name="IQ_TOTAL_DIV_PAID_CF" hidden="1">"c1266"</definedName>
    <definedName name="IQ_TOTAL_DIVIDEND_INCOME_THRIFT">"c24756"</definedName>
    <definedName name="IQ_TOTAL_EARNING_ASSETS_QUARTERLY_AVG_FFIEC">"c25823"</definedName>
    <definedName name="IQ_TOTAL_ELIGIBLE_0_PCT_RISK_WEIGHT_THRIFT">"c25050"</definedName>
    <definedName name="IQ_TOTAL_ELIGIBLE_100_PCT_RISK_WEIGHT_THRIFT">"c25070"</definedName>
    <definedName name="IQ_TOTAL_ELIGIBLE_20_PCT_RISK_WEIGHT_THRIFT">"c25056"</definedName>
    <definedName name="IQ_TOTAL_ELIGIBLE_50_PCT_RISK_WEIGHT_THRIFT">"c25063"</definedName>
    <definedName name="IQ_TOTAL_EMPLOYEE" hidden="1">"c2141"</definedName>
    <definedName name="IQ_TOTAL_EMPLOYEE_1"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INC_MINORITY_INT_THRIFT">"c24927"</definedName>
    <definedName name="IQ_TOTAL_EQUITY_CAPITAL_T1_FFIEC" hidden="1">"c13130"</definedName>
    <definedName name="IQ_TOTAL_EQUITY_CAPITAL_T1_THRIFT">"c25021"</definedName>
    <definedName name="IQ_TOTAL_EQUITY_CAPITAL_THRIFT">"c24925"</definedName>
    <definedName name="IQ_TOTAL_EQUITY_FFIEC" hidden="1">"c12881"</definedName>
    <definedName name="IQ_TOTAL_EQUITY_INCL_MINORITY_INTEREST_FFIEC" hidden="1">"c15278"</definedName>
    <definedName name="IQ_TOTAL_EQUITY_INV_NOT_CARRIED_FV_THRIFT">"c24879"</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EQUITY_TOTAL_ASSETS_THRIFT">"c25738"</definedName>
    <definedName name="IQ_TOTAL_FIDUCIARY_ACCOUNTS_MANAGED_ASSETS_THRIFT">"c25346"</definedName>
    <definedName name="IQ_TOTAL_FIDUCIARY_ACCOUNTS_NONMANAGED_ASSETS_THRIFT">"c25367"</definedName>
    <definedName name="IQ_TOTAL_FIDUCIARY_ACCOUNTS_NUMBER_MANAGED_ACCOUNTS_THRIFT">"c25357"</definedName>
    <definedName name="IQ_TOTAL_FIDUCIARY_ACCOUNTS_NUMBER_NONMANAGED_ACCOUNTS_THRIFT">"c25379"</definedName>
    <definedName name="IQ_TOTAL_FOREIGN_DEPOSITS_FFIEC" hidden="1">"c15348"</definedName>
    <definedName name="IQ_TOTAL_FOREIGN_DEPOSITS_INCLUDED_IN_TOTAL_ALLOWABLE_EXCLUSIONS_THRIFT">"c25568"</definedName>
    <definedName name="IQ_TOTAL_FOREIGN_LOANS_QUARTERLY_AVG_FFIEC" hidden="1">"c15482"</definedName>
    <definedName name="IQ_TOTAL_GROSS_DEPOSIT_LIABILITIES_BEFORE_EXCLUSIONS_THRIFT">"c25566"</definedName>
    <definedName name="IQ_TOTAL_GROSS_FIDUCIARY_RELATED_SERVICES_INC_THRIFT">"c24811"</definedName>
    <definedName name="IQ_TOTAL_GROSS_LOSSES_MANAGED_ACCOUNTS_THRIFT">"c25465"</definedName>
    <definedName name="IQ_TOTAL_GROSS_LOSSES_NONMANAGED_ACCOUNTS_THRIFT">"c25470"</definedName>
    <definedName name="IQ_TOTAL_IBF_ASSETS_CONSOL_BANK_FFIEC" hidden="1">"c15299"</definedName>
    <definedName name="IQ_TOTAL_IBF_LIABILITIES_FFIEC" hidden="1">"c15302"</definedName>
    <definedName name="IQ_TOTAL_IBF_LL_REC_FFIEC" hidden="1">"c15297"</definedName>
    <definedName name="IQ_TOTAL_INT_EXP_THRIFT">"c24764"</definedName>
    <definedName name="IQ_TOTAL_INT_EXPENSE_FFIEC" hidden="1">"c13000"</definedName>
    <definedName name="IQ_TOTAL_INT_INCOME_FFIEC" hidden="1">"c12989"</definedName>
    <definedName name="IQ_TOTAL_INT_INCOME_THRIFT">"c24753"</definedName>
    <definedName name="IQ_TOTAL_INTEREST_EXP" hidden="1">"c1382"</definedName>
    <definedName name="IQ_TOTAL_INTEREST_EXP_1" hidden="1">"c1382"</definedName>
    <definedName name="IQ_TOTAL_INTEREST_EXP_FOREIGN_FFIEC" hidden="1">"c15374"</definedName>
    <definedName name="IQ_TOTAL_INTEREST_INC_FOREIGN_FFIEC" hidden="1">"c15373"</definedName>
    <definedName name="IQ_TOTAL_INVENTORY" hidden="1">"c1385"</definedName>
    <definedName name="IQ_TOTAL_INVENTORY_1" hidden="1">"c1385"</definedName>
    <definedName name="IQ_TOTAL_INVEST" hidden="1">"c1275"</definedName>
    <definedName name="IQ_TOTAL_IRA_KEOGH_PLAN_ACCOUNTS_FFIEC" hidden="1">"c15303"</definedName>
    <definedName name="IQ_TOTAL_LEASES_TOTAL_LOANS_THRIFT">"c25751"</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"c1435"</definedName>
    <definedName name="IQ_TOTAL_LIAB_TOTAL_ASSETS" hidden="1">"c1283"</definedName>
    <definedName name="IQ_TOTAL_LIABILITIES_EQUITY_FFIEC" hidden="1">"c12882"</definedName>
    <definedName name="IQ_TOTAL_LIABILITIES_EQUITY_THRIFT">"c24928"</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MEASURED_FV_RECURRING_BASIS_AMOUNTS_NETTED_THRIFT">"c25564"</definedName>
    <definedName name="IQ_TOTAL_LIABILITIES_MEASURED_FV_RECURRING_BASIS_LEVEL_1_THRIFT">"c25560"</definedName>
    <definedName name="IQ_TOTAL_LIABILITIES_MEASURED_FV_RECURRING_BASIS_LEVEL_2_THRIFT">"c25561"</definedName>
    <definedName name="IQ_TOTAL_LIABILITIES_MEASURED_FV_RECURRING_BASIS_LEVEL_3_THRIFT">"c25562"</definedName>
    <definedName name="IQ_TOTAL_LIABILITIES_MEASURED_FV_RECURRING_BASIS_TOTAL_AFTER_NETTING_THRIFT">"c25565"</definedName>
    <definedName name="IQ_TOTAL_LIABILITIES_MEASURED_FV_RECURRING_BASIS_TOTAL_BEFORE_NETTING_THRIFT">"c25563"</definedName>
    <definedName name="IQ_TOTAL_LIABILITIES_THRIFT">"c24913"</definedName>
    <definedName name="IQ_TOTAL_LL_DOMESTIC_QUARTERLY_AVG_FFIEC">"c25825"</definedName>
    <definedName name="IQ_TOTAL_LL_FOREIGN_QUARTERLY_AVG_FFIEC">"c25824"</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IN_PROCESS_FORECLOSURE_THRIFT">"c25310"</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MANAGED_ASSETS_ALL_OTHER_ACCOUNTS_THRIFT">"c25422"</definedName>
    <definedName name="IQ_TOTAL_MANAGED_ASSETS_EMPLOYEE_BENEFIT_RETIREMENT_RELATED_ACCOUNTS_THRIFT">"c25406"</definedName>
    <definedName name="IQ_TOTAL_MANAGED_ASSETS_PERSONAL_TRUST_AGENCY_INV_MANAGEMENT_ACCOUNTS_THRIFT">"c25390"</definedName>
    <definedName name="IQ_TOTAL_MBS_THRIFT">"c24837"</definedName>
    <definedName name="IQ_TOTAL_MORTGAGE_LOANS_THRIFT">"c24852"</definedName>
    <definedName name="IQ_TOTAL_MORTGAGE_NON_MORTGAGE_LOANS_DUE_30_89_THRIFT">"c25255"</definedName>
    <definedName name="IQ_TOTAL_MORTGAGE_NON_MORTGAGE_LOANS_DUE_90_THRIFT">"c25276"</definedName>
    <definedName name="IQ_TOTAL_MORTGAGE_NON_MORTGAGE_LOANS_NON_ACCRUAL_THRIFT">"c25297"</definedName>
    <definedName name="IQ_TOTAL_NON_MORTGAGE_LOANS_THRIFT">"c24868"</definedName>
    <definedName name="IQ_TOTAL_NON_RE_LOANS_TOTAL_LOANS_THRIFT">"c25752"</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ASSETS_THRIFT">"c24883"</definedName>
    <definedName name="IQ_TOTAL_OTHER_OPER" hidden="1">"c1289"</definedName>
    <definedName name="IQ_TOTAL_OTHER_TEMP_IMPAIR_LOSS_FFIEC">"c25846"</definedName>
    <definedName name="IQ_TOTAL_OTHER_UNUSED_FFIEC">"c25858"</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AMT_ASSETS_COVERED_RECOURSE_OBLIGATIONS_DIRECT_CREDIT_SUBSTITUTES_THRIFT">"c25615"</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COVERIES_THRIFT">"c25475"</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"c1436"</definedName>
    <definedName name="IQ_TOTAL_REVENUE_FFIEC" hidden="1">"c13020"</definedName>
    <definedName name="IQ_TOTAL_REVENUE_FOREIGN_FFIEC" hidden="1">"c15383"</definedName>
    <definedName name="IQ_TOTAL_REVENUE_THRIFT">"c24785"</definedName>
    <definedName name="IQ_TOTAL_RISK_BASED_CAPITAL_FFIEC" hidden="1">"c13153"</definedName>
    <definedName name="IQ_TOTAL_RISK_BASED_CAPITAL_RATIO_FDIC" hidden="1">"c6747"</definedName>
    <definedName name="IQ_TOTAL_RISK_BASED_CAPITAL_RATIO_FFIEC" hidden="1">"c13162"</definedName>
    <definedName name="IQ_TOTAL_RISK_BASED_CAPITAL_RATIO_THRIFT">"c25082"</definedName>
    <definedName name="IQ_TOTAL_RISK_BASED_CAPITAL_REQUIREMENT_THRIFT">"c25080"</definedName>
    <definedName name="IQ_TOTAL_RISK_BASED_CAPITAL_THRIFT">"c25049"</definedName>
    <definedName name="IQ_TOTAL_RISK_WEIGHTED_ASSETS_FFIEC" hidden="1">"c13858"</definedName>
    <definedName name="IQ_TOTAL_RISK_WEIGHTED_ASSETS_THRIFT">"c25079"</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DEPOSITS_TOTAL_DEPOSITS_THRIFT">"c25780"</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VOLUME_RT" hidden="1">"TOTALVOLUME"</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"c17671"</definedName>
    <definedName name="IQ_TR_BNKY_ADVISOR_FEE_LIST">"c17673"</definedName>
    <definedName name="IQ_TR_BNKY_ADVISOR_FEE_PCT_LIST">"c17674"</definedName>
    <definedName name="IQ_TR_BNKY_ADVISOR_ID_LIST">"c17670"</definedName>
    <definedName name="IQ_TR_BNKY_ADVISOR_NAME_LIST">"c17669"</definedName>
    <definedName name="IQ_TR_BNKY_ADVISOR_ROLE_LIST">"c17672"</definedName>
    <definedName name="IQ_TR_BNKY_AFFILIATES_JOINT_ADMIN">"c17636"</definedName>
    <definedName name="IQ_TR_BNKY_AFFILIATES_JOINT_ADMIN_LIST">"c17656"</definedName>
    <definedName name="IQ_TR_BNKY_CASE_CONSOLIDATED_DATE">"c17632"</definedName>
    <definedName name="IQ_TR_BNKY_CASE_FILING_FEE_PAID">"c17634"</definedName>
    <definedName name="IQ_TR_BNKY_CASE_NUMBER">"c17627"</definedName>
    <definedName name="IQ_TR_BNKY_CASH_IN_HAND">"c17651"</definedName>
    <definedName name="IQ_TR_BNKY_COURT">"c17626"</definedName>
    <definedName name="IQ_TR_BNKY_CREDITOR_CLAIM_AMT_LIST">"c17660"</definedName>
    <definedName name="IQ_TR_BNKY_CREDITOR_ID_LIST">"c17658"</definedName>
    <definedName name="IQ_TR_BNKY_CREDITOR_NAME_LIST">"c17657"</definedName>
    <definedName name="IQ_TR_BNKY_CREDITOR_REL_LIST">"c17659"</definedName>
    <definedName name="IQ_TR_BNKY_CREDITORS">"c17635"</definedName>
    <definedName name="IQ_TR_BNKY_DIP_COMMITMENT_FEE_LIST">"c17667"</definedName>
    <definedName name="IQ_TR_BNKY_DIP_FIN_PROVIDED">"c17640"</definedName>
    <definedName name="IQ_TR_BNKY_DIP_FIN_PROVIDED_LIST">"c17665"</definedName>
    <definedName name="IQ_TR_BNKY_DIP_FIN_PROVIDERS">"c17639"</definedName>
    <definedName name="IQ_TR_BNKY_DIP_FIN_SECURITY_TYPES">"c17642"</definedName>
    <definedName name="IQ_TR_BNKY_DIP_FIN_UTILIZED">"c17641"</definedName>
    <definedName name="IQ_TR_BNKY_DIP_ID_LIST">"c17662"</definedName>
    <definedName name="IQ_TR_BNKY_DIP_LEAD_PROVIDER_LIST">"c17668"</definedName>
    <definedName name="IQ_TR_BNKY_DIP_LIBOR_SPREAD_LIST">"c17666"</definedName>
    <definedName name="IQ_TR_BNKY_DIP_MATURITY_DATE_LIST">"c17664"</definedName>
    <definedName name="IQ_TR_BNKY_DIP_NAME_LIST">"c17661"</definedName>
    <definedName name="IQ_TR_BNKY_DIP_SECURITY_LIST">"c17663"</definedName>
    <definedName name="IQ_TR_BNKY_DISMISSED_DATE">"c17633"</definedName>
    <definedName name="IQ_TR_BNKY_EMERGED_REORG_DATE">"c17630"</definedName>
    <definedName name="IQ_TR_BNKY_FEATURES_LIST">"c17655"</definedName>
    <definedName name="IQ_TR_BNKY_FILING_TYPE">"c17624"</definedName>
    <definedName name="IQ_TR_BNKY_INVOL_PETITION_FILED_DATE">"c17629"</definedName>
    <definedName name="IQ_TR_BNKY_ISSUANCE_DEBT">"c17648"</definedName>
    <definedName name="IQ_TR_BNKY_ISSUANCE_EQUITY">"c17649"</definedName>
    <definedName name="IQ_TR_BNKY_LEAD_ASSETS_INIT_FILING">"c17645"</definedName>
    <definedName name="IQ_TR_BNKY_LEAD_ASSETS_INIT_FILING_LIST">"c17678"</definedName>
    <definedName name="IQ_TR_BNKY_LEAD_DEBTOR">"c17643"</definedName>
    <definedName name="IQ_TR_BNKY_LEAD_DEBTOR_LIST">"c17675"</definedName>
    <definedName name="IQ_TR_BNKY_LEAD_LIAB_INIT_FILING">"c17644"</definedName>
    <definedName name="IQ_TR_BNKY_LEAD_LIAB_INIT_FILING_LIST">"c17677"</definedName>
    <definedName name="IQ_TR_BNKY_LEAD_REV_ANN">"c17646"</definedName>
    <definedName name="IQ_TR_BNKY_LEAD_REV_ANN_LIST">"c17679"</definedName>
    <definedName name="IQ_TR_BNKY_LEAD_STOCK_PRICE_ANN">"c17647"</definedName>
    <definedName name="IQ_TR_BNKY_LEAD_STOCK_PRICE_ANN_LIST">"c17680"</definedName>
    <definedName name="IQ_TR_BNKY_LEAD_TYPE_LIST">"c17676"</definedName>
    <definedName name="IQ_TR_BNKY_LIQUIDATED_DATE">"c17631"</definedName>
    <definedName name="IQ_TR_BNKY_PRE_BANKRUPTCY_SITUATION">"c17637"</definedName>
    <definedName name="IQ_TR_BNKY_RESOLUTION">"c17638"</definedName>
    <definedName name="IQ_TR_BNKY_RESTRUCTURING_WEBSITE">"c17625"</definedName>
    <definedName name="IQ_TR_BNKY_SALE_ASSETS">"c17650"</definedName>
    <definedName name="IQ_TR_BNKY_TOTAL_CLAIMANTS_AMT">"c17653"</definedName>
    <definedName name="IQ_TR_BNKY_TOTAL_FIN_PROVIDED">"c17652"</definedName>
    <definedName name="IQ_TR_BNKY_TOTAL_PAYMENTS_CLAIMANTS">"c17654"</definedName>
    <definedName name="IQ_TR_BNKY_VOL_PETITION_FILED_DATE">"c17628"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MAIN_MONETARY_VALUE">"c18099"</definedName>
    <definedName name="IQ_TR_REMAIN_NUMBER_SHARES">"c18101"</definedName>
    <definedName name="IQ_TR_REMAIN_PCT_SHARES">"c18100"</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HELF_EXP_EXPIRATION_DATE">"c18102"</definedName>
    <definedName name="IQ_TR_SHELF_EXPIRED_DATE">"c18103"</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AR_1"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_AMOUNTS_NETTED_THRIFT">"c25486"</definedName>
    <definedName name="IQ_TRADING_SEC_LEVEL_1_THRIFT">"c25482"</definedName>
    <definedName name="IQ_TRADING_SEC_LEVEL_2_THRIFT">"c25483"</definedName>
    <definedName name="IQ_TRADING_SEC_LEVEL_3_THRIFT">"c25484"</definedName>
    <definedName name="IQ_TRADING_SEC_TOTAL_AFTER_NETTING_THRIFT">"c25487"</definedName>
    <definedName name="IQ_TRADING_SEC_TOTAL_BEFORE_NETTING_THRIFT">"c25485"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ACCOUNTS_INC_DEMAND_DEPOSITS_THRIFT">"c24998"</definedName>
    <definedName name="IQ_TRANSACTION_ACCOUNTS_TOTAL_DEPOSITS_THRIFT">"c25777"</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ANSFER_AGENT_REGISTRAR_PAYING_AGENT_OTHER_CORPORATE_AGENCY_NUMBER_ISSUES_THRIFT">"c25444"</definedName>
    <definedName name="IQ_TRANSFERS_GVA_THRIFT">"c25093"</definedName>
    <definedName name="IQ_TRANSFERS_SVA_THRIFT">"c25101"</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"c1438"</definedName>
    <definedName name="IQ_TREASURY_STOCK_TRANSACTIONS_FDIC" hidden="1">"c6501"</definedName>
    <definedName name="IQ_TREASURY_STOCK_TRANSACTIONS_FFIEC" hidden="1">"c15352"</definedName>
    <definedName name="IQ_TROUBLED_DEBT_RESTRUCTURED_DUE_30_89_THRIFT">"c25256"</definedName>
    <definedName name="IQ_TROUBLED_DEBT_RESTRUCTURED_DUE_90_THRIFT">"c25277"</definedName>
    <definedName name="IQ_TROUBLED_DEBT_RESTRUCTURED_NON_ACCRUAL_THRIFT">"c25298"</definedName>
    <definedName name="IQ_TROUBLED_DEBT_RESTRUCTURED_THRIFT">"c25230"</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MORTIZED_YIELD_ADJUSTMENTS_THRIFT">"c24898"</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NSURED_DEPOSITS_THRIFT">"c24995"</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ALIZED_GAINS_AFS_EQUITY_SEC_T2_THRIFT">"c25040"</definedName>
    <definedName name="IQ_UNRECOG_TAX_BENEFIT_BEG_PERIOD" hidden="1">"c15732"</definedName>
    <definedName name="IQ_UNRECOG_TAX_BENEFIT_END_PERIOD" hidden="1">"c15740"</definedName>
    <definedName name="IQ_UNRECOG_TAX_BENEFIT_OTHER_ADJ" hidden="1">"c15739"</definedName>
    <definedName name="IQ_UNSECURED_COMMERCIAL_LOANS_THRIFT">"c24855"</definedName>
    <definedName name="IQ_UNSECURED_COMMITMENTS_COMMERCIAL_RE_UNUSED_FFIEC" hidden="1">"c13246"</definedName>
    <definedName name="IQ_UNSECURED_DEBT" hidden="1">"c2548"</definedName>
    <definedName name="IQ_UNSECURED_DEBT_PCT" hidden="1">"c2549"</definedName>
    <definedName name="IQ_UNSECURED_FEDERAL_FUNDS_PURCHASED_THRIFT">"c25572"</definedName>
    <definedName name="IQ_UNSECURED_OTHER_BORROWINGS_WITH_REMAINING_MATURITY_ONE_YEAR_LESS_THRIFT">"c25575"</definedName>
    <definedName name="IQ_UNSECURED_OTHER_BORROWINGS_WITH_REMAINING_MATURITY_OVER_ONE_YEAR_THRIFT">"c25576"</definedName>
    <definedName name="IQ_UNUSED_LINES_CREDIT_COMM_LINES_THRIFT">"c25607"</definedName>
    <definedName name="IQ_UNUSED_LINES_CREDIT_REVOLVING_OPEN_END_LOANS_1_4_DWELLING_UNITS_THRIFT">"c25606"</definedName>
    <definedName name="IQ_UNUSED_LINES_CREDIT_THRIFT">"c25605"</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AGENCY_SPONSORED_ENTERPRISE_SEC_THRIFT">"c24822"</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"c25671"</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_TREASURY_US_GOVT_AGENCY_OBLIGATIONS_ALL_OTHER_ACCOUNTS_THRIFT">"c25425"</definedName>
    <definedName name="IQ_US_TREASURY_US_GOVT_AGENCY_OBLIGATIONS_EMPLOYEE_BENEFIT_RETIREMENT_RELATED_ACCOUNTS_THRIFT">"c25409"</definedName>
    <definedName name="IQ_US_TREASURY_US_GOVT_AGENCY_OBLIGATIONS_PERSONAL_TRUST_AGENCY_INV_MANAGEMENT_ACCOUNTS_THRIFT">"c25393"</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OLUME_RT" hidden="1">"VOLUME"</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localSheetId="3" hidden="1">"c2203"</definedName>
    <definedName name="IQ_XDIV_DATE" localSheetId="11" hidden="1">"c2203"</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 localSheetId="10" hidden="1">#REF!</definedName>
    <definedName name="IQB" localSheetId="9" hidden="1">#REF!</definedName>
    <definedName name="IQB" localSheetId="8" hidden="1">#REF!</definedName>
    <definedName name="IQB" localSheetId="16" hidden="1">#REF!</definedName>
    <definedName name="IQB" hidden="1">#REF!</definedName>
    <definedName name="IQB_BOOK" localSheetId="10" hidden="1">#REF!</definedName>
    <definedName name="IQB_BOOK" localSheetId="9" hidden="1">#REF!</definedName>
    <definedName name="IQB_BOOK" localSheetId="8" hidden="1">#REF!</definedName>
    <definedName name="IQB_BOOK" localSheetId="16" hidden="1">#REF!</definedName>
    <definedName name="IQB_BOOK" hidden="1">#REF!</definedName>
    <definedName name="IQB_BOOKMARK_COUNT" hidden="1">12</definedName>
    <definedName name="IQB_BOOKMARK_LOCATION_0" localSheetId="10" hidden="1">#REF!</definedName>
    <definedName name="IQB_BOOKMARK_LOCATION_0" localSheetId="9" hidden="1">#REF!</definedName>
    <definedName name="IQB_BOOKMARK_LOCATION_0" localSheetId="8" hidden="1">#REF!</definedName>
    <definedName name="IQB_BOOKMARK_LOCATION_0" localSheetId="16" hidden="1">#REF!</definedName>
    <definedName name="IQB_BOOKMARK_LOCATION_0" hidden="1">#REF!</definedName>
    <definedName name="IQB_BOOKMARK_LOCATION_1" localSheetId="10" hidden="1">#REF!</definedName>
    <definedName name="IQB_BOOKMARK_LOCATION_1" localSheetId="9" hidden="1">#REF!</definedName>
    <definedName name="IQB_BOOKMARK_LOCATION_1" localSheetId="8" hidden="1">#REF!</definedName>
    <definedName name="IQB_BOOKMARK_LOCATION_1" localSheetId="16" hidden="1">#REF!</definedName>
    <definedName name="IQB_BOOKMARK_LOCATION_1" hidden="1">#REF!</definedName>
    <definedName name="IQB_BOOKMARK_LOCATION_2" localSheetId="10" hidden="1">#REF!</definedName>
    <definedName name="IQB_BOOKMARK_LOCATION_2" localSheetId="9" hidden="1">#REF!</definedName>
    <definedName name="IQB_BOOKMARK_LOCATION_2" localSheetId="8" hidden="1">#REF!</definedName>
    <definedName name="IQB_BOOKMARK_LOCATION_2" localSheetId="16" hidden="1">#REF!</definedName>
    <definedName name="IQB_BOOKMARK_LOCATION_2" hidden="1">#REF!</definedName>
    <definedName name="IQB_BOOKMARK_LOCATION_3" localSheetId="10" hidden="1">#REF!</definedName>
    <definedName name="IQB_BOOKMARK_LOCATION_3" localSheetId="9" hidden="1">#REF!</definedName>
    <definedName name="IQB_BOOKMARK_LOCATION_3" localSheetId="8" hidden="1">#REF!</definedName>
    <definedName name="IQB_BOOKMARK_LOCATION_3" localSheetId="16" hidden="1">#REF!</definedName>
    <definedName name="IQB_BOOKMARK_LOCATION_3" hidden="1">#REF!</definedName>
    <definedName name="IQB_BOOKMARK_LOCATION_4" localSheetId="10" hidden="1">#REF!</definedName>
    <definedName name="IQB_BOOKMARK_LOCATION_4" localSheetId="9" hidden="1">#REF!</definedName>
    <definedName name="IQB_BOOKMARK_LOCATION_4" localSheetId="8" hidden="1">#REF!</definedName>
    <definedName name="IQB_BOOKMARK_LOCATION_4" localSheetId="16" hidden="1">#REF!</definedName>
    <definedName name="IQB_BOOKMARK_LOCATION_4" hidden="1">#REF!</definedName>
    <definedName name="IQB_BOOKMARK_LOCATION_5" hidden="1">#REF!</definedName>
    <definedName name="IQB_BOOKMARK_LOCATION_7" hidden="1">#REF!</definedName>
    <definedName name="IQB_BOOKMARK_LOCATION_8" hidden="1">#REF!</definedName>
    <definedName name="IQB_BOOKMARK_LOCATION_9" hidden="1">#REF!</definedName>
    <definedName name="IQB_CURRENT_BOOKMARK" hidden="1">0</definedName>
    <definedName name="IQRA10" hidden="1">"$A$11:$A$262"</definedName>
    <definedName name="IQRA38" hidden="1">"$A$39:$A$48"</definedName>
    <definedName name="IQRA5">"$A$6:$A$260"</definedName>
    <definedName name="IQRA6" hidden="1">"$A$7:$A$21"</definedName>
    <definedName name="IQRA60" hidden="1">"$A$61:$A$75"</definedName>
    <definedName name="IQRA7" hidden="1">"$A$8:$A$21"</definedName>
    <definedName name="IQRA8" hidden="1">"$A$9:$A$260"</definedName>
    <definedName name="IQRAA7" hidden="1">"$AA$8:$AA$260"</definedName>
    <definedName name="IQRAB7" hidden="1">"$AB$8:$AB$260"</definedName>
    <definedName name="IQRABCODSOK13" hidden="1">#REF!</definedName>
    <definedName name="IQRABCODSOL13" hidden="1">#REF!</definedName>
    <definedName name="IQRABCODSOM13" hidden="1">#REF!</definedName>
    <definedName name="IQRABCODSON13" hidden="1">#REF!</definedName>
    <definedName name="IQRABCODSOO13" hidden="1">#REF!</definedName>
    <definedName name="IQRABCODSOP13" hidden="1">#REF!</definedName>
    <definedName name="IQRABCODSOR13" hidden="1">#REF!</definedName>
    <definedName name="IQRABCODSOS13" hidden="1">#REF!</definedName>
    <definedName name="IQRABCODSOT13" hidden="1">#REF!</definedName>
    <definedName name="IQRAC7" hidden="1">"$AC$8:$AC$260"</definedName>
    <definedName name="IQRAD8" hidden="1">"$AD$9:$AD$260"</definedName>
    <definedName name="IQRAE8" hidden="1">"$AE$9:$AE$260"</definedName>
    <definedName name="IQRAF17" hidden="1">"$AF$18:$AF$266"</definedName>
    <definedName name="IQRAF8" hidden="1">"$AF$9:$AF$260"</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"$B$5:$B$256"</definedName>
    <definedName name="IQRB5">"$B$6:$B$20"</definedName>
    <definedName name="IQRB6" hidden="1">"$B$7:$B$26"</definedName>
    <definedName name="IQRB7" hidden="1">"$B$8:$B$282"</definedName>
    <definedName name="IQRB8" hidden="1">"$B$9:$B$260"</definedName>
    <definedName name="IQRBB17" hidden="1">"$BB$18:$BB$1299"</definedName>
    <definedName name="IQRBB40" hidden="1">"$BB$41:$BB$45"</definedName>
    <definedName name="IQRC11" hidden="1">"$C$12:$C$967"</definedName>
    <definedName name="IQRC14" hidden="1">"$C$15:$C$119"</definedName>
    <definedName name="IQRC15" hidden="1">"$C$16:$C$20"</definedName>
    <definedName name="IQRC24" hidden="1">"$C$25:$C$29"</definedName>
    <definedName name="IQRC5" hidden="1">"$C$6:$C$20"</definedName>
    <definedName name="IQRC6" hidden="1">"$C$7:$C$21"</definedName>
    <definedName name="IQRC8" hidden="1">"$C$9:$C$260"</definedName>
    <definedName name="IQRCEBDSOK13" hidden="1">#REF!</definedName>
    <definedName name="IQRCEBDSOL13" hidden="1">#REF!</definedName>
    <definedName name="IQRCEBDSOM13" hidden="1">#REF!</definedName>
    <definedName name="IQRCEBDSON13" hidden="1">#REF!</definedName>
    <definedName name="IQRCEBDSOO13" hidden="1">#REF!</definedName>
    <definedName name="IQRCEBDSOP13" hidden="1">#REF!</definedName>
    <definedName name="IQRCEBDSOR13" hidden="1">#REF!</definedName>
    <definedName name="IQRCEBDSOS13" hidden="1">#REF!</definedName>
    <definedName name="IQRCEBDSOT13" hidden="1">#REF!</definedName>
    <definedName name="IQRCNQRDSOK13" hidden="1">#REF!</definedName>
    <definedName name="IQRCNQRDSOL13" hidden="1">#REF!</definedName>
    <definedName name="IQRCNQRDSOM13" hidden="1">#REF!</definedName>
    <definedName name="IQRCNQRDSON13" hidden="1">#REF!</definedName>
    <definedName name="IQRCNQRDSOO13" hidden="1">#REF!</definedName>
    <definedName name="IQRCNQRDSOP13" hidden="1">#REF!</definedName>
    <definedName name="IQRCNQRDSOR13" hidden="1">#REF!</definedName>
    <definedName name="IQRCNQRDSOS13" hidden="1">#REF!</definedName>
    <definedName name="IQRCNQRDSOT13" hidden="1">#REF!</definedName>
    <definedName name="IQRCompaniesH100" hidden="1">#REF!</definedName>
    <definedName name="IQRCompaniesH101" hidden="1">#REF!</definedName>
    <definedName name="IQRCompaniesH102" hidden="1">#REF!</definedName>
    <definedName name="IQRCompaniesH103" hidden="1">#REF!</definedName>
    <definedName name="IQRCompaniesH104" hidden="1">#REF!</definedName>
    <definedName name="IQRCompaniesH106" hidden="1">#REF!</definedName>
    <definedName name="IQRCompaniesH108" hidden="1">#REF!</definedName>
    <definedName name="IQRCompaniesH110" hidden="1">#REF!</definedName>
    <definedName name="IQRCompaniesH111" hidden="1">#REF!</definedName>
    <definedName name="IQRCompaniesH112" hidden="1">#REF!</definedName>
    <definedName name="IQRCompaniesH113" hidden="1">#REF!</definedName>
    <definedName name="IQRCompaniesH116" hidden="1">#REF!</definedName>
    <definedName name="IQRCompaniesH117" hidden="1">#REF!</definedName>
    <definedName name="IQRCompaniesH118" hidden="1">#REF!</definedName>
    <definedName name="IQRCompaniesH119"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6" hidden="1">#REF!</definedName>
    <definedName name="IQRCompaniesH128" hidden="1">#REF!</definedName>
    <definedName name="IQRCompaniesH129" hidden="1">#REF!</definedName>
    <definedName name="IQRCompaniesH13" hidden="1">#REF!</definedName>
    <definedName name="IQRCompaniesH131"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hidden="1">#REF!</definedName>
    <definedName name="IQRCompaniesH150" hidden="1">#REF!</definedName>
    <definedName name="IQRCompaniesH152" hidden="1">#REF!</definedName>
    <definedName name="IQRCompaniesH154" hidden="1">#REF!</definedName>
    <definedName name="IQRCompaniesH155" hidden="1">#REF!</definedName>
    <definedName name="IQRCompaniesH156" hidden="1">#REF!</definedName>
    <definedName name="IQRCompaniesH158" hidden="1">#REF!</definedName>
    <definedName name="IQRCompaniesH159" hidden="1">#REF!</definedName>
    <definedName name="IQRCompaniesH16" hidden="1">#REF!</definedName>
    <definedName name="IQRCompaniesH160" hidden="1">#REF!</definedName>
    <definedName name="IQRCompaniesH162" hidden="1">#REF!</definedName>
    <definedName name="IQRCompaniesH164" hidden="1">#REF!</definedName>
    <definedName name="IQRCompaniesH166" hidden="1">#REF!</definedName>
    <definedName name="IQRCompaniesH167" hidden="1">#REF!</definedName>
    <definedName name="IQRCompaniesH169" hidden="1">#REF!</definedName>
    <definedName name="IQRCompaniesH17" hidden="1">#REF!</definedName>
    <definedName name="IQRCompaniesH170" hidden="1">#REF!</definedName>
    <definedName name="IQRCompaniesH171" hidden="1">#REF!</definedName>
    <definedName name="IQRCompaniesH173" hidden="1">#REF!</definedName>
    <definedName name="IQRCompaniesH174" hidden="1">#REF!</definedName>
    <definedName name="IQRCompaniesH177" hidden="1">#REF!</definedName>
    <definedName name="IQRCompaniesH179" hidden="1">#REF!</definedName>
    <definedName name="IQRCompaniesH18" hidden="1">#REF!</definedName>
    <definedName name="IQRCompaniesH180" hidden="1">#REF!</definedName>
    <definedName name="IQRCompaniesH181" hidden="1">#REF!</definedName>
    <definedName name="IQRCompaniesH182" hidden="1">#REF!</definedName>
    <definedName name="IQRCompaniesH183" hidden="1">#REF!</definedName>
    <definedName name="IQRCompaniesH184" hidden="1">#REF!</definedName>
    <definedName name="IQRCompaniesH185" hidden="1">#REF!</definedName>
    <definedName name="IQRCompaniesH186" hidden="1">#REF!</definedName>
    <definedName name="IQRCompaniesH187" hidden="1">#REF!</definedName>
    <definedName name="IQRCompaniesH189" hidden="1">#REF!</definedName>
    <definedName name="IQRCompaniesH19" hidden="1">#REF!</definedName>
    <definedName name="IQRCompaniesH191"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8" hidden="1">#REF!</definedName>
    <definedName name="IQRCompaniesH199"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8" hidden="1">#REF!</definedName>
    <definedName name="IQRCompaniesH21" hidden="1">#REF!</definedName>
    <definedName name="IQRCompaniesH210" hidden="1">#REF!</definedName>
    <definedName name="IQRCompaniesH217" hidden="1">#REF!</definedName>
    <definedName name="IQRCompaniesH218" hidden="1">#REF!</definedName>
    <definedName name="IQRCompaniesH219" hidden="1">#REF!</definedName>
    <definedName name="IQRCompaniesH22" hidden="1">#REF!</definedName>
    <definedName name="IQRCompaniesH220" hidden="1">#REF!</definedName>
    <definedName name="IQRCompaniesH221" hidden="1">#REF!</definedName>
    <definedName name="IQRCompaniesH224" hidden="1">#REF!</definedName>
    <definedName name="IQRCompaniesH226" hidden="1">#REF!</definedName>
    <definedName name="IQRCompaniesH227" hidden="1">#REF!</definedName>
    <definedName name="IQRCompaniesH229" hidden="1">#REF!</definedName>
    <definedName name="IQRCompaniesH23" hidden="1">#REF!</definedName>
    <definedName name="IQRCompaniesH231" hidden="1">#REF!</definedName>
    <definedName name="IQRCompaniesH232" hidden="1">#REF!</definedName>
    <definedName name="IQRCompaniesH233" hidden="1">#REF!</definedName>
    <definedName name="IQRCompaniesH235" hidden="1">#REF!</definedName>
    <definedName name="IQRCompaniesH237" hidden="1">#REF!</definedName>
    <definedName name="IQRCompaniesH239" hidden="1">#REF!</definedName>
    <definedName name="IQRCompaniesH24" hidden="1">#REF!</definedName>
    <definedName name="IQRCompaniesH240" hidden="1">#REF!</definedName>
    <definedName name="IQRCompaniesH243" hidden="1">#REF!</definedName>
    <definedName name="IQRCompaniesH244" hidden="1">#REF!</definedName>
    <definedName name="IQRCompaniesH245" hidden="1">#REF!</definedName>
    <definedName name="IQRCompaniesH246" hidden="1">#REF!</definedName>
    <definedName name="IQRCompaniesH248" hidden="1">#REF!</definedName>
    <definedName name="IQRCompaniesH25" hidden="1">#REF!</definedName>
    <definedName name="IQRCompaniesH251" hidden="1">#REF!</definedName>
    <definedName name="IQRCompaniesH252" hidden="1">#REF!</definedName>
    <definedName name="IQRCompaniesH253" hidden="1">#REF!</definedName>
    <definedName name="IQRCompaniesH254" hidden="1">#REF!</definedName>
    <definedName name="IQRCompaniesH256" hidden="1">#REF!</definedName>
    <definedName name="IQRCompaniesH257" hidden="1">#REF!</definedName>
    <definedName name="IQRCompaniesH258" hidden="1">#REF!</definedName>
    <definedName name="IQRCompaniesH259"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4" hidden="1">#REF!</definedName>
    <definedName name="IQRCompaniesH265" hidden="1">#REF!</definedName>
    <definedName name="IQRCompaniesH266" hidden="1">#REF!</definedName>
    <definedName name="IQRCompaniesH268" hidden="1">#REF!</definedName>
    <definedName name="IQRCompaniesH269" hidden="1">#REF!</definedName>
    <definedName name="IQRCompaniesH27" hidden="1">#REF!</definedName>
    <definedName name="IQRCompaniesH270" hidden="1">#REF!</definedName>
    <definedName name="IQRCompaniesH272" hidden="1">#REF!</definedName>
    <definedName name="IQRCompaniesH273" hidden="1">#REF!</definedName>
    <definedName name="IQRCompaniesH274" hidden="1">#REF!</definedName>
    <definedName name="IQRCompaniesH275" hidden="1">#REF!</definedName>
    <definedName name="IQRCompaniesH278" hidden="1">#REF!</definedName>
    <definedName name="IQRCompaniesH279" hidden="1">#REF!</definedName>
    <definedName name="IQRCompaniesH28" hidden="1">#REF!</definedName>
    <definedName name="IQRCompaniesH280" hidden="1">#REF!</definedName>
    <definedName name="IQRCompaniesH281" hidden="1">#REF!</definedName>
    <definedName name="IQRCompaniesH282" hidden="1">#REF!</definedName>
    <definedName name="IQRCompaniesH283" hidden="1">#REF!</definedName>
    <definedName name="IQRCompaniesH285" hidden="1">#REF!</definedName>
    <definedName name="IQRCompaniesH286" hidden="1">#REF!</definedName>
    <definedName name="IQRCompaniesH287" hidden="1">#REF!</definedName>
    <definedName name="IQRCompaniesH288" hidden="1">#REF!</definedName>
    <definedName name="IQRCompaniesH29" hidden="1">#REF!</definedName>
    <definedName name="IQRCompaniesH292" hidden="1">#REF!</definedName>
    <definedName name="IQRCompaniesH293" hidden="1">#REF!</definedName>
    <definedName name="IQRCompaniesH294" hidden="1">#REF!</definedName>
    <definedName name="IQRCompaniesH295" hidden="1">#REF!</definedName>
    <definedName name="IQRCompaniesH296" hidden="1">#REF!</definedName>
    <definedName name="IQRCompaniesH297" hidden="1">#REF!</definedName>
    <definedName name="IQRCompaniesH298" hidden="1">#REF!</definedName>
    <definedName name="IQRCompaniesH30" hidden="1">#REF!</definedName>
    <definedName name="IQRCompaniesH300" hidden="1">#REF!</definedName>
    <definedName name="IQRCompaniesH301" hidden="1">#REF!</definedName>
    <definedName name="IQRCompaniesH302" hidden="1">#REF!</definedName>
    <definedName name="IQRCompaniesH303" hidden="1">#REF!</definedName>
    <definedName name="IQRCompaniesH304" hidden="1">#REF!</definedName>
    <definedName name="IQRCompaniesH305" hidden="1">#REF!</definedName>
    <definedName name="IQRCompaniesH307" hidden="1">#REF!</definedName>
    <definedName name="IQRCompaniesH31" hidden="1">#REF!</definedName>
    <definedName name="IQRCompaniesH313" hidden="1">#REF!</definedName>
    <definedName name="IQRCompaniesH314" hidden="1">#REF!</definedName>
    <definedName name="IQRCompaniesH315" hidden="1">#REF!</definedName>
    <definedName name="IQRCompaniesH317" hidden="1">#REF!</definedName>
    <definedName name="IQRCompaniesH32" hidden="1">#REF!</definedName>
    <definedName name="IQRCompaniesH322" hidden="1">#REF!</definedName>
    <definedName name="IQRCompaniesH327" hidden="1">#REF!</definedName>
    <definedName name="IQRCompaniesH328" hidden="1">#REF!</definedName>
    <definedName name="IQRCompaniesH33" hidden="1">#REF!</definedName>
    <definedName name="IQRCompaniesH333" hidden="1">#REF!</definedName>
    <definedName name="IQRCompaniesH335" hidden="1">#REF!</definedName>
    <definedName name="IQRCompaniesH337"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7" hidden="1">#REF!</definedName>
    <definedName name="IQRCompaniesH88"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N100" hidden="1">#REF!</definedName>
    <definedName name="IQRCompaniesN101" hidden="1">#REF!</definedName>
    <definedName name="IQRCompaniesN102" hidden="1">#REF!</definedName>
    <definedName name="IQRCompaniesN103" hidden="1">#REF!</definedName>
    <definedName name="IQRCompaniesN104" hidden="1">#REF!</definedName>
    <definedName name="IQRCompaniesN106" hidden="1">#REF!</definedName>
    <definedName name="IQRCompaniesN108" hidden="1">#REF!</definedName>
    <definedName name="IQRCompaniesN110" hidden="1">#REF!</definedName>
    <definedName name="IQRCompaniesN111" hidden="1">#REF!</definedName>
    <definedName name="IQRCompaniesN112" hidden="1">#REF!</definedName>
    <definedName name="IQRCompaniesN113" hidden="1">#REF!</definedName>
    <definedName name="IQRCompaniesN116" hidden="1">#REF!</definedName>
    <definedName name="IQRCompaniesN117" hidden="1">#REF!</definedName>
    <definedName name="IQRCompaniesN118" hidden="1">#REF!</definedName>
    <definedName name="IQRCompaniesN119"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6" hidden="1">#REF!</definedName>
    <definedName name="IQRCompaniesN128" hidden="1">#REF!</definedName>
    <definedName name="IQRCompaniesN129" hidden="1">#REF!</definedName>
    <definedName name="IQRCompaniesN13" hidden="1">#REF!</definedName>
    <definedName name="IQRCompaniesN131"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hidden="1">#REF!</definedName>
    <definedName name="IQRCompaniesN150" hidden="1">#REF!</definedName>
    <definedName name="IQRCompaniesN152" hidden="1">#REF!</definedName>
    <definedName name="IQRCompaniesN154" hidden="1">#REF!</definedName>
    <definedName name="IQRCompaniesN155" hidden="1">#REF!</definedName>
    <definedName name="IQRCompaniesN156" hidden="1">#REF!</definedName>
    <definedName name="IQRCompaniesN158" hidden="1">#REF!</definedName>
    <definedName name="IQRCompaniesN159" hidden="1">#REF!</definedName>
    <definedName name="IQRCompaniesN16" hidden="1">#REF!</definedName>
    <definedName name="IQRCompaniesN160" hidden="1">#REF!</definedName>
    <definedName name="IQRCompaniesN162" hidden="1">#REF!</definedName>
    <definedName name="IQRCompaniesN164" hidden="1">#REF!</definedName>
    <definedName name="IQRCompaniesN166" hidden="1">#REF!</definedName>
    <definedName name="IQRCompaniesN167" hidden="1">#REF!</definedName>
    <definedName name="IQRCompaniesN169" hidden="1">#REF!</definedName>
    <definedName name="IQRCompaniesN17" hidden="1">#REF!</definedName>
    <definedName name="IQRCompaniesN170" hidden="1">#REF!</definedName>
    <definedName name="IQRCompaniesN171" hidden="1">#REF!</definedName>
    <definedName name="IQRCompaniesN173" hidden="1">#REF!</definedName>
    <definedName name="IQRCompaniesN174" hidden="1">#REF!</definedName>
    <definedName name="IQRCompaniesN177" hidden="1">#REF!</definedName>
    <definedName name="IQRCompaniesN179" hidden="1">#REF!</definedName>
    <definedName name="IQRCompaniesN18" hidden="1">#REF!</definedName>
    <definedName name="IQRCompaniesN180" hidden="1">#REF!</definedName>
    <definedName name="IQRCompaniesN181" hidden="1">#REF!</definedName>
    <definedName name="IQRCompaniesN182" hidden="1">#REF!</definedName>
    <definedName name="IQRCompaniesN183" hidden="1">#REF!</definedName>
    <definedName name="IQRCompaniesN184" hidden="1">#REF!</definedName>
    <definedName name="IQRCompaniesN185" hidden="1">#REF!</definedName>
    <definedName name="IQRCompaniesN186" hidden="1">#REF!</definedName>
    <definedName name="IQRCompaniesN187" hidden="1">#REF!</definedName>
    <definedName name="IQRCompaniesN189" hidden="1">#REF!</definedName>
    <definedName name="IQRCompaniesN19" hidden="1">#REF!</definedName>
    <definedName name="IQRCompaniesN191"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8" hidden="1">#REF!</definedName>
    <definedName name="IQRCompaniesN199"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8" hidden="1">#REF!</definedName>
    <definedName name="IQRCompaniesN21" hidden="1">#REF!</definedName>
    <definedName name="IQRCompaniesN210" hidden="1">#REF!</definedName>
    <definedName name="IQRCompaniesN217" hidden="1">#REF!</definedName>
    <definedName name="IQRCompaniesN218" hidden="1">#REF!</definedName>
    <definedName name="IQRCompaniesN219" hidden="1">#REF!</definedName>
    <definedName name="IQRCompaniesN22" hidden="1">#REF!</definedName>
    <definedName name="IQRCompaniesN220" hidden="1">#REF!</definedName>
    <definedName name="IQRCompaniesN221" hidden="1">#REF!</definedName>
    <definedName name="IQRCompaniesN224" hidden="1">#REF!</definedName>
    <definedName name="IQRCompaniesN226" hidden="1">#REF!</definedName>
    <definedName name="IQRCompaniesN227" hidden="1">#REF!</definedName>
    <definedName name="IQRCompaniesN229" hidden="1">#REF!</definedName>
    <definedName name="IQRCompaniesN23" hidden="1">#REF!</definedName>
    <definedName name="IQRCompaniesN231" hidden="1">#REF!</definedName>
    <definedName name="IQRCompaniesN232" hidden="1">#REF!</definedName>
    <definedName name="IQRCompaniesN233" hidden="1">#REF!</definedName>
    <definedName name="IQRCompaniesN235" hidden="1">#REF!</definedName>
    <definedName name="IQRCompaniesN237" hidden="1">#REF!</definedName>
    <definedName name="IQRCompaniesN239" hidden="1">#REF!</definedName>
    <definedName name="IQRCompaniesN24" hidden="1">#REF!</definedName>
    <definedName name="IQRCompaniesN240" hidden="1">#REF!</definedName>
    <definedName name="IQRCompaniesN243" hidden="1">#REF!</definedName>
    <definedName name="IQRCompaniesN244" hidden="1">#REF!</definedName>
    <definedName name="IQRCompaniesN245" hidden="1">#REF!</definedName>
    <definedName name="IQRCompaniesN246" hidden="1">#REF!</definedName>
    <definedName name="IQRCompaniesN248" hidden="1">#REF!</definedName>
    <definedName name="IQRCompaniesN25" hidden="1">#REF!</definedName>
    <definedName name="IQRCompaniesN251" hidden="1">#REF!</definedName>
    <definedName name="IQRCompaniesN252" hidden="1">#REF!</definedName>
    <definedName name="IQRCompaniesN253" hidden="1">#REF!</definedName>
    <definedName name="IQRCompaniesN254" hidden="1">#REF!</definedName>
    <definedName name="IQRCompaniesN256" hidden="1">#REF!</definedName>
    <definedName name="IQRCompaniesN257" hidden="1">#REF!</definedName>
    <definedName name="IQRCompaniesN258" hidden="1">#REF!</definedName>
    <definedName name="IQRCompaniesN259"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4" hidden="1">#REF!</definedName>
    <definedName name="IQRCompaniesN265" hidden="1">#REF!</definedName>
    <definedName name="IQRCompaniesN266" hidden="1">#REF!</definedName>
    <definedName name="IQRCompaniesN268" hidden="1">#REF!</definedName>
    <definedName name="IQRCompaniesN269" hidden="1">#REF!</definedName>
    <definedName name="IQRCompaniesN27" hidden="1">#REF!</definedName>
    <definedName name="IQRCompaniesN270" hidden="1">#REF!</definedName>
    <definedName name="IQRCompaniesN272" hidden="1">#REF!</definedName>
    <definedName name="IQRCompaniesN273" hidden="1">#REF!</definedName>
    <definedName name="IQRCompaniesN274" hidden="1">#REF!</definedName>
    <definedName name="IQRCompaniesN275" hidden="1">#REF!</definedName>
    <definedName name="IQRCompaniesN278" hidden="1">#REF!</definedName>
    <definedName name="IQRCompaniesN279" hidden="1">#REF!</definedName>
    <definedName name="IQRCompaniesN28" hidden="1">#REF!</definedName>
    <definedName name="IQRCompaniesN280" hidden="1">#REF!</definedName>
    <definedName name="IQRCompaniesN281" hidden="1">#REF!</definedName>
    <definedName name="IQRCompaniesN282" hidden="1">#REF!</definedName>
    <definedName name="IQRCompaniesN283" hidden="1">#REF!</definedName>
    <definedName name="IQRCompaniesN285" hidden="1">#REF!</definedName>
    <definedName name="IQRCompaniesN286" hidden="1">#REF!</definedName>
    <definedName name="IQRCompaniesN287" hidden="1">#REF!</definedName>
    <definedName name="IQRCompaniesN288" hidden="1">#REF!</definedName>
    <definedName name="IQRCompaniesN29" hidden="1">#REF!</definedName>
    <definedName name="IQRCompaniesN292" hidden="1">#REF!</definedName>
    <definedName name="IQRCompaniesN293" hidden="1">#REF!</definedName>
    <definedName name="IQRCompaniesN294" hidden="1">#REF!</definedName>
    <definedName name="IQRCompaniesN295" hidden="1">#REF!</definedName>
    <definedName name="IQRCompaniesN296" hidden="1">#REF!</definedName>
    <definedName name="IQRCompaniesN297" hidden="1">#REF!</definedName>
    <definedName name="IQRCompaniesN298" hidden="1">#REF!</definedName>
    <definedName name="IQRCompaniesN30" hidden="1">#REF!</definedName>
    <definedName name="IQRCompaniesN300" hidden="1">#REF!</definedName>
    <definedName name="IQRCompaniesN301" hidden="1">#REF!</definedName>
    <definedName name="IQRCompaniesN302" hidden="1">#REF!</definedName>
    <definedName name="IQRCompaniesN303" hidden="1">#REF!</definedName>
    <definedName name="IQRCompaniesN304" hidden="1">#REF!</definedName>
    <definedName name="IQRCompaniesN305" hidden="1">#REF!</definedName>
    <definedName name="IQRCompaniesN307" hidden="1">#REF!</definedName>
    <definedName name="IQRCompaniesN31" hidden="1">#REF!</definedName>
    <definedName name="IQRCompaniesN313" hidden="1">#REF!</definedName>
    <definedName name="IQRCompaniesN314" hidden="1">#REF!</definedName>
    <definedName name="IQRCompaniesN315" hidden="1">#REF!</definedName>
    <definedName name="IQRCompaniesN317" hidden="1">#REF!</definedName>
    <definedName name="IQRCompaniesN32" hidden="1">#REF!</definedName>
    <definedName name="IQRCompaniesN322" hidden="1">#REF!</definedName>
    <definedName name="IQRCompaniesN327" hidden="1">#REF!</definedName>
    <definedName name="IQRCompaniesN328" hidden="1">#REF!</definedName>
    <definedName name="IQRCompaniesN33" hidden="1">#REF!</definedName>
    <definedName name="IQRCompaniesN333" hidden="1">#REF!</definedName>
    <definedName name="IQRCompaniesN335" hidden="1">#REF!</definedName>
    <definedName name="IQRCompaniesN337"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7" hidden="1">#REF!</definedName>
    <definedName name="IQRCompaniesN88"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RMDSOK13" hidden="1">#REF!</definedName>
    <definedName name="IQRCRMDSOL13" hidden="1">#REF!</definedName>
    <definedName name="IQRCRMDSOM13" hidden="1">#REF!</definedName>
    <definedName name="IQRCRMDSON13" hidden="1">#REF!</definedName>
    <definedName name="IQRCRMDSOO13" hidden="1">#REF!</definedName>
    <definedName name="IQRCRMDSOP13" hidden="1">#REF!</definedName>
    <definedName name="IQRCRMDSOR13" hidden="1">#REF!</definedName>
    <definedName name="IQRCRMDSOS13" hidden="1">#REF!</definedName>
    <definedName name="IQRCRMDSOT13" hidden="1">#REF!</definedName>
    <definedName name="IQRD11" hidden="1">"$D$12:$D$967"</definedName>
    <definedName name="IQRD110" hidden="1">"$D$111:$D$112"</definedName>
    <definedName name="IQRD114" hidden="1">"$D$115:$D$153"</definedName>
    <definedName name="IQRD14" hidden="1">"$D$15:$D$38"</definedName>
    <definedName name="IQRD15" hidden="1">"$D$16:$D$17"</definedName>
    <definedName name="IQRD155" hidden="1">"$D$156:$D$163"</definedName>
    <definedName name="IQRD165" hidden="1">"$D$166:$D$175"</definedName>
    <definedName name="IQRD177" hidden="1">"$D$178:$D$209"</definedName>
    <definedName name="IQRD2" hidden="1">"$D$3:$D$39"</definedName>
    <definedName name="IQRD211" hidden="1">"$D$212:$D$230"</definedName>
    <definedName name="IQRD232" hidden="1">"$D$233:$D$237"</definedName>
    <definedName name="IQRD239" hidden="1">"$D$240:$D$254"</definedName>
    <definedName name="IQRD256" hidden="1">"$D$257:$D$271"</definedName>
    <definedName name="IQRD273" hidden="1">"$D$274:$D$291"</definedName>
    <definedName name="IQRD293" hidden="1">"$D$294:$D$300"</definedName>
    <definedName name="IQRD302" hidden="1">"$D$303:$D$308"</definedName>
    <definedName name="IQRD310" hidden="1">"$D$311:$D$319"</definedName>
    <definedName name="IQRD321" hidden="1">"$D$322:$D$342"</definedName>
    <definedName name="IQRD344" hidden="1">"$D$345:$D$369"</definedName>
    <definedName name="IQRD371" hidden="1">"$D$372:$D$386"</definedName>
    <definedName name="IQRD388" hidden="1">"$D$389:$D$407"</definedName>
    <definedName name="IQRD409" hidden="1">"$D$410:$D$425"</definedName>
    <definedName name="IQRD41" hidden="1">"$D$42:$D$51"</definedName>
    <definedName name="IQRD427" hidden="1">"$D$428:$D$437"</definedName>
    <definedName name="IQRD440" hidden="1">"$D$441:$D$465"</definedName>
    <definedName name="IQRD467" hidden="1">"$D$468:$D$489"</definedName>
    <definedName name="IQRD491" hidden="1">"$D$492:$D$515"</definedName>
    <definedName name="IQRD5" hidden="1">"$D$6:$D$10"</definedName>
    <definedName name="IQRD517" hidden="1">"$D$518:$D$524"</definedName>
    <definedName name="IQRD526" hidden="1">"$D$527:$D$536"</definedName>
    <definedName name="IQRD53" hidden="1">"$D$54:$D$63"</definedName>
    <definedName name="IQRD538" hidden="1">"$D$539:$D$558"</definedName>
    <definedName name="IQRD560" hidden="1">"$D$561:$D$577"</definedName>
    <definedName name="IQRD579" hidden="1">"$D$580:$D$606"</definedName>
    <definedName name="IQRD6" hidden="1">"$D$7:$D$26"</definedName>
    <definedName name="IQRD608" hidden="1">"$D$609:$D$617"</definedName>
    <definedName name="IQRD619" hidden="1">"$D$620:$D$642"</definedName>
    <definedName name="IQRD644" hidden="1">"$D$645:$D$653"</definedName>
    <definedName name="IQRD65" hidden="1">"$D$66:$D$69"</definedName>
    <definedName name="IQRD71" hidden="1">"$D$72:$D$108"</definedName>
    <definedName name="IQRD8" hidden="1">"$D$9:$D$964"</definedName>
    <definedName name="IQRE110" hidden="1">"$E$111:$E$112"</definedName>
    <definedName name="IQRE114" hidden="1">"$E$115:$E$153"</definedName>
    <definedName name="IQRE14" hidden="1">"$E$15:$E$36"</definedName>
    <definedName name="IQRE155" hidden="1">"$E$156:$E$163"</definedName>
    <definedName name="IQRE165" hidden="1">"$E$166:$E$175"</definedName>
    <definedName name="IQRE177" hidden="1">"$E$178:$E$209"</definedName>
    <definedName name="IQRE18" hidden="1">"$F$18:$Y$18"</definedName>
    <definedName name="IQRE19" hidden="1">"$F$19"</definedName>
    <definedName name="IQRE2" hidden="1">"$E$3:$E$39"</definedName>
    <definedName name="IQRE20" hidden="1">"$F$20"</definedName>
    <definedName name="IQRE211" hidden="1">"$E$212:$E$230"</definedName>
    <definedName name="IQRE22" hidden="1">"$E$23:$E$32"</definedName>
    <definedName name="IQRE232" hidden="1">"$E$233:$E$237"</definedName>
    <definedName name="IQRE239" hidden="1">"$E$240:$E$254"</definedName>
    <definedName name="IQRE256" hidden="1">"$E$257:$E$271"</definedName>
    <definedName name="IQRE273" hidden="1">"$E$274:$E$291"</definedName>
    <definedName name="IQRE293" hidden="1">"$E$294:$E$300"</definedName>
    <definedName name="IQRE30" hidden="1">"$F$30:$L$30"</definedName>
    <definedName name="IQRE302" hidden="1">"$E$303:$E$308"</definedName>
    <definedName name="IQRE31" hidden="1">"$F$31:$S$31"</definedName>
    <definedName name="IQRE310" hidden="1">"$E$311:$E$319"</definedName>
    <definedName name="IQRE32" hidden="1">"$F$32:$J$32"</definedName>
    <definedName name="IQRE321" hidden="1">"$E$322:$E$342"</definedName>
    <definedName name="IQRE344" hidden="1">"$E$345:$E$369"</definedName>
    <definedName name="IQRE36" hidden="1">"$E$37:$E$46"</definedName>
    <definedName name="IQRE371" hidden="1">"$E$372:$E$386"</definedName>
    <definedName name="IQRE388" hidden="1">"$E$389:$E$407"</definedName>
    <definedName name="IQRE409" hidden="1">"$E$410:$E$425"</definedName>
    <definedName name="IQRE41" hidden="1">"$E$42:$E$51"</definedName>
    <definedName name="IQRE42" hidden="1">"$F$42"</definedName>
    <definedName name="IQRE427" hidden="1">"$E$428:$E$437"</definedName>
    <definedName name="IQRE43" hidden="1">"$F$43"</definedName>
    <definedName name="IQRE44" hidden="1">"$F$44"</definedName>
    <definedName name="IQRE440" hidden="1">"$E$441:$E$465"</definedName>
    <definedName name="IQRE45" hidden="1">"$F$45"</definedName>
    <definedName name="IQRE46" hidden="1">"$F$46"</definedName>
    <definedName name="IQRE467" hidden="1">"$E$468:$E$489"</definedName>
    <definedName name="IQRE47" hidden="1">"$F$47"</definedName>
    <definedName name="IQRE48" hidden="1">"$F$48"</definedName>
    <definedName name="IQRE49" hidden="1">"$F$49"</definedName>
    <definedName name="IQRE491" hidden="1">"$E$492:$E$515"</definedName>
    <definedName name="IQRE50" hidden="1">"$F$50"</definedName>
    <definedName name="IQRE51" hidden="1">"$F$51"</definedName>
    <definedName name="IQRE517" hidden="1">"$E$518:$E$524"</definedName>
    <definedName name="IQRE52" hidden="1">"$F$52"</definedName>
    <definedName name="IQRE526" hidden="1">"$E$527:$E$536"</definedName>
    <definedName name="IQRE53" hidden="1">"$E$54:$E$63"</definedName>
    <definedName name="IQRE538" hidden="1">"$E$539:$E$558"</definedName>
    <definedName name="IQRE560" hidden="1">"$E$561:$E$577"</definedName>
    <definedName name="IQRE57" hidden="1">"$F$57:$R$57"</definedName>
    <definedName name="IQRE579" hidden="1">"$E$580:$E$606"</definedName>
    <definedName name="IQRE58" hidden="1">"$F$58:$K$58"</definedName>
    <definedName name="IQRE59" hidden="1">"$F$59:$I$59"</definedName>
    <definedName name="IQRE60" hidden="1">"$F$60:$I$60"</definedName>
    <definedName name="IQRE608" hidden="1">"$E$609:$E$617"</definedName>
    <definedName name="IQRE61" hidden="1">"$F$61:$R$61"</definedName>
    <definedName name="IQRE619" hidden="1">"$E$620:$E$642"</definedName>
    <definedName name="IQRE62" hidden="1">"$F$62"</definedName>
    <definedName name="IQRE644" hidden="1">"$E$645:$E$653"</definedName>
    <definedName name="IQRE65" hidden="1">"$E$66:$E$69"</definedName>
    <definedName name="IQRE71" hidden="1">"$E$72:$E$108"</definedName>
    <definedName name="IQRE8" hidden="1">"$E$9:$E$964"</definedName>
    <definedName name="IQREBIXDSOK13" hidden="1">#REF!</definedName>
    <definedName name="IQREBIXDSOL13" hidden="1">#REF!</definedName>
    <definedName name="IQREBIXDSOM13" hidden="1">#REF!</definedName>
    <definedName name="IQREBIXDSON13" hidden="1">#REF!</definedName>
    <definedName name="IQREBIXDSOO13" hidden="1">#REF!</definedName>
    <definedName name="IQREBIXDSOP13" hidden="1">#REF!</definedName>
    <definedName name="IQREBIXDSOR13" hidden="1">#REF!</definedName>
    <definedName name="IQREBIXDSOS13" hidden="1">#REF!</definedName>
    <definedName name="IQREBIXDSOT13" hidden="1">#REF!</definedName>
    <definedName name="IQRF22" hidden="1">"$F$23:$F$32"</definedName>
    <definedName name="IQRF36" hidden="1">"$F$37:$F$46"</definedName>
    <definedName name="IQRFCDSOK13" hidden="1">#REF!</definedName>
    <definedName name="IQRFCDSOL13" hidden="1">#REF!</definedName>
    <definedName name="IQRFCDSOM13" hidden="1">#REF!</definedName>
    <definedName name="IQRFCDSON13" hidden="1">#REF!</definedName>
    <definedName name="IQRFCDSOO13" hidden="1">#REF!</definedName>
    <definedName name="IQRFCDSOP13" hidden="1">#REF!</definedName>
    <definedName name="IQRFCDSOR13" hidden="1">#REF!</definedName>
    <definedName name="IQRFCDSOS13" hidden="1">#REF!</definedName>
    <definedName name="IQRFCDSOT13" hidden="1">#REF!</definedName>
    <definedName name="IQRFCNDSOK13" hidden="1">#REF!</definedName>
    <definedName name="IQRFCNDSOL13" hidden="1">#REF!</definedName>
    <definedName name="IQRFCNDSOM13" hidden="1">#REF!</definedName>
    <definedName name="IQRFCNDSON13" hidden="1">#REF!</definedName>
    <definedName name="IQRFCNDSOO13" hidden="1">#REF!</definedName>
    <definedName name="IQRFCNDSOP13" hidden="1">#REF!</definedName>
    <definedName name="IQRFCNDSOR13" hidden="1">#REF!</definedName>
    <definedName name="IQRFCNDSOS13" hidden="1">#REF!</definedName>
    <definedName name="IQRFCNDSOT13" hidden="1">#REF!</definedName>
    <definedName name="IQRFinancialBuyersG10" hidden="1">#REF!</definedName>
    <definedName name="IQRFinancialBuyersG102" hidden="1">#REF!</definedName>
    <definedName name="IQRFinancialBuyersG106" hidden="1">#REF!</definedName>
    <definedName name="IQRFinancialBuyersG110" hidden="1">#REF!</definedName>
    <definedName name="IQRFinancialBuyersG114" hidden="1">#REF!</definedName>
    <definedName name="IQRFinancialBuyersG118" hidden="1">#REF!</definedName>
    <definedName name="IQRFinancialBuyersG122" hidden="1">#REF!</definedName>
    <definedName name="IQRFinancialBuyersG126" hidden="1">#REF!</definedName>
    <definedName name="IQRFinancialBuyersG138" hidden="1">#REF!</definedName>
    <definedName name="IQRFinancialBuyersG14" hidden="1">#REF!</definedName>
    <definedName name="IQRFinancialBuyersG142" hidden="1">#REF!</definedName>
    <definedName name="IQRFinancialBuyersG146" hidden="1">#REF!</definedName>
    <definedName name="IQRFinancialBuyersG150" hidden="1">#REF!</definedName>
    <definedName name="IQRFinancialBuyersG154" hidden="1">#REF!</definedName>
    <definedName name="IQRFinancialBuyersG158" hidden="1">#REF!</definedName>
    <definedName name="IQRFinancialBuyersG162" hidden="1">#REF!</definedName>
    <definedName name="IQRFinancialBuyersG166" hidden="1">#REF!</definedName>
    <definedName name="IQRFinancialBuyersG170" hidden="1">#REF!</definedName>
    <definedName name="IQRFinancialBuyersG174" hidden="1">#REF!</definedName>
    <definedName name="IQRFinancialBuyersG178" hidden="1">#REF!</definedName>
    <definedName name="IQRFinancialBuyersG18" hidden="1">#REF!</definedName>
    <definedName name="IQRFinancialBuyersG182" hidden="1">#REF!</definedName>
    <definedName name="IQRFinancialBuyersG186" hidden="1">#REF!</definedName>
    <definedName name="IQRFinancialBuyersG190" hidden="1">#REF!</definedName>
    <definedName name="IQRFinancialBuyersG194" hidden="1">#REF!</definedName>
    <definedName name="IQRFinancialBuyersG198" hidden="1">#REF!</definedName>
    <definedName name="IQRFinancialBuyersG202" hidden="1">#REF!</definedName>
    <definedName name="IQRFinancialBuyersG206" hidden="1">#REF!</definedName>
    <definedName name="IQRFinancialBuyersG210" hidden="1">#REF!</definedName>
    <definedName name="IQRFinancialBuyersG214" hidden="1">#REF!</definedName>
    <definedName name="IQRFinancialBuyersG218" hidden="1">#REF!</definedName>
    <definedName name="IQRFinancialBuyersG22" hidden="1">#REF!</definedName>
    <definedName name="IQRFinancialBuyersG222" hidden="1">#REF!</definedName>
    <definedName name="IQRFinancialBuyersG226" hidden="1">#REF!</definedName>
    <definedName name="IQRFinancialBuyersG230" hidden="1">#REF!</definedName>
    <definedName name="IQRFinancialBuyersG234" hidden="1">#REF!</definedName>
    <definedName name="IQRFinancialBuyersG238" hidden="1">#REF!</definedName>
    <definedName name="IQRFinancialBuyersG242" hidden="1">#REF!</definedName>
    <definedName name="IQRFinancialBuyersG246" hidden="1">#REF!</definedName>
    <definedName name="IQRFinancialBuyersG250" hidden="1">#REF!</definedName>
    <definedName name="IQRFinancialBuyersG254" hidden="1">#REF!</definedName>
    <definedName name="IQRFinancialBuyersG26" hidden="1">#REF!</definedName>
    <definedName name="IQRFinancialBuyersG266" hidden="1">#REF!</definedName>
    <definedName name="IQRFinancialBuyersG270" hidden="1">#REF!</definedName>
    <definedName name="IQRFinancialBuyersG274" hidden="1">#REF!</definedName>
    <definedName name="IQRFinancialBuyersG278" hidden="1">#REF!</definedName>
    <definedName name="IQRFinancialBuyersG282" hidden="1">#REF!</definedName>
    <definedName name="IQRFinancialBuyersG286" hidden="1">#REF!</definedName>
    <definedName name="IQRFinancialBuyersG290" hidden="1">#REF!</definedName>
    <definedName name="IQRFinancialBuyersG294" hidden="1">#REF!</definedName>
    <definedName name="IQRFinancialBuyersG298" hidden="1">#REF!</definedName>
    <definedName name="IQRFinancialBuyersG30" hidden="1">#REF!</definedName>
    <definedName name="IQRFinancialBuyersG302" hidden="1">#REF!</definedName>
    <definedName name="IQRFinancialBuyersG306" hidden="1">#REF!</definedName>
    <definedName name="IQRFinancialBuyersG310" hidden="1">#REF!</definedName>
    <definedName name="IQRFinancialBuyersG314" hidden="1">#REF!</definedName>
    <definedName name="IQRFinancialBuyersG318" hidden="1">#REF!</definedName>
    <definedName name="IQRFinancialBuyersG322" hidden="1">#REF!</definedName>
    <definedName name="IQRFinancialBuyersG326" hidden="1">#REF!</definedName>
    <definedName name="IQRFinancialBuyersG330" hidden="1">#REF!</definedName>
    <definedName name="IQRFinancialBuyersG334" hidden="1">#REF!</definedName>
    <definedName name="IQRFinancialBuyersG338" hidden="1">#REF!</definedName>
    <definedName name="IQRFinancialBuyersG34" hidden="1">#REF!</definedName>
    <definedName name="IQRFinancialBuyersG342" hidden="1">#REF!</definedName>
    <definedName name="IQRFinancialBuyersG346" hidden="1">#REF!</definedName>
    <definedName name="IQRFinancialBuyersG350" hidden="1">#REF!</definedName>
    <definedName name="IQRFinancialBuyersG354" hidden="1">#REF!</definedName>
    <definedName name="IQRFinancialBuyersG358" hidden="1">#REF!</definedName>
    <definedName name="IQRFinancialBuyersG362" hidden="1">#REF!</definedName>
    <definedName name="IQRFinancialBuyersG366" hidden="1">#REF!</definedName>
    <definedName name="IQRFinancialBuyersG370" hidden="1">#REF!</definedName>
    <definedName name="IQRFinancialBuyersG374" hidden="1">#REF!</definedName>
    <definedName name="IQRFinancialBuyersG378" hidden="1">#REF!</definedName>
    <definedName name="IQRFinancialBuyersG38" hidden="1">#REF!</definedName>
    <definedName name="IQRFinancialBuyersG394" hidden="1">#REF!</definedName>
    <definedName name="IQRFinancialBuyersG398" hidden="1">#REF!</definedName>
    <definedName name="IQRFinancialBuyersG402" hidden="1">#REF!</definedName>
    <definedName name="IQRFinancialBuyersG406" hidden="1">#REF!</definedName>
    <definedName name="IQRFinancialBuyersG410" hidden="1">#REF!</definedName>
    <definedName name="IQRFinancialBuyersG414" hidden="1">#REF!</definedName>
    <definedName name="IQRFinancialBuyersG418" hidden="1">#REF!</definedName>
    <definedName name="IQRFinancialBuyersG42" hidden="1">#REF!</definedName>
    <definedName name="IQRFinancialBuyersG422" hidden="1">#REF!</definedName>
    <definedName name="IQRFinancialBuyersG426" hidden="1">#REF!</definedName>
    <definedName name="IQRFinancialBuyersG430" hidden="1">#REF!</definedName>
    <definedName name="IQRFinancialBuyersG434" hidden="1">#REF!</definedName>
    <definedName name="IQRFinancialBuyersG438" hidden="1">#REF!</definedName>
    <definedName name="IQRFinancialBuyersG442" hidden="1">#REF!</definedName>
    <definedName name="IQRFinancialBuyersG446" hidden="1">#REF!</definedName>
    <definedName name="IQRFinancialBuyersG450" hidden="1">#REF!</definedName>
    <definedName name="IQRFinancialBuyersG454" hidden="1">#REF!</definedName>
    <definedName name="IQRFinancialBuyersG458" hidden="1">#REF!</definedName>
    <definedName name="IQRFinancialBuyersG46" hidden="1">#REF!</definedName>
    <definedName name="IQRFinancialBuyersG462" hidden="1">#REF!</definedName>
    <definedName name="IQRFinancialBuyersG466" hidden="1">#REF!</definedName>
    <definedName name="IQRFinancialBuyersG470" hidden="1">#REF!</definedName>
    <definedName name="IQRFinancialBuyersG474" hidden="1">#REF!</definedName>
    <definedName name="IQRFinancialBuyersG478" hidden="1">#REF!</definedName>
    <definedName name="IQRFinancialBuyersG482" hidden="1">#REF!</definedName>
    <definedName name="IQRFinancialBuyersG486" hidden="1">#REF!</definedName>
    <definedName name="IQRFinancialBuyersG490" hidden="1">#REF!</definedName>
    <definedName name="IQRFinancialBuyersG494" hidden="1">#REF!</definedName>
    <definedName name="IQRFinancialBuyersG498" hidden="1">#REF!</definedName>
    <definedName name="IQRFinancialBuyersG50" hidden="1">#REF!</definedName>
    <definedName name="IQRFinancialBuyersG502" hidden="1">#REF!</definedName>
    <definedName name="IQRFinancialBuyersG506" hidden="1">#REF!</definedName>
    <definedName name="IQRFinancialBuyersG510" hidden="1">#REF!</definedName>
    <definedName name="IQRFinancialBuyersG522" hidden="1">#REF!</definedName>
    <definedName name="IQRFinancialBuyersG526" hidden="1">#REF!</definedName>
    <definedName name="IQRFinancialBuyersG530" hidden="1">#REF!</definedName>
    <definedName name="IQRFinancialBuyersG534" hidden="1">#REF!</definedName>
    <definedName name="IQRFinancialBuyersG538" hidden="1">#REF!</definedName>
    <definedName name="IQRFinancialBuyersG54" hidden="1">#REF!</definedName>
    <definedName name="IQRFinancialBuyersG542" hidden="1">#REF!</definedName>
    <definedName name="IQRFinancialBuyersG546" hidden="1">#REF!</definedName>
    <definedName name="IQRFinancialBuyersG550" hidden="1">#REF!</definedName>
    <definedName name="IQRFinancialBuyersG554" hidden="1">#REF!</definedName>
    <definedName name="IQRFinancialBuyersG558" hidden="1">#REF!</definedName>
    <definedName name="IQRFinancialBuyersG562" hidden="1">#REF!</definedName>
    <definedName name="IQRFinancialBuyersG566" hidden="1">#REF!</definedName>
    <definedName name="IQRFinancialBuyersG570" hidden="1">#REF!</definedName>
    <definedName name="IQRFinancialBuyersG574" hidden="1">#REF!</definedName>
    <definedName name="IQRFinancialBuyersG578" hidden="1">#REF!</definedName>
    <definedName name="IQRFinancialBuyersG58" hidden="1">#REF!</definedName>
    <definedName name="IQRFinancialBuyersG582" hidden="1">#REF!</definedName>
    <definedName name="IQRFinancialBuyersG586" hidden="1">#REF!</definedName>
    <definedName name="IQRFinancialBuyersG594" hidden="1">#REF!</definedName>
    <definedName name="IQRFinancialBuyersG598" hidden="1">#REF!</definedName>
    <definedName name="IQRFinancialBuyersG602" hidden="1">#REF!</definedName>
    <definedName name="IQRFinancialBuyersG606" hidden="1">#REF!</definedName>
    <definedName name="IQRFinancialBuyersG610" hidden="1">#REF!</definedName>
    <definedName name="IQRFinancialBuyersG614" hidden="1">#REF!</definedName>
    <definedName name="IQRFinancialBuyersG618" hidden="1">#REF!</definedName>
    <definedName name="IQRFinancialBuyersG62" hidden="1">#REF!</definedName>
    <definedName name="IQRFinancialBuyersG622" hidden="1">#REF!</definedName>
    <definedName name="IQRFinancialBuyersG626" hidden="1">#REF!</definedName>
    <definedName name="IQRFinancialBuyersG630" hidden="1">#REF!</definedName>
    <definedName name="IQRFinancialBuyersG634" hidden="1">#REF!</definedName>
    <definedName name="IQRFinancialBuyersG638" hidden="1">#REF!</definedName>
    <definedName name="IQRFinancialBuyersG650" hidden="1">#REF!</definedName>
    <definedName name="IQRFinancialBuyersG654" hidden="1">#REF!</definedName>
    <definedName name="IQRFinancialBuyersG658" hidden="1">#REF!</definedName>
    <definedName name="IQRFinancialBuyersG66" hidden="1">#REF!</definedName>
    <definedName name="IQRFinancialBuyersG662" hidden="1">#REF!</definedName>
    <definedName name="IQRFinancialBuyersG666" hidden="1">#REF!</definedName>
    <definedName name="IQRFinancialBuyersG670" hidden="1">#REF!</definedName>
    <definedName name="IQRFinancialBuyersG674" hidden="1">#REF!</definedName>
    <definedName name="IQRFinancialBuyersG678" hidden="1">#REF!</definedName>
    <definedName name="IQRFinancialBuyersG682" hidden="1">#REF!</definedName>
    <definedName name="IQRFinancialBuyersG686" hidden="1">#REF!</definedName>
    <definedName name="IQRFinancialBuyersG70" hidden="1">#REF!</definedName>
    <definedName name="IQRFinancialBuyersG74" hidden="1">#REF!</definedName>
    <definedName name="IQRFinancialBuyersG778" hidden="1">#REF!</definedName>
    <definedName name="IQRFinancialBuyersG78" hidden="1">#REF!</definedName>
    <definedName name="IQRFinancialBuyersG782" hidden="1">#REF!</definedName>
    <definedName name="IQRFinancialBuyersG786" hidden="1">#REF!</definedName>
    <definedName name="IQRFinancialBuyersG790" hidden="1">#REF!</definedName>
    <definedName name="IQRFinancialBuyersG794" hidden="1">#REF!</definedName>
    <definedName name="IQRFinancialBuyersG798" hidden="1">#REF!</definedName>
    <definedName name="IQRFinancialBuyersG802" hidden="1">#REF!</definedName>
    <definedName name="IQRFinancialBuyersG806" hidden="1">#REF!</definedName>
    <definedName name="IQRFinancialBuyersG810" hidden="1">#REF!</definedName>
    <definedName name="IQRFinancialBuyersG814" hidden="1">#REF!</definedName>
    <definedName name="IQRFinancialBuyersG818" hidden="1">#REF!</definedName>
    <definedName name="IQRFinancialBuyersG82" hidden="1">#REF!</definedName>
    <definedName name="IQRFinancialBuyersG822" hidden="1">#REF!</definedName>
    <definedName name="IQRFinancialBuyersG826" hidden="1">#REF!</definedName>
    <definedName name="IQRFinancialBuyersG830" hidden="1">#REF!</definedName>
    <definedName name="IQRFinancialBuyersG834" hidden="1">#REF!</definedName>
    <definedName name="IQRFinancialBuyersG838" hidden="1">#REF!</definedName>
    <definedName name="IQRFinancialBuyersG842" hidden="1">#REF!</definedName>
    <definedName name="IQRFinancialBuyersG846" hidden="1">#REF!</definedName>
    <definedName name="IQRFinancialBuyersG850" hidden="1">#REF!</definedName>
    <definedName name="IQRFinancialBuyersG854" hidden="1">#REF!</definedName>
    <definedName name="IQRFinancialBuyersG86" hidden="1">#REF!</definedName>
    <definedName name="IQRFinancialBuyersG90" hidden="1">#REF!</definedName>
    <definedName name="IQRFinancialBuyersG94" hidden="1">#REF!</definedName>
    <definedName name="IQRFinancialBuyersG98" hidden="1">#REF!</definedName>
    <definedName name="IQRFORRDSOK13" hidden="1">#REF!</definedName>
    <definedName name="IQRFORRDSOL13" hidden="1">#REF!</definedName>
    <definedName name="IQRFORRDSOM13" hidden="1">#REF!</definedName>
    <definedName name="IQRFORRDSON13" hidden="1">#REF!</definedName>
    <definedName name="IQRFORRDSOO13" hidden="1">#REF!</definedName>
    <definedName name="IQRFORRDSOP13" hidden="1">#REF!</definedName>
    <definedName name="IQRFORRDSOR13" hidden="1">#REF!</definedName>
    <definedName name="IQRFORRDSOS13" hidden="1">#REF!</definedName>
    <definedName name="IQRFORRDSOT13" hidden="1">#REF!</definedName>
    <definedName name="IQRG12" hidden="1">"$H$12:$L$12"</definedName>
    <definedName name="IQRG13" hidden="1">"$G$14:$G$15"</definedName>
    <definedName name="IQRG40" hidden="1">"$G$41:$G$51"</definedName>
    <definedName name="IQRGPXDSOK13" hidden="1">#REF!</definedName>
    <definedName name="IQRGPXDSOL13" hidden="1">#REF!</definedName>
    <definedName name="IQRGPXDSOM13" hidden="1">#REF!</definedName>
    <definedName name="IQRGPXDSON13" hidden="1">#REF!</definedName>
    <definedName name="IQRGPXDSOO13" hidden="1">#REF!</definedName>
    <definedName name="IQRGPXDSOP13" hidden="1">#REF!</definedName>
    <definedName name="IQRGPXDSOR13" hidden="1">#REF!</definedName>
    <definedName name="IQRGPXDSOS13" hidden="1">#REF!</definedName>
    <definedName name="IQRGPXDSOT13" hidden="1">#REF!</definedName>
    <definedName name="IQRGUIDDSOK13" hidden="1">#REF!</definedName>
    <definedName name="IQRGUIDDSOL13" hidden="1">#REF!</definedName>
    <definedName name="IQRGUIDDSOM13" hidden="1">#REF!</definedName>
    <definedName name="IQRGUIDDSON13" hidden="1">#REF!</definedName>
    <definedName name="IQRGUIDDSOO13" hidden="1">#REF!</definedName>
    <definedName name="IQRGUIDDSOP13" hidden="1">#REF!</definedName>
    <definedName name="IQRGUIDDSOR13" hidden="1">#REF!</definedName>
    <definedName name="IQRGUIDDSOS13" hidden="1">#REF!</definedName>
    <definedName name="IQRGUIDDSOT13" hidden="1">#REF!</definedName>
    <definedName name="IQRH12" hidden="1">"$I$12:$J$12"</definedName>
    <definedName name="IQRH13" hidden="1">"$I$13:$K$13"</definedName>
    <definedName name="IQRH14" hidden="1">"$I$14:$M$14"</definedName>
    <definedName name="IQRH15" hidden="1">"$I$15:$M$15"</definedName>
    <definedName name="IQRH16" hidden="1">"$I$16"</definedName>
    <definedName name="IQRH17" hidden="1">"$I$17:$M$17"</definedName>
    <definedName name="IQRH18" hidden="1">"$I$18"</definedName>
    <definedName name="IQRH19" hidden="1">"$I$19:$M$19"</definedName>
    <definedName name="IQRH20" hidden="1">"$I$20:$M$20"</definedName>
    <definedName name="IQRH21" hidden="1">"$I$21:$M$21"</definedName>
    <definedName name="IQRH22" hidden="1">"$I$22:$M$22"</definedName>
    <definedName name="IQRH23" hidden="1">"$I$23:$J$23"</definedName>
    <definedName name="IQRH24" hidden="1">"$I$24:$M$24"</definedName>
    <definedName name="IQRH25" hidden="1">"$I$25"</definedName>
    <definedName name="IQRH26" hidden="1">"$I$26"</definedName>
    <definedName name="IQRH27" hidden="1">"$I$27:$M$27"</definedName>
    <definedName name="IQRH28" hidden="1">"$I$28:$J$28"</definedName>
    <definedName name="IQRH29" hidden="1">"$I$29:$M$29"</definedName>
    <definedName name="IQRH30" hidden="1">"$I$30:$M$30"</definedName>
    <definedName name="IQRH31" hidden="1">"$I$31:$K$31"</definedName>
    <definedName name="IQRH32" hidden="1">"$I$32:$M$32"</definedName>
    <definedName name="IQRH33" hidden="1">"$I$33:$M$33"</definedName>
    <definedName name="IQRH34" hidden="1">"$I$34"</definedName>
    <definedName name="IQRH35" hidden="1">"$I$35:$M$35"</definedName>
    <definedName name="IQRH36" hidden="1">"$I$36"</definedName>
    <definedName name="IQRH37" hidden="1">"$I$37:$M$37"</definedName>
    <definedName name="IQRH38" hidden="1">"$I$38:$M$38"</definedName>
    <definedName name="IQRH39" hidden="1">"$I$39"</definedName>
    <definedName name="IQRH40" hidden="1">"$I$40"</definedName>
    <definedName name="IQRH41" hidden="1">"$I$41"</definedName>
    <definedName name="IQRH42" hidden="1">"$I$42"</definedName>
    <definedName name="IQRH43" hidden="1">"$I$43"</definedName>
    <definedName name="IQRH44" hidden="1">"$I$44"</definedName>
    <definedName name="IQRH45" hidden="1">"$I$45"</definedName>
    <definedName name="IQRH46" hidden="1">"$I$46"</definedName>
    <definedName name="IQRH47" hidden="1">"$I$47"</definedName>
    <definedName name="IQRH48" hidden="1">"$I$48"</definedName>
    <definedName name="IQRH49" hidden="1">"$I$49"</definedName>
    <definedName name="IQRH50" hidden="1">"$I$50"</definedName>
    <definedName name="IQRH51" hidden="1">"$I$51"</definedName>
    <definedName name="IQRH6" hidden="1">"$H$7:$H$238"</definedName>
    <definedName name="IQRH64" hidden="1">"$H$65"</definedName>
    <definedName name="IQRH8" hidden="1">"$H$9"</definedName>
    <definedName name="IQRI10" hidden="1">"$I$11:$I$14"</definedName>
    <definedName name="IQRI2" hidden="1">"$I$3:$I$66"</definedName>
    <definedName name="IQRI6" hidden="1">"$I$7:$I$238"</definedName>
    <definedName name="IQRI8" hidden="1">"$I$9:$I$13"</definedName>
    <definedName name="IQRIBIS2010EMSMktParticipantsS10" localSheetId="10" hidden="1">#REF!</definedName>
    <definedName name="IQRIBIS2010EMSMktParticipantsS10" hidden="1">#REF!</definedName>
    <definedName name="IQRIBIS2010EMSMktParticipantsS11" hidden="1">#REF!</definedName>
    <definedName name="IQRIBIS2010EMSMktParticipantsS12" hidden="1">#REF!</definedName>
    <definedName name="IQRIBIS2010EMSMktParticipantsS15" hidden="1">#REF!</definedName>
    <definedName name="IQRIBIS2010EMSMktParticipantsS18" hidden="1">#REF!</definedName>
    <definedName name="IQRIBIS2010EMSMktParticipantsS19" hidden="1">#REF!</definedName>
    <definedName name="IQRIBIS2010EMSMktParticipantsS20" hidden="1">#REF!</definedName>
    <definedName name="IQRIBIS2010EMSMktParticipantsS21" hidden="1">#REF!</definedName>
    <definedName name="IQRIBIS2010EMSMktParticipantsS23" hidden="1">#REF!</definedName>
    <definedName name="IQRIBIS2010EMSMktParticipantsS25" hidden="1">#REF!</definedName>
    <definedName name="IQRIBIS2010EMSMktParticipantsS26" hidden="1">#REF!</definedName>
    <definedName name="IQRIBIS2010EMSMktParticipantsS27" hidden="1">#REF!</definedName>
    <definedName name="IQRIBIS2010EMSMktParticipantsS28" hidden="1">#REF!</definedName>
    <definedName name="IQRIBIS2010EMSMktParticipantsS34" hidden="1">#REF!</definedName>
    <definedName name="IQRIBIS2010EMSMktParticipantsS37" hidden="1">#REF!</definedName>
    <definedName name="IQRIBIS2010EMSMktParticipantsS38" hidden="1">#REF!</definedName>
    <definedName name="IQRIBIS2010EMSMktParticipantsS40" hidden="1">#REF!</definedName>
    <definedName name="IQRIBIS2010EMSMktParticipantsS8" hidden="1">#REF!</definedName>
    <definedName name="IQRITDSOK13" hidden="1">#REF!</definedName>
    <definedName name="IQRITDSOL13" hidden="1">#REF!</definedName>
    <definedName name="IQRITDSOM13" hidden="1">#REF!</definedName>
    <definedName name="IQRITDSON13" hidden="1">#REF!</definedName>
    <definedName name="IQRITDSOO13" hidden="1">#REF!</definedName>
    <definedName name="IQRITDSOP13" hidden="1">#REF!</definedName>
    <definedName name="IQRITDSOR13" hidden="1">#REF!</definedName>
    <definedName name="IQRITDSOS13" hidden="1">#REF!</definedName>
    <definedName name="IQRITDSOT13" hidden="1">#REF!</definedName>
    <definedName name="IQRJ3" hidden="1">"$J$4:$J$67"</definedName>
    <definedName name="IQRJ6" hidden="1">"$J$7:$J$238"</definedName>
    <definedName name="IQRL16" hidden="1">"$L$17:$L$21"</definedName>
    <definedName name="IQRL3" hidden="1">"$L$4:$L$6"</definedName>
    <definedName name="IQRL47" hidden="1">"$L$48:$L$53"</definedName>
    <definedName name="IQRL51" hidden="1">"$L$52:$L$56"</definedName>
    <definedName name="IQRLTREDSOK13" hidden="1">#REF!</definedName>
    <definedName name="IQRLTREDSOL13" hidden="1">#REF!</definedName>
    <definedName name="IQRLTREDSOM13" hidden="1">#REF!</definedName>
    <definedName name="IQRLTREDSON13" hidden="1">#REF!</definedName>
    <definedName name="IQRLTREDSOO13" hidden="1">#REF!</definedName>
    <definedName name="IQRLTREDSOP13" hidden="1">#REF!</definedName>
    <definedName name="IQRLTREDSOR13" hidden="1">#REF!</definedName>
    <definedName name="IQRLTREDSOS13" hidden="1">#REF!</definedName>
    <definedName name="IQRLTREDSOT13" hidden="1">#REF!</definedName>
    <definedName name="IQRM12" hidden="1">"$N$12:$R$12"</definedName>
    <definedName name="IQRM15" hidden="1">"$M$16:$M$32"</definedName>
    <definedName name="IQRM16" hidden="1">"$N$16"</definedName>
    <definedName name="IQRM17" hidden="1">"$M$18:$M$22"</definedName>
    <definedName name="IQRM9" hidden="1">"$M$10:$M$261"</definedName>
    <definedName name="IQRMajorAirlinesO10" localSheetId="10" hidden="1">#REF!</definedName>
    <definedName name="IQRMajorAirlinesO10" hidden="1">#REF!</definedName>
    <definedName name="IQRMajorAirlinesO11" localSheetId="10" hidden="1">#REF!</definedName>
    <definedName name="IQRMajorAirlinesO11" hidden="1">#REF!</definedName>
    <definedName name="IQRMajorAirlinesO3" localSheetId="10" hidden="1">#REF!</definedName>
    <definedName name="IQRMajorAirlinesO3" hidden="1">#REF!</definedName>
    <definedName name="IQRMajorAirlinesO5" hidden="1">#REF!</definedName>
    <definedName name="IQRMajorAirlinesO6" hidden="1">#REF!</definedName>
    <definedName name="IQRMajorAirlinesO7" hidden="1">#REF!</definedName>
    <definedName name="IQRMajorAirlinesO9" hidden="1">#REF!</definedName>
    <definedName name="IQRMajorAirlinesPublicO10" hidden="1">#REF!</definedName>
    <definedName name="IQRMajorAirlinesPublicO11" hidden="1">#REF!</definedName>
    <definedName name="IQRMajorAirlinesPublicO12" hidden="1">#REF!</definedName>
    <definedName name="IQRMajorAirlinesPublicO13" hidden="1">#REF!</definedName>
    <definedName name="IQRMajorAirlinesPublicO14" hidden="1">#REF!</definedName>
    <definedName name="IQRMajorAirlinesPublicO15" hidden="1">#REF!</definedName>
    <definedName name="IQRMajorAirlinesPublicO16" hidden="1">#REF!</definedName>
    <definedName name="IQRMajorAirlinesPublicO17" hidden="1">#REF!</definedName>
    <definedName name="IQRMajorAirlinesPublicO3" hidden="1">#REF!</definedName>
    <definedName name="IQRMajorAirlinesPublicO5" hidden="1">#REF!</definedName>
    <definedName name="IQRMajorAirlinesPublicO6" hidden="1">#REF!</definedName>
    <definedName name="IQRMajorAirlinesPublicO7" hidden="1">#REF!</definedName>
    <definedName name="IQRMajorAirlinesPublicO8" hidden="1">#REF!</definedName>
    <definedName name="IQRMajorAirlinesPublicO9" hidden="1">#REF!</definedName>
    <definedName name="IQRN12" hidden="1">"$O$12:$P$12"</definedName>
    <definedName name="IQRN13" hidden="1">"$O$13:$Q$13"</definedName>
    <definedName name="IQRN14" hidden="1">"$O$14:$S$14"</definedName>
    <definedName name="IQRN15" hidden="1">"$O$15:$S$15"</definedName>
    <definedName name="IQRN16" hidden="1">"$O$16"</definedName>
    <definedName name="IQRN17" hidden="1">"$O$17:$S$17"</definedName>
    <definedName name="IQRN18" hidden="1">"$O$18"</definedName>
    <definedName name="IQRN19" hidden="1">"$O$19:$S$19"</definedName>
    <definedName name="IQRN20" hidden="1">"$O$20:$S$20"</definedName>
    <definedName name="IQRN21" hidden="1">"$O$21:$S$21"</definedName>
    <definedName name="IQRN22" hidden="1">"$O$22:$S$22"</definedName>
    <definedName name="IQRN23" hidden="1">"$O$23:$P$23"</definedName>
    <definedName name="IQRN24" hidden="1">"$O$24:$S$24"</definedName>
    <definedName name="IQRN25" hidden="1">"$O$25"</definedName>
    <definedName name="IQRN26" hidden="1">"$O$26"</definedName>
    <definedName name="IQRN27" hidden="1">"$O$27:$S$27"</definedName>
    <definedName name="IQRN28" hidden="1">"$O$28:$P$28"</definedName>
    <definedName name="IQRN29" hidden="1">"$O$29:$S$29"</definedName>
    <definedName name="IQRN30" hidden="1">"$O$30:$S$30"</definedName>
    <definedName name="IQRN31" hidden="1">"$O$31:$Q$31"</definedName>
    <definedName name="IQRN32" hidden="1">"$O$32:$S$32"</definedName>
    <definedName name="IQRN33" hidden="1">"$O$33:$S$33"</definedName>
    <definedName name="IQRN34" hidden="1">"$O$34"</definedName>
    <definedName name="IQRN35" hidden="1">"$O$35:$S$35"</definedName>
    <definedName name="IQRN36" hidden="1">"$O$36"</definedName>
    <definedName name="IQRN37" hidden="1">"$O$37:$S$37"</definedName>
    <definedName name="IQRN38" hidden="1">"$O$38:$S$38"</definedName>
    <definedName name="IQRN39" hidden="1">"$O$39"</definedName>
    <definedName name="IQRN40" hidden="1">"$O$40"</definedName>
    <definedName name="IQRN41" hidden="1">"$O$41"</definedName>
    <definedName name="IQRN42" hidden="1">"$O$42"</definedName>
    <definedName name="IQRN43" hidden="1">"$O$43"</definedName>
    <definedName name="IQRN44" hidden="1">"$O$44"</definedName>
    <definedName name="IQRN45" hidden="1">"$O$45"</definedName>
    <definedName name="IQRN46" hidden="1">"$O$46"</definedName>
    <definedName name="IQRN47" hidden="1">"$O$47"</definedName>
    <definedName name="IQRN48" hidden="1">"$O$48"</definedName>
    <definedName name="IQRN49" hidden="1">"$O$49"</definedName>
    <definedName name="IQRN50" hidden="1">"$O$50"</definedName>
    <definedName name="IQRN51" hidden="1">"$O$51"</definedName>
    <definedName name="IQRNCIDSOK13" hidden="1">#REF!</definedName>
    <definedName name="IQRNCIDSOL13" hidden="1">#REF!</definedName>
    <definedName name="IQRNCIDSOM13" hidden="1">#REF!</definedName>
    <definedName name="IQRNCIDSON13" hidden="1">#REF!</definedName>
    <definedName name="IQRNCIDSOO13" hidden="1">#REF!</definedName>
    <definedName name="IQRNCIDSOP13" hidden="1">#REF!</definedName>
    <definedName name="IQRNCIDSOR13" hidden="1">#REF!</definedName>
    <definedName name="IQRNCIDSOS13" hidden="1">#REF!</definedName>
    <definedName name="IQRNCIDSOT13" hidden="1">#REF!</definedName>
    <definedName name="IQRNDSOK13" hidden="1">#REF!</definedName>
    <definedName name="IQRNDSOL13" hidden="1">#REF!</definedName>
    <definedName name="IQRNDSOM13" hidden="1">#REF!</definedName>
    <definedName name="IQRNDSON13" hidden="1">#REF!</definedName>
    <definedName name="IQRNDSOO13" hidden="1">#REF!</definedName>
    <definedName name="IQRNDSOP13" hidden="1">#REF!</definedName>
    <definedName name="IQRNDSOR13" hidden="1">#REF!</definedName>
    <definedName name="IQRNDSOS13" hidden="1">#REF!</definedName>
    <definedName name="IQRNDSOT13" hidden="1">#REF!</definedName>
    <definedName name="IQRP3" hidden="1">"$P$4:$P$13"</definedName>
    <definedName name="IQRPassCargoCharterPublicO10" localSheetId="10" hidden="1">#REF!</definedName>
    <definedName name="IQRPassCargoCharterPublicO10" hidden="1">#REF!</definedName>
    <definedName name="IQRPassCargoCharterPublicO11" hidden="1">#REF!</definedName>
    <definedName name="IQRPassCargoCharterPublicO12" hidden="1">#REF!</definedName>
    <definedName name="IQRPassCargoCharterPublicO13" hidden="1">#REF!</definedName>
    <definedName name="IQRPassCargoCharterPublicO14" hidden="1">#REF!</definedName>
    <definedName name="IQRPassCargoCharterPublicO15" hidden="1">#REF!</definedName>
    <definedName name="IQRPassCargoCharterPublicO16" hidden="1">#REF!</definedName>
    <definedName name="IQRPassCargoCharterPublicO17" hidden="1">#REF!</definedName>
    <definedName name="IQRPassCargoCharterPublicO18" hidden="1">#REF!</definedName>
    <definedName name="IQRPassCargoCharterPublicO19" hidden="1">#REF!</definedName>
    <definedName name="IQRPassCargoCharterPublicO20" hidden="1">#REF!</definedName>
    <definedName name="IQRPassCargoCharterPublicO21" hidden="1">#REF!</definedName>
    <definedName name="IQRPassCargoCharterPublicO22" hidden="1">#REF!</definedName>
    <definedName name="IQRPassCargoCharterPublicO3" hidden="1">#REF!</definedName>
    <definedName name="IQRPassCargoCharterPublicO4" hidden="1">#REF!</definedName>
    <definedName name="IQRPassCargoCharterPublicO5" hidden="1">#REF!</definedName>
    <definedName name="IQRPassCargoCharterPublicO6" hidden="1">#REF!</definedName>
    <definedName name="IQRPassCargoCharterPublicO7" hidden="1">#REF!</definedName>
    <definedName name="IQRPassCargoCharterPublicO8" hidden="1">#REF!</definedName>
    <definedName name="IQRPassCargoCharterPublicO9" hidden="1">#REF!</definedName>
    <definedName name="IQRPassCargoCharterServicesO10" hidden="1">#REF!</definedName>
    <definedName name="IQRPassCargoCharterServicesO11" hidden="1">#REF!</definedName>
    <definedName name="IQRPassCargoCharterServicesO12" hidden="1">#REF!</definedName>
    <definedName name="IQRPassCargoCharterServicesO13" hidden="1">#REF!</definedName>
    <definedName name="IQRPassCargoCharterServicesO14" hidden="1">#REF!</definedName>
    <definedName name="IQRPassCargoCharterServicesO3" hidden="1">#REF!</definedName>
    <definedName name="IQRPassCargoCharterServicesO4" hidden="1">#REF!</definedName>
    <definedName name="IQRPassCargoCharterServicesO5" hidden="1">#REF!</definedName>
    <definedName name="IQRPassCargoCharterServicesO7" hidden="1">#REF!</definedName>
    <definedName name="IQRPassCargoCharterServicesO8" hidden="1">#REF!</definedName>
    <definedName name="IQRPassCargoCharterServicesO9" hidden="1">#REF!</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R3" hidden="1">"$R$4:$R$13"</definedName>
    <definedName name="IQRRegionalAirCarriersO10" localSheetId="10" hidden="1">#REF!</definedName>
    <definedName name="IQRRegionalAirCarriersO10" hidden="1">#REF!</definedName>
    <definedName name="IQRRegionalAirCarriersO11" hidden="1">#REF!</definedName>
    <definedName name="IQRRegionalAirCarriersO12" hidden="1">#REF!</definedName>
    <definedName name="IQRRegionalAirCarriersO3" hidden="1">#REF!</definedName>
    <definedName name="IQRRegionalAirCarriersO4" hidden="1">#REF!</definedName>
    <definedName name="IQRRegionalAirCarriersO5" hidden="1">#REF!</definedName>
    <definedName name="IQRRegionalAirCarriersO6" hidden="1">#REF!</definedName>
    <definedName name="IQRRegionalAirCarriersO7" hidden="1">#REF!</definedName>
    <definedName name="IQRRegionalAirCarriersO8" hidden="1">#REF!</definedName>
    <definedName name="IQRRegionalAirCarriersO9" hidden="1">#REF!</definedName>
    <definedName name="IQRRegionalAirCarriersPublicO10" hidden="1">#REF!</definedName>
    <definedName name="IQRRegionalAirCarriersPublicO11" hidden="1">#REF!</definedName>
    <definedName name="IQRRegionalAirCarriersPublicO12" hidden="1">#REF!</definedName>
    <definedName name="IQRRegionalAirCarriersPublicO13" hidden="1">#REF!</definedName>
    <definedName name="IQRRegionalAirCarriersPublicO14" hidden="1">#REF!</definedName>
    <definedName name="IQRRegionalAirCarriersPublicO15" hidden="1">#REF!</definedName>
    <definedName name="IQRRegionalAirCarriersPublicO16" hidden="1">#REF!</definedName>
    <definedName name="IQRRegionalAirCarriersPublicO17" hidden="1">#REF!</definedName>
    <definedName name="IQRRegionalAirCarriersPublicO18" hidden="1">#REF!</definedName>
    <definedName name="IQRRegionalAirCarriersPublicO19" hidden="1">#REF!</definedName>
    <definedName name="IQRRegionalAirCarriersPublicO20" hidden="1">#REF!</definedName>
    <definedName name="IQRRegionalAirCarriersPublicO21" hidden="1">#REF!</definedName>
    <definedName name="IQRRegionalAirCarriersPublicO22" hidden="1">#REF!</definedName>
    <definedName name="IQRRegionalAirCarriersPublicO23" hidden="1">#REF!</definedName>
    <definedName name="IQRRegionalAirCarriersPublicO24" hidden="1">#REF!</definedName>
    <definedName name="IQRRegionalAirCarriersPublicO4" hidden="1">#REF!</definedName>
    <definedName name="IQRRegionalAirCarriersPublicO5" hidden="1">#REF!</definedName>
    <definedName name="IQRRegionalAirCarriersPublicO6" hidden="1">#REF!</definedName>
    <definedName name="IQRRegionalAirCarriersPublicO7" hidden="1">#REF!</definedName>
    <definedName name="IQRRegionalAirCarriersPublicO8" hidden="1">#REF!</definedName>
    <definedName name="IQRRegionalAirCarriersPublicO9" hidden="1">#REF!</definedName>
    <definedName name="IQRRLAVegasConferenceList2011M10" hidden="1">#REF!</definedName>
    <definedName name="IQRRLAVegasConferenceList2011M8" hidden="1">#REF!</definedName>
    <definedName name="IQRRLAVegasConferenceList2011S10" hidden="1">#REF!</definedName>
    <definedName name="IQRRLAVegasConferenceList2011S11" hidden="1">#REF!</definedName>
    <definedName name="IQRRLAVegasConferenceList2011S12" hidden="1">#REF!</definedName>
    <definedName name="IQRRLAVegasConferenceList2011S15" hidden="1">#REF!</definedName>
    <definedName name="IQRRLAVegasConferenceList2011S18" hidden="1">#REF!</definedName>
    <definedName name="IQRRLAVegasConferenceList2011S19" hidden="1">#REF!</definedName>
    <definedName name="IQRRLAVegasConferenceList2011S20" hidden="1">#REF!</definedName>
    <definedName name="IQRRLAVegasConferenceList2011S21" hidden="1">#REF!</definedName>
    <definedName name="IQRRLAVegasConferenceList2011S23" hidden="1">#REF!</definedName>
    <definedName name="IQRRLAVegasConferenceList2011S25" hidden="1">#REF!</definedName>
    <definedName name="IQRRLAVegasConferenceList2011S26" hidden="1">#REF!</definedName>
    <definedName name="IQRRLAVegasConferenceList2011S27" hidden="1">#REF!</definedName>
    <definedName name="IQRRLAVegasConferenceList2011S28" hidden="1">#REF!</definedName>
    <definedName name="IQRRLAVegasConferenceList2011S34" hidden="1">#REF!</definedName>
    <definedName name="IQRRLAVegasConferenceList2011S37" hidden="1">#REF!</definedName>
    <definedName name="IQRRLAVegasConferenceList2011S38" hidden="1">#REF!</definedName>
    <definedName name="IQRRLAVegasConferenceList2011S40" hidden="1">#REF!</definedName>
    <definedName name="IQRRLAVegasConferenceList2011S8" hidden="1">#REF!</definedName>
    <definedName name="IQRRPDSOK13" hidden="1">#REF!</definedName>
    <definedName name="IQRRPDSOL13" hidden="1">#REF!</definedName>
    <definedName name="IQRRPDSOM13" hidden="1">#REF!</definedName>
    <definedName name="IQRRPDSON13" hidden="1">#REF!</definedName>
    <definedName name="IQRRPDSOO13" hidden="1">#REF!</definedName>
    <definedName name="IQRRPDSOP13" hidden="1">#REF!</definedName>
    <definedName name="IQRRPDSOR13" hidden="1">#REF!</definedName>
    <definedName name="IQRRPDSOS13" hidden="1">#REF!</definedName>
    <definedName name="IQRRPDSOT13" hidden="1">#REF!</definedName>
    <definedName name="IQRS6" hidden="1">"$S$7:$S$259"</definedName>
    <definedName name="IQRSABADSOK13" hidden="1">#REF!</definedName>
    <definedName name="IQRSABADSOL13" hidden="1">#REF!</definedName>
    <definedName name="IQRSABADSOM13" hidden="1">#REF!</definedName>
    <definedName name="IQRSABADSON13" hidden="1">#REF!</definedName>
    <definedName name="IQRSABADSOO13" hidden="1">#REF!</definedName>
    <definedName name="IQRSABADSOP13" hidden="1">#REF!</definedName>
    <definedName name="IQRSABADSOR13" hidden="1">#REF!</definedName>
    <definedName name="IQRSABADSOS13" hidden="1">#REF!</definedName>
    <definedName name="IQRSABADSOT13" hidden="1">#REF!</definedName>
    <definedName name="IQRSCTYStockPriceGraphA7">#REF!</definedName>
    <definedName name="IQRSCTYStockPriceGraphB7">#REF!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21" hidden="1">#REF!</definedName>
    <definedName name="IQRSheet1H22" hidden="1">#REF!</definedName>
    <definedName name="IQRSheet1H23" hidden="1">#REF!</definedName>
    <definedName name="IQRSheet1H24" hidden="1">#REF!</definedName>
    <definedName name="IQRSheet1H25" hidden="1">#REF!</definedName>
    <definedName name="IQRSheet1H26" hidden="1">#REF!</definedName>
    <definedName name="IQRSheet1H27" hidden="1">#REF!</definedName>
    <definedName name="IQRSheet1H28" hidden="1">#REF!</definedName>
    <definedName name="IQRSheet1H29" hidden="1">#REF!</definedName>
    <definedName name="IQRSheet1H30" hidden="1">#REF!</definedName>
    <definedName name="IQRSheet1H31" hidden="1">#REF!</definedName>
    <definedName name="IQRSheet1H32" hidden="1">#REF!</definedName>
    <definedName name="IQRSheet1H33" hidden="1">#REF!</definedName>
    <definedName name="IQRSheet1H34" hidden="1">#REF!</definedName>
    <definedName name="IQRSheet1H35" hidden="1">#REF!</definedName>
    <definedName name="IQRSheet1H36" hidden="1">#REF!</definedName>
    <definedName name="IQRSheet1H37" hidden="1">#REF!</definedName>
    <definedName name="IQRSheet1H38" hidden="1">#REF!</definedName>
    <definedName name="IQRSheet1H39" hidden="1">#REF!</definedName>
    <definedName name="IQRSheet1H40" hidden="1">#REF!</definedName>
    <definedName name="IQRSheet1H41"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N21" hidden="1">#REF!</definedName>
    <definedName name="IQRSheet1N22" hidden="1">#REF!</definedName>
    <definedName name="IQRSheet1N23" hidden="1">#REF!</definedName>
    <definedName name="IQRSheet1N24" hidden="1">#REF!</definedName>
    <definedName name="IQRSheet1N25" hidden="1">#REF!</definedName>
    <definedName name="IQRSheet1N26" hidden="1">#REF!</definedName>
    <definedName name="IQRSheet1N27" hidden="1">#REF!</definedName>
    <definedName name="IQRSheet1N28" hidden="1">#REF!</definedName>
    <definedName name="IQRSheet1N29" hidden="1">#REF!</definedName>
    <definedName name="IQRSheet1N30" hidden="1">#REF!</definedName>
    <definedName name="IQRSheet1N31" hidden="1">#REF!</definedName>
    <definedName name="IQRSheet1N32" hidden="1">#REF!</definedName>
    <definedName name="IQRSheet1N33" hidden="1">#REF!</definedName>
    <definedName name="IQRSheet1N34" hidden="1">#REF!</definedName>
    <definedName name="IQRSheet1N35" hidden="1">#REF!</definedName>
    <definedName name="IQRSheet1N36" hidden="1">#REF!</definedName>
    <definedName name="IQRSheet1N37" hidden="1">#REF!</definedName>
    <definedName name="IQRSheet1N38" hidden="1">#REF!</definedName>
    <definedName name="IQRSheet1N39" hidden="1">#REF!</definedName>
    <definedName name="IQRSheet1N40" hidden="1">#REF!</definedName>
    <definedName name="IQRSheet1N41" hidden="1">#REF!</definedName>
    <definedName name="IQRSheet7S102" hidden="1">#REF!</definedName>
    <definedName name="IQRSheet7S106" hidden="1">#REF!</definedName>
    <definedName name="IQRSheet7S109" hidden="1">#REF!</definedName>
    <definedName name="IQRSheet7S66" hidden="1">#REF!</definedName>
    <definedName name="IQRSheet7S75" hidden="1">#REF!</definedName>
    <definedName name="IQRSheet7S95" hidden="1">#REF!</definedName>
    <definedName name="IQRSupportAB27" hidden="1">#REF!</definedName>
    <definedName name="IQRSupportAB29" hidden="1">#REF!</definedName>
    <definedName name="IQRSupportAB4" hidden="1">#REF!</definedName>
    <definedName name="IQRSupportAB53" hidden="1">#REF!</definedName>
    <definedName name="IQRSupportAC27" hidden="1">#REF!</definedName>
    <definedName name="IQRSupportAC29" hidden="1">#REF!</definedName>
    <definedName name="IQRSupportAC31" hidden="1">#REF!</definedName>
    <definedName name="IQRSupportAC4" hidden="1">#REF!</definedName>
    <definedName name="IQRSupportAC53" hidden="1">#REF!</definedName>
    <definedName name="IQRSupportC27" hidden="1">#REF!</definedName>
    <definedName name="IQRSupportC29" hidden="1">#REF!</definedName>
    <definedName name="IQRSupportC31" hidden="1">#REF!</definedName>
    <definedName name="IQRSupportC4" hidden="1">#REF!</definedName>
    <definedName name="IQRSupportC53" hidden="1">#REF!</definedName>
    <definedName name="IQRSupportD27" hidden="1">#REF!</definedName>
    <definedName name="IQRSupportD29" hidden="1">#REF!</definedName>
    <definedName name="IQRSupportD4" hidden="1">#REF!</definedName>
    <definedName name="IQRSupportD53" hidden="1">#REF!</definedName>
    <definedName name="IQRSupportF27" hidden="1">#REF!</definedName>
    <definedName name="IQRSupportF29" hidden="1">#REF!</definedName>
    <definedName name="IQRSupportF4" hidden="1">#REF!</definedName>
    <definedName name="IQRSupportF53" hidden="1">#REF!</definedName>
    <definedName name="IQRSupportG27" hidden="1">#REF!</definedName>
    <definedName name="IQRSupportG29" hidden="1">#REF!</definedName>
    <definedName name="IQRSupportG4" hidden="1">#REF!</definedName>
    <definedName name="IQRSupportG53" hidden="1">#REF!</definedName>
    <definedName name="IQRSupportH27" hidden="1">#REF!</definedName>
    <definedName name="IQRSupportH29" hidden="1">#REF!</definedName>
    <definedName name="IQRSupportH4" hidden="1">#REF!</definedName>
    <definedName name="IQRSupportH53" hidden="1">#REF!</definedName>
    <definedName name="IQRSupportI27" hidden="1">#REF!</definedName>
    <definedName name="IQRSupportI29" hidden="1">#REF!</definedName>
    <definedName name="IQRSupportI31" hidden="1">#REF!</definedName>
    <definedName name="IQRSupportI33" hidden="1">#REF!</definedName>
    <definedName name="IQRSupportI35" hidden="1">#REF!</definedName>
    <definedName name="IQRSupportI4" hidden="1">#REF!</definedName>
    <definedName name="IQRSupportI53" hidden="1">#REF!</definedName>
    <definedName name="IQRSupportJ27" hidden="1">#REF!</definedName>
    <definedName name="IQRSupportJ29" hidden="1">#REF!</definedName>
    <definedName name="IQRSupportJ4" hidden="1">#REF!</definedName>
    <definedName name="IQRSupportJ53" hidden="1">#REF!</definedName>
    <definedName name="IQRSupportK27" hidden="1">#REF!</definedName>
    <definedName name="IQRSupportK29" hidden="1">#REF!</definedName>
    <definedName name="IQRSupportK31" hidden="1">#REF!</definedName>
    <definedName name="IQRSupportK4" hidden="1">#REF!</definedName>
    <definedName name="IQRSupportK53" hidden="1">#REF!</definedName>
    <definedName name="IQRSupportL27" hidden="1">#REF!</definedName>
    <definedName name="IQRSupportL29" hidden="1">#REF!</definedName>
    <definedName name="IQRSupportL4" hidden="1">#REF!</definedName>
    <definedName name="IQRSupportL53" hidden="1">#REF!</definedName>
    <definedName name="IQRSupportM27" hidden="1">#REF!</definedName>
    <definedName name="IQRSupportM29" hidden="1">#REF!</definedName>
    <definedName name="IQRSupportM4" hidden="1">#REF!</definedName>
    <definedName name="IQRSupportM53" hidden="1">#REF!</definedName>
    <definedName name="IQRSupportN27" hidden="1">#REF!</definedName>
    <definedName name="IQRSupportN29" hidden="1">#REF!</definedName>
    <definedName name="IQRSupportN4" hidden="1">#REF!</definedName>
    <definedName name="IQRSupportN53" hidden="1">#REF!</definedName>
    <definedName name="IQRSupportO27" hidden="1">#REF!</definedName>
    <definedName name="IQRSupportO29" hidden="1">#REF!</definedName>
    <definedName name="IQRSupportO31" hidden="1">#REF!</definedName>
    <definedName name="IQRSupportO33" hidden="1">#REF!</definedName>
    <definedName name="IQRSupportO35" hidden="1">#REF!</definedName>
    <definedName name="IQRSupportO37" hidden="1">#REF!</definedName>
    <definedName name="IQRSupportO39" hidden="1">#REF!</definedName>
    <definedName name="IQRSupportO4" hidden="1">#REF!</definedName>
    <definedName name="IQRSupportO41" hidden="1">#REF!</definedName>
    <definedName name="IQRSupportO53" hidden="1">#REF!</definedName>
    <definedName name="IQRSupportP27" hidden="1">#REF!</definedName>
    <definedName name="IQRSupportP29" hidden="1">#REF!</definedName>
    <definedName name="IQRSupportP4" hidden="1">#REF!</definedName>
    <definedName name="IQRSupportP53" hidden="1">#REF!</definedName>
    <definedName name="IQRSupportQ27" hidden="1">#REF!</definedName>
    <definedName name="IQRSupportQ29" hidden="1">#REF!</definedName>
    <definedName name="IQRSupportQ4" hidden="1">#REF!</definedName>
    <definedName name="IQRSupportQ53" hidden="1">#REF!</definedName>
    <definedName name="IQRSupportR27" hidden="1">#REF!</definedName>
    <definedName name="IQRSupportR29" hidden="1">#REF!</definedName>
    <definedName name="IQRSupportR31" hidden="1">#REF!</definedName>
    <definedName name="IQRSupportR33" hidden="1">#REF!</definedName>
    <definedName name="IQRSupportR35" hidden="1">#REF!</definedName>
    <definedName name="IQRSupportR37" hidden="1">#REF!</definedName>
    <definedName name="IQRSupportR39" hidden="1">#REF!</definedName>
    <definedName name="IQRSupportR4" hidden="1">#REF!</definedName>
    <definedName name="IQRSupportR41" hidden="1">#REF!</definedName>
    <definedName name="IQRSupportR53" hidden="1">#REF!</definedName>
    <definedName name="IQRSupportS27" hidden="1">#REF!</definedName>
    <definedName name="IQRSupportS29" hidden="1">#REF!</definedName>
    <definedName name="IQRSupportS33" hidden="1">#REF!</definedName>
    <definedName name="IQRSupportS35" hidden="1">#REF!</definedName>
    <definedName name="IQRSupportS37" hidden="1">#REF!</definedName>
    <definedName name="IQRSupportS39" hidden="1">#REF!</definedName>
    <definedName name="IQRSupportS4" hidden="1">#REF!</definedName>
    <definedName name="IQRSupportS41" hidden="1">#REF!</definedName>
    <definedName name="IQRSupportS53" hidden="1">#REF!</definedName>
    <definedName name="IQRSupportT4" hidden="1">#REF!</definedName>
    <definedName name="IQRSupportT53" hidden="1">#REF!</definedName>
    <definedName name="IQRSupportU27" hidden="1">#REF!</definedName>
    <definedName name="IQRSupportU29" hidden="1">#REF!</definedName>
    <definedName name="IQRSupportU4" hidden="1">#REF!</definedName>
    <definedName name="IQRSupportU53" hidden="1">#REF!</definedName>
    <definedName name="IQRSupportV27" hidden="1">#REF!</definedName>
    <definedName name="IQRSupportV29" hidden="1">#REF!</definedName>
    <definedName name="IQRSupportV4" hidden="1">#REF!</definedName>
    <definedName name="IQRSupportV53" hidden="1">#REF!</definedName>
    <definedName name="IQRSupportW27" hidden="1">#REF!</definedName>
    <definedName name="IQRSupportW29" hidden="1">#REF!</definedName>
    <definedName name="IQRSupportW4" hidden="1">#REF!</definedName>
    <definedName name="IQRSupportW53" hidden="1">#REF!</definedName>
    <definedName name="IQRSupportX27" hidden="1">#REF!</definedName>
    <definedName name="IQRSupportX29" hidden="1">#REF!</definedName>
    <definedName name="IQRSupportX4" hidden="1">#REF!</definedName>
    <definedName name="IQRSupportX53" hidden="1">#REF!</definedName>
    <definedName name="IQRSupportY27" hidden="1">#REF!</definedName>
    <definedName name="IQRSupportY29" hidden="1">#REF!</definedName>
    <definedName name="IQRSupportY4" hidden="1">#REF!</definedName>
    <definedName name="IQRSupportY53" hidden="1">#REF!</definedName>
    <definedName name="IQRSupportZ27" hidden="1">#REF!</definedName>
    <definedName name="IQRSupportZ29" hidden="1">#REF!</definedName>
    <definedName name="IQRSupportZ31" hidden="1">#REF!</definedName>
    <definedName name="IQRSupportZ4" hidden="1">#REF!</definedName>
    <definedName name="IQRSupportZ53" hidden="1">#REF!</definedName>
    <definedName name="IQRTransactionCompsConsolidatedAJ13" hidden="1">#REF!</definedName>
    <definedName name="IQRTransactionCompsConsolidatedS16" hidden="1">#REF!</definedName>
    <definedName name="IQRTransactionCompsConsolidatedS38" hidden="1">#REF!</definedName>
    <definedName name="IQRTransactionCompsConsolidatedS39" hidden="1">#REF!</definedName>
    <definedName name="IQRTransactionCompsConsolidatedS40" hidden="1">#REF!</definedName>
    <definedName name="IQRTransactionCompsConsolidatedS41" hidden="1">#REF!</definedName>
    <definedName name="IQRTransactionCompsConsolidatedS42" hidden="1">#REF!</definedName>
    <definedName name="IQRTransactionCompsConsolidatedS43" hidden="1">#REF!</definedName>
    <definedName name="IQRTransactionCompsConsolidatedS44" hidden="1">#REF!</definedName>
    <definedName name="IQRTransactionCompsConsolidatedS45" hidden="1">#REF!</definedName>
    <definedName name="IQRTransactionCompsConsolidatedS46" hidden="1">#REF!</definedName>
    <definedName name="IQRTransactionCompsConsolidatedS47" hidden="1">#REF!</definedName>
    <definedName name="IQRTransactionCompsConsolidatedS48" hidden="1">#REF!</definedName>
    <definedName name="IQRTransactionCompsConsolidatedS49" hidden="1">#REF!</definedName>
    <definedName name="IQRTransactionCompsConsolidatedS5" hidden="1">#REF!</definedName>
    <definedName name="IQRTransactionCompsConsolidatedS50" hidden="1">#REF!</definedName>
    <definedName name="IQRTransactionCompsConsolidatedS51" hidden="1">#REF!</definedName>
    <definedName name="IQRTransactionCompsConsolidatedS52" hidden="1">#REF!</definedName>
    <definedName name="IQRTransactionCompsConsolidatedS53" hidden="1">#REF!</definedName>
    <definedName name="IQRTransactionCompsConsolidatedS54" hidden="1">#REF!</definedName>
    <definedName name="IQRTransactionCompsConsolidatedS55" hidden="1">#REF!</definedName>
    <definedName name="IQRTransactionCompsConsolidatedS56" hidden="1">#REF!</definedName>
    <definedName name="IQRTransactionCompsConsolidatedS57" hidden="1">#REF!</definedName>
    <definedName name="IQRTransactionCompsConsolidatedS58" hidden="1">#REF!</definedName>
    <definedName name="IQRTransactionCompsConsolidatedS59" hidden="1">#REF!</definedName>
    <definedName name="IQRTransactionCompsConsolidatedS6" hidden="1">#REF!</definedName>
    <definedName name="IQRTransactionCompsConsolidatedS60" hidden="1">#REF!</definedName>
    <definedName name="IQRTransactionCompsConsolidatedS61" hidden="1">#REF!</definedName>
    <definedName name="IQRTransactionCompsConsolidatedS62" hidden="1">#REF!</definedName>
    <definedName name="IQRTransactionCompsConsolidatedS63" hidden="1">#REF!</definedName>
    <definedName name="IQRTransactionCompsConsolidatedS64" hidden="1">#REF!</definedName>
    <definedName name="IQRTransactionCompsConsolidatedS65" hidden="1">#REF!</definedName>
    <definedName name="IQRTransactionCompsConsolidatedS66" hidden="1">#REF!</definedName>
    <definedName name="IQRTransactionCompsConsolidatedS67" hidden="1">#REF!</definedName>
    <definedName name="IQRTransactionCompsConsolidatedS68" hidden="1">#REF!</definedName>
    <definedName name="IQRTransactionCompsConsolidatedS69" hidden="1">#REF!</definedName>
    <definedName name="IQRTransactionCompsConsolidatedS70" hidden="1">#REF!</definedName>
    <definedName name="IQRTransactionCompsConsolidatedS71" hidden="1">#REF!</definedName>
    <definedName name="IQRTransactionCompsConsolidatedS72" hidden="1">#REF!</definedName>
    <definedName name="IQRTransactionCompsConsolidatedS73" hidden="1">#REF!</definedName>
    <definedName name="IQRTransactionCompsConsolidatedS74" hidden="1">#REF!</definedName>
    <definedName name="IQRTransactionCompsConsolidatedS75" hidden="1">#REF!</definedName>
    <definedName name="IQRTransactionCompsConsolidatedS76" hidden="1">#REF!</definedName>
    <definedName name="IQRTransactionCompsConsolidatedS77" hidden="1">#REF!</definedName>
    <definedName name="IQRTransactionCompsConsolidatedS78" hidden="1">#REF!</definedName>
    <definedName name="IQRTransactionCompsConsolidatedS79" hidden="1">#REF!</definedName>
    <definedName name="IQRTransactionCompsConsolidatedS80" hidden="1">#REF!</definedName>
    <definedName name="IQRTransactionCompsConsolidatedS81" hidden="1">#REF!</definedName>
    <definedName name="IQRTransactionCompsConsolidatedS82" hidden="1">#REF!</definedName>
    <definedName name="IQRTransactionCompsConsolidatedS83" hidden="1">#REF!</definedName>
    <definedName name="IQRTransactionCompsConsolidatedS84" hidden="1">#REF!</definedName>
    <definedName name="IQRTransactionCompsConsolidatedS85" hidden="1">#REF!</definedName>
    <definedName name="IQRTransactionCompsConsolidatedS86" hidden="1">#REF!</definedName>
    <definedName name="IQRTransactionCompsConsolidatedS87" hidden="1">#REF!</definedName>
    <definedName name="IQRTransactionCompsConsolidatedS88" hidden="1">#REF!</definedName>
    <definedName name="IQRTransactionCompsConsolidatedU100" hidden="1">#REF!</definedName>
    <definedName name="IQRTransactionCompsConsolidatedU102" hidden="1">#REF!</definedName>
    <definedName name="IQRTransactionCompsConsolidatedU103" hidden="1">#REF!</definedName>
    <definedName name="IQRTransactionCompsConsolidatedU104" hidden="1">#REF!</definedName>
    <definedName name="IQRTransactionCompsConsolidatedU105" hidden="1">#REF!</definedName>
    <definedName name="IQRTransactionCompsConsolidatedU107" hidden="1">#REF!</definedName>
    <definedName name="IQRTransactionCompsConsolidatedU108" hidden="1">#REF!</definedName>
    <definedName name="IQRTransactionCompsConsolidatedU109" hidden="1">#REF!</definedName>
    <definedName name="IQRTransactionCompsConsolidatedU111" hidden="1">#REF!</definedName>
    <definedName name="IQRTransactionCompsConsolidatedU112" hidden="1">#REF!</definedName>
    <definedName name="IQRTransactionCompsConsolidatedU113" hidden="1">#REF!</definedName>
    <definedName name="IQRTransactionCompsConsolidatedU114" hidden="1">#REF!</definedName>
    <definedName name="IQRTransactionCompsConsolidatedU38" hidden="1">#REF!</definedName>
    <definedName name="IQRTransactionCompsConsolidatedU39" hidden="1">#REF!</definedName>
    <definedName name="IQRTransactionCompsConsolidatedU40" hidden="1">#REF!</definedName>
    <definedName name="IQRTransactionCompsConsolidatedU43" hidden="1">#REF!</definedName>
    <definedName name="IQRTransactionCompsConsolidatedU44" hidden="1">#REF!</definedName>
    <definedName name="IQRTransactionCompsConsolidatedU46" hidden="1">#REF!</definedName>
    <definedName name="IQRTransactionCompsConsolidatedU48" hidden="1">#REF!</definedName>
    <definedName name="IQRTransactionCompsConsolidatedU49" hidden="1">#REF!</definedName>
    <definedName name="IQRTransactionCompsConsolidatedU51" hidden="1">#REF!</definedName>
    <definedName name="IQRTransactionCompsConsolidatedU73" hidden="1">#REF!</definedName>
    <definedName name="IQRTransactionCompsConsolidatedU75" hidden="1">#REF!</definedName>
    <definedName name="IQRTransactionCompsConsolidatedU76" hidden="1">#REF!</definedName>
    <definedName name="IQRTransactionCompsConsolidatedU77" hidden="1">#REF!</definedName>
    <definedName name="IQRTransactionCompsConsolidatedU79" hidden="1">#REF!</definedName>
    <definedName name="IQRTransactionCompsConsolidatedU80" hidden="1">#REF!</definedName>
    <definedName name="IQRTransactionCompsConsolidatedU81" hidden="1">#REF!</definedName>
    <definedName name="IQRTransactionCompsConsolidatedU82" hidden="1">#REF!</definedName>
    <definedName name="IQRTransactionCompsConsolidatedU84" hidden="1">#REF!</definedName>
    <definedName name="IQRTransactionCompsConsolidatedU85" hidden="1">#REF!</definedName>
    <definedName name="IQRTransactionCompsConsolidatedU86" hidden="1">#REF!</definedName>
    <definedName name="IQRTransactionCompsConsolidatedU87" hidden="1">#REF!</definedName>
    <definedName name="IQRTransactionCompsConsolidatedU88" hidden="1">#REF!</definedName>
    <definedName name="IQRTransactionCompsConsolidatedU89" hidden="1">#REF!</definedName>
    <definedName name="IQRTransactionCompsConsolidatedU90" hidden="1">#REF!</definedName>
    <definedName name="IQRTransactionCompsConsolidatedU91" hidden="1">#REF!</definedName>
    <definedName name="IQRTransactionCompsConsolidatedU92" hidden="1">#REF!</definedName>
    <definedName name="IQRTransactionCompsConsolidatedU96" hidden="1">#REF!</definedName>
    <definedName name="IQRTransactionCompsConsolidatedU98" hidden="1">#REF!</definedName>
    <definedName name="IQRTransactionCompsGuardrail2S9" hidden="1">#REF!</definedName>
    <definedName name="IQRTransactionCompsHwySign2S37" hidden="1">#REF!</definedName>
    <definedName name="IQRTransactionCompsHwySignS14" hidden="1">#REF!</definedName>
    <definedName name="IQRTransactionCompsHwySignS15" hidden="1">#REF!</definedName>
    <definedName name="IQRTransactionCompsHwySignS9" hidden="1">#REF!</definedName>
    <definedName name="IQRTransactionCompsR10" hidden="1">#REF!</definedName>
    <definedName name="IQRTransactionCompsR11" hidden="1">#REF!</definedName>
    <definedName name="IQRTransactionCompsR12" hidden="1">#REF!</definedName>
    <definedName name="IQRTransactionCompsR15" hidden="1">#REF!</definedName>
    <definedName name="IQRTransactionCompsR17" hidden="1">#REF!</definedName>
    <definedName name="IQRTransactionCompsR19" hidden="1">#REF!</definedName>
    <definedName name="IQRTransactionCompsR21" hidden="1">#REF!</definedName>
    <definedName name="IQRTransactionCompsR22" hidden="1">#REF!</definedName>
    <definedName name="IQRTransactionCompsR23" hidden="1">#REF!</definedName>
    <definedName name="IQRTransactionCompsR25" hidden="1">#REF!</definedName>
    <definedName name="IQRTransactionCompsR26" hidden="1">#REF!</definedName>
    <definedName name="IQRTransactionCompsR27" hidden="1">#REF!</definedName>
    <definedName name="IQRTransactionCompsR28" hidden="1">#REF!</definedName>
    <definedName name="IQRTransactionCompsR29" hidden="1">#REF!</definedName>
    <definedName name="IQRTransactionCompsR30" hidden="1">#REF!</definedName>
    <definedName name="IQRTransactionCompsR31" hidden="1">#REF!</definedName>
    <definedName name="IQRTransactionCompsR32" hidden="1">#REF!</definedName>
    <definedName name="IQRTransactionCompsR35" hidden="1">#REF!</definedName>
    <definedName name="IQRTransactionCompsR36" hidden="1">#REF!</definedName>
    <definedName name="IQRTransactionCompsR37" hidden="1">#REF!</definedName>
    <definedName name="IQRTransactionCompsR38" hidden="1">#REF!</definedName>
    <definedName name="IQRTransactionCompsR39" hidden="1">#REF!</definedName>
    <definedName name="IQRTransactionCompsR40" hidden="1">#REF!</definedName>
    <definedName name="IQRTransactionCompsR41" hidden="1">#REF!</definedName>
    <definedName name="IQRTransactionCompsR42" hidden="1">#REF!</definedName>
    <definedName name="IQRTransactionCompsR43" hidden="1">#REF!</definedName>
    <definedName name="IQRTransactionCompsR44" hidden="1">#REF!</definedName>
    <definedName name="IQRTransactionCompsR45" hidden="1">#REF!</definedName>
    <definedName name="IQRTransactionCompsR46" hidden="1">#REF!</definedName>
    <definedName name="IQRTransactionCompsR47" hidden="1">#REF!</definedName>
    <definedName name="IQRTransactionCompsR48" hidden="1">#REF!</definedName>
    <definedName name="IQRTransactionCompsR49" hidden="1">#REF!</definedName>
    <definedName name="IQRTransactionCompsR50" hidden="1">#REF!</definedName>
    <definedName name="IQRTransactionCompsR51" hidden="1">#REF!</definedName>
    <definedName name="IQRTransactionCompsR52" hidden="1">#REF!</definedName>
    <definedName name="IQRTransactionCompsR53" hidden="1">#REF!</definedName>
    <definedName name="IQRTransactionCompsR54" hidden="1">#REF!</definedName>
    <definedName name="IQRTransactionCompsR56" hidden="1">#REF!</definedName>
    <definedName name="IQRTransactionCompsR57" hidden="1">#REF!</definedName>
    <definedName name="IQRTransactionCompsR58" hidden="1">#REF!</definedName>
    <definedName name="IQRTransactionCompsR59" hidden="1">#REF!</definedName>
    <definedName name="IQRTransactionCompsR6" hidden="1">#REF!</definedName>
    <definedName name="IQRTransactionCompsR61" hidden="1">#REF!</definedName>
    <definedName name="IQRTransactionCompsR62" hidden="1">#REF!</definedName>
    <definedName name="IQRTransactionCompsR63" hidden="1">#REF!</definedName>
    <definedName name="IQRTransactionCompsR64" hidden="1">#REF!</definedName>
    <definedName name="IQRTransactionCompsR65" hidden="1">#REF!</definedName>
    <definedName name="IQRTransactionCompsR66" hidden="1">#REF!</definedName>
    <definedName name="IQRTransactionCompsR67" hidden="1">#REF!</definedName>
    <definedName name="IQRTransactionCompsR68" hidden="1">#REF!</definedName>
    <definedName name="IQRTransactionCompsR69" hidden="1">#REF!</definedName>
    <definedName name="IQRTransactionCompsR7" hidden="1">#REF!</definedName>
    <definedName name="IQRTransactionCompsR70" hidden="1">#REF!</definedName>
    <definedName name="IQRTransactionCompsR72" hidden="1">#REF!</definedName>
    <definedName name="IQRTransactionCompsR73" hidden="1">#REF!</definedName>
    <definedName name="IQRTransactionCompsR74" hidden="1">#REF!</definedName>
    <definedName name="IQRTransactionCompsR76" hidden="1">#REF!</definedName>
    <definedName name="IQRTransactionCompsR77" hidden="1">#REF!</definedName>
    <definedName name="IQRTransactionCompsR78" hidden="1">#REF!</definedName>
    <definedName name="IQRTransactionCompsR8" hidden="1">#REF!</definedName>
    <definedName name="IQRTransactionCompsR80" hidden="1">#REF!</definedName>
    <definedName name="IQRTransactionCompsR81" hidden="1">#REF!</definedName>
    <definedName name="IQRTransactionCompsR82" hidden="1">#REF!</definedName>
    <definedName name="IQRTransactionCompsR83" hidden="1">#REF!</definedName>
    <definedName name="IQRTransactionCompsR87" hidden="1">#REF!</definedName>
    <definedName name="IQRTransactionCompsR9" hidden="1">#REF!</definedName>
    <definedName name="IQRTransactionCompsS10" hidden="1">#REF!</definedName>
    <definedName name="IQRTransactionCompsS100" hidden="1">#REF!</definedName>
    <definedName name="IQRTransactionCompsS101" hidden="1">#REF!</definedName>
    <definedName name="IQRTransactionCompsS102" hidden="1">#REF!</definedName>
    <definedName name="IQRTransactionCompsS103" hidden="1">#REF!</definedName>
    <definedName name="IQRTransactionCompsS11" hidden="1">#REF!</definedName>
    <definedName name="IQRTransactionCompsS12" hidden="1">#REF!</definedName>
    <definedName name="IQRTransactionCompsS13" hidden="1">#REF!</definedName>
    <definedName name="IQRTransactionCompsS14" hidden="1">#REF!</definedName>
    <definedName name="IQRTransactionCompsS15" hidden="1">#REF!</definedName>
    <definedName name="IQRTransactionCompsS16" hidden="1">#REF!</definedName>
    <definedName name="IQRTransactionCompsS17" hidden="1">#REF!</definedName>
    <definedName name="IQRTransactionCompsS18" hidden="1">#REF!</definedName>
    <definedName name="IQRTransactionCompsS19" hidden="1">#REF!</definedName>
    <definedName name="IQRTransactionCompsS20" hidden="1">#REF!</definedName>
    <definedName name="IQRTransactionCompsS21" hidden="1">#REF!</definedName>
    <definedName name="IQRTransactionCompsS22" hidden="1">#REF!</definedName>
    <definedName name="IQRTransactionCompsS23" hidden="1">#REF!</definedName>
    <definedName name="IQRTransactionCompsS24" hidden="1">#REF!</definedName>
    <definedName name="IQRTransactionCompsS25" hidden="1">#REF!</definedName>
    <definedName name="IQRTransactionCompsS26" hidden="1">#REF!</definedName>
    <definedName name="IQRTransactionCompsS27" hidden="1">#REF!</definedName>
    <definedName name="IQRTransactionCompsS28" hidden="1">#REF!</definedName>
    <definedName name="IQRTransactionCompsS29" hidden="1">#REF!</definedName>
    <definedName name="IQRTransactionCompsS30" hidden="1">#REF!</definedName>
    <definedName name="IQRTransactionCompsS31" hidden="1">#REF!</definedName>
    <definedName name="IQRTransactionCompsS32" hidden="1">#REF!</definedName>
    <definedName name="IQRTransactionCompsS33" hidden="1">#REF!</definedName>
    <definedName name="IQRTransactionCompsS34" hidden="1">#REF!</definedName>
    <definedName name="IQRTransactionCompsS35" hidden="1">#REF!</definedName>
    <definedName name="IQRTransactionCompsS36" hidden="1">#REF!</definedName>
    <definedName name="IQRTransactionCompsS37" hidden="1">#REF!</definedName>
    <definedName name="IQRTransactionCompsS38" hidden="1">#REF!</definedName>
    <definedName name="IQRTransactionCompsS39" hidden="1">#REF!</definedName>
    <definedName name="IQRTransactionCompsS40" hidden="1">#REF!</definedName>
    <definedName name="IQRTransactionCompsS41" hidden="1">#REF!</definedName>
    <definedName name="IQRTransactionCompsS42" hidden="1">#REF!</definedName>
    <definedName name="IQRTransactionCompsS43" hidden="1">#REF!</definedName>
    <definedName name="IQRTransactionCompsS44" hidden="1">#REF!</definedName>
    <definedName name="IQRTransactionCompsS45" hidden="1">#REF!</definedName>
    <definedName name="IQRTransactionCompsS46" hidden="1">#REF!</definedName>
    <definedName name="IQRTransactionCompsS47" hidden="1">#REF!</definedName>
    <definedName name="IQRTransactionCompsS48" hidden="1">#REF!</definedName>
    <definedName name="IQRTransactionCompsS49" hidden="1">#REF!</definedName>
    <definedName name="IQRTransactionCompsS5" hidden="1">#REF!</definedName>
    <definedName name="IQRTransactionCompsS50" hidden="1">#REF!</definedName>
    <definedName name="IQRTransactionCompsS51" hidden="1">#REF!</definedName>
    <definedName name="IQRTransactionCompsS52" hidden="1">#REF!</definedName>
    <definedName name="IQRTransactionCompsS53" hidden="1">#REF!</definedName>
    <definedName name="IQRTransactionCompsS54" hidden="1">#REF!</definedName>
    <definedName name="IQRTransactionCompsS55" hidden="1">#REF!</definedName>
    <definedName name="IQRTransactionCompsS56" hidden="1">#REF!</definedName>
    <definedName name="IQRTransactionCompsS57" hidden="1">#REF!</definedName>
    <definedName name="IQRTransactionCompsS58" hidden="1">#REF!</definedName>
    <definedName name="IQRTransactionCompsS59" hidden="1">#REF!</definedName>
    <definedName name="IQRTransactionCompsS6" hidden="1">#REF!</definedName>
    <definedName name="IQRTransactionCompsS60" hidden="1">#REF!</definedName>
    <definedName name="IQRTransactionCompsS61" hidden="1">#REF!</definedName>
    <definedName name="IQRTransactionCompsS62" hidden="1">#REF!</definedName>
    <definedName name="IQRTransactionCompsS63" hidden="1">#REF!</definedName>
    <definedName name="IQRTransactionCompsS64" hidden="1">#REF!</definedName>
    <definedName name="IQRTransactionCompsS65" hidden="1">#REF!</definedName>
    <definedName name="IQRTransactionCompsS66" hidden="1">#REF!</definedName>
    <definedName name="IQRTransactionCompsS67" hidden="1">#REF!</definedName>
    <definedName name="IQRTransactionCompsS68" hidden="1">#REF!</definedName>
    <definedName name="IQRTransactionCompsS69" hidden="1">#REF!</definedName>
    <definedName name="IQRTransactionCompsS7" hidden="1">#REF!</definedName>
    <definedName name="IQRTransactionCompsS70" hidden="1">#REF!</definedName>
    <definedName name="IQRTransactionCompsS71" hidden="1">#REF!</definedName>
    <definedName name="IQRTransactionCompsS72" hidden="1">#REF!</definedName>
    <definedName name="IQRTransactionCompsS73" hidden="1">#REF!</definedName>
    <definedName name="IQRTransactionCompsS74" hidden="1">#REF!</definedName>
    <definedName name="IQRTransactionCompsS75" hidden="1">#REF!</definedName>
    <definedName name="IQRTransactionCompsS76" hidden="1">#REF!</definedName>
    <definedName name="IQRTransactionCompsS77" hidden="1">#REF!</definedName>
    <definedName name="IQRTransactionCompsS78" hidden="1">#REF!</definedName>
    <definedName name="IQRTransactionCompsS79" hidden="1">#REF!</definedName>
    <definedName name="IQRTransactionCompsS8" hidden="1">#REF!</definedName>
    <definedName name="IQRTransactionCompsS80" hidden="1">#REF!</definedName>
    <definedName name="IQRTransactionCompsS81" hidden="1">#REF!</definedName>
    <definedName name="IQRTransactionCompsS82" hidden="1">#REF!</definedName>
    <definedName name="IQRTransactionCompsS83" hidden="1">#REF!</definedName>
    <definedName name="IQRTransactionCompsS84" hidden="1">#REF!</definedName>
    <definedName name="IQRTransactionCompsS85" hidden="1">#REF!</definedName>
    <definedName name="IQRTransactionCompsS86" hidden="1">#REF!</definedName>
    <definedName name="IQRTransactionCompsS87" hidden="1">#REF!</definedName>
    <definedName name="IQRTransactionCompsS88" hidden="1">#REF!</definedName>
    <definedName name="IQRTransactionCompsS89" hidden="1">#REF!</definedName>
    <definedName name="IQRTransactionCompsS9" hidden="1">#REF!</definedName>
    <definedName name="IQRTransactionCompsS90" hidden="1">#REF!</definedName>
    <definedName name="IQRTransactionCompsS91" hidden="1">#REF!</definedName>
    <definedName name="IQRTransactionCompsS92" hidden="1">#REF!</definedName>
    <definedName name="IQRTransactionCompsS93" hidden="1">#REF!</definedName>
    <definedName name="IQRTransactionCompsS94" hidden="1">#REF!</definedName>
    <definedName name="IQRTransactionCompsS95" hidden="1">#REF!</definedName>
    <definedName name="IQRTransactionCompsS96" hidden="1">#REF!</definedName>
    <definedName name="IQRTransactionCompsS97" hidden="1">#REF!</definedName>
    <definedName name="IQRTransactionCompsS98" hidden="1">#REF!</definedName>
    <definedName name="IQRTransactionCompsS99" hidden="1">#REF!</definedName>
    <definedName name="IQRU11" hidden="1">"$U$12:$U$264"</definedName>
    <definedName name="IQRU14" hidden="1">"$U$15:$U$266"</definedName>
    <definedName name="IQRULTIDSOK13" hidden="1">#REF!</definedName>
    <definedName name="IQRULTIDSOL13" hidden="1">#REF!</definedName>
    <definedName name="IQRULTIDSOM13" hidden="1">#REF!</definedName>
    <definedName name="IQRULTIDSON13" hidden="1">#REF!</definedName>
    <definedName name="IQRULTIDSOO13" hidden="1">#REF!</definedName>
    <definedName name="IQRULTIDSOP13" hidden="1">#REF!</definedName>
    <definedName name="IQRULTIDSOR13" hidden="1">#REF!</definedName>
    <definedName name="IQRULTIDSOS13" hidden="1">#REF!</definedName>
    <definedName name="IQRULTIDSOT13" hidden="1">#REF!</definedName>
    <definedName name="IQRV11" hidden="1">"$V$12:$V$264"</definedName>
    <definedName name="IQRV20" hidden="1">"$V$21:$V$23"</definedName>
    <definedName name="IQRX10" hidden="1">"$X$11:$X$114"</definedName>
    <definedName name="IQSCapIQDownloadA1" hidden="1">"$A$2:$A$56"</definedName>
    <definedName name="iQShowHideColumns" hidden="1">"iQShowAll"</definedName>
    <definedName name="IQSSheet1A1" hidden="1">"$A$2:$A$73"</definedName>
    <definedName name="IQSVitesseBX14" hidden="1">"$BX$15:$BX$17"</definedName>
    <definedName name="IQSVitesseBX17" hidden="1">"$BX$18"</definedName>
    <definedName name="IQSVitesseBX19" hidden="1">"$BX$20:$BX$22"</definedName>
    <definedName name="IQSVitesseBX23" hidden="1">"$BX$24:$BX$27"</definedName>
    <definedName name="IQSVitesseBX5" hidden="1">"$BX$6:$BX$16"</definedName>
    <definedName name="Irbe" localSheetId="10" hidden="1">{#N/A,#N/A,FALSE,"Pharm";#N/A,#N/A,FALSE,"WWCM"}</definedName>
    <definedName name="Irbe" hidden="1">{#N/A,#N/A,FALSE,"Pharm";#N/A,#N/A,FALSE,"WWCM"}</definedName>
    <definedName name="IRI_WorkspaceId" hidden="1">"cdf062c3a6fd46b69967008165157d44"</definedName>
    <definedName name="iruyt" localSheetId="10" hidden="1">{"AnnInc",#N/A,TRUE,"Inc";"QtrInc1",#N/A,TRUE,"Inc";"Balance",#N/A,TRUE,"Bal";"Cflow",#N/A,TRUE,"Cash"}</definedName>
    <definedName name="iruyt" hidden="1">{"AnnInc",#N/A,TRUE,"Inc";"QtrInc1",#N/A,TRUE,"Inc";"Balance",#N/A,TRUE,"Bal";"Cflow",#N/A,TRUE,"Cash"}</definedName>
    <definedName name="IS" localSheetId="10">REPT(LOCAL_YEAR_FORMAT,4)&amp;LOCAL_DATE_SEPARATOR&amp;REPT(LOCAL_MONTH_FORMAT,2)&amp;LOCAL_DATE_SEPARATOR&amp;REPT(LOCAL_DAY_FORMAT,2)&amp;" "&amp;REPT(LOCAL_HOUR_FORMAT,2)&amp;LOCAL_TIME_SEPARATOR&amp;REPT(LOCAL_MINUTE_FORMAT,2)&amp;LOCAL_TIME_SEPARATOR&amp;REPT(LOCAL_SECOND_FORMAT,2)</definedName>
    <definedName name="IS">REPT(LOCAL_YEAR_FORMAT,4)&amp;LOCAL_DATE_SEPARATOR&amp;REPT(LOCAL_MONTH_FORMAT,2)&amp;LOCAL_DATE_SEPARATOR&amp;REPT(LOCAL_DAY_FORMAT,2)&amp;" "&amp;REPT(LOCAL_HOUR_FORMAT,2)&amp;LOCAL_TIME_SEPARATOR&amp;REPT(LOCAL_MINUTE_FORMAT,2)&amp;LOCAL_TIME_SEPARATOR&amp;REPT(LOCAL_SECOND_FORMAT,2)</definedName>
    <definedName name="IS_16" localSheetId="10">#REF!</definedName>
    <definedName name="IS_16">#REF!</definedName>
    <definedName name="IS_17">#REF!</definedName>
    <definedName name="IS_18">#REF!</definedName>
    <definedName name="IsColHidden" hidden="1">FALSE</definedName>
    <definedName name="ISCompany">#REF!</definedName>
    <definedName name="ISEngineering">#REF!</definedName>
    <definedName name="ISEngineeringHeadcount">#REF!</definedName>
    <definedName name="ISHelpDesk">#REF!</definedName>
    <definedName name="ISHelpDeskHeadcount">#REF!</definedName>
    <definedName name="ISHelpDeskwithTickets">#REF!</definedName>
    <definedName name="IsLTMColHidden" hidden="1">FALSE</definedName>
    <definedName name="ISManagedServices">#REF!</definedName>
    <definedName name="ISManagedServicesHeadcount">#REF!</definedName>
    <definedName name="ISName">#REF!</definedName>
    <definedName name="ISPeriod1">#REF!</definedName>
    <definedName name="ISPeriod2">#REF!</definedName>
    <definedName name="ISPeriod3">#REF!</definedName>
    <definedName name="ISPRoducts">#REF!</definedName>
    <definedName name="Issue" hidden="1">"BL7FKFTY6NDALOTZZF8PFRAS6"</definedName>
    <definedName name="ISUnallocated">#REF!</definedName>
    <definedName name="itdep">#REF!</definedName>
    <definedName name="ITW" localSheetId="10" hidden="1">{"bs",#N/A,FALSE,"SCF"}</definedName>
    <definedName name="ITW" hidden="1">{"bs",#N/A,FALSE,"SCF"}</definedName>
    <definedName name="IUJDHFAKHDFDHFDAKFHDAKLFDKLHFDKAL" localSheetId="10" hidden="1">{#N/A,#N/A,FALSE,"FUSITE SK";#N/A,#N/A,FALSE,"FUSITE RG"}</definedName>
    <definedName name="IUJDHFAKHDFDHFDAKFHDAKLFDKLHFDKAL" hidden="1">{#N/A,#N/A,FALSE,"FUSITE SK";#N/A,#N/A,FALSE,"FUSITE RG"}</definedName>
    <definedName name="iungds" localSheetId="10" hidden="1">{"detail",#N/A,FALSE,"mfg";"summary",#N/A,FALSE,"mfg"}</definedName>
    <definedName name="iungds" hidden="1">{"detail",#N/A,FALSE,"mfg";"summary",#N/A,FALSE,"mfg"}</definedName>
    <definedName name="iuyt" localSheetId="10" hidden="1">{"AS REP",#N/A,FALSE,"EEFSNAP2";"PROP",#N/A,FALSE,"EEFSNAP2";"RISKS",#N/A,FALSE,"EEFSNAP2";"VIEW ALL",#N/A,FALSE,"EEFSNAP2"}</definedName>
    <definedName name="iuyt" hidden="1">{"AS REP",#N/A,FALSE,"EEFSNAP2";"PROP",#N/A,FALSE,"EEFSNAP2";"RISKS",#N/A,FALSE,"EEFSNAP2";"VIEW ALL",#N/A,FALSE,"EEFSNAP2"}</definedName>
    <definedName name="iv"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 localSheetId="10" hidden="1">{"AS REP",#N/A,FALSE,"EEFSNAP2";"PROP",#N/A,FALSE,"EEFSNAP2";"RISKS",#N/A,FALSE,"EEFSNAP2";"VIEW ALL",#N/A,FALSE,"EEFSNAP2"}</definedName>
    <definedName name="iy" hidden="1">{"AS REP",#N/A,FALSE,"EEFSNAP2";"PROP",#N/A,FALSE,"EEFSNAP2";"RISKS",#N/A,FALSE,"EEFSNAP2";"VIEW ALL",#N/A,FALSE,"EEFSNAP2"}</definedName>
    <definedName name="iyrt" localSheetId="10" hidden="1">{#N/A,#N/A,TRUE,"A";#N/A,#N/A,TRUE,"B";#N/A,#N/A,TRUE,"C";#N/A,#N/A,TRUE,"D";#N/A,#N/A,TRUE,"E"}</definedName>
    <definedName name="iyrt" localSheetId="15" hidden="1">{#N/A,#N/A,TRUE,"A";#N/A,#N/A,TRUE,"B";#N/A,#N/A,TRUE,"C";#N/A,#N/A,TRUE,"D";#N/A,#N/A,TRUE,"E"}</definedName>
    <definedName name="iyrt" hidden="1">{#N/A,#N/A,TRUE,"A";#N/A,#N/A,TRUE,"B";#N/A,#N/A,TRUE,"C";#N/A,#N/A,TRUE,"D";#N/A,#N/A,TRUE,"E"}</definedName>
    <definedName name="j" localSheetId="10" hidden="1">{#N/A,#N/A,FALSE,"REPORT"}</definedName>
    <definedName name="j" hidden="1">{#N/A,#N/A,FALSE,"REPORT"}</definedName>
    <definedName name="j_1" localSheetId="10" hidden="1">{#N/A,#N/A,FALSE,"Memo P&amp;L"}</definedName>
    <definedName name="j_1" hidden="1">{#N/A,#N/A,FALSE,"Memo P&amp;L"}</definedName>
    <definedName name="j_2" localSheetId="10" hidden="1">{#N/A,#N/A,FALSE,"Memo P&amp;L"}</definedName>
    <definedName name="j_2" hidden="1">{#N/A,#N/A,FALSE,"Memo P&amp;L"}</definedName>
    <definedName name="j_3" localSheetId="10" hidden="1">{#N/A,#N/A,FALSE,"Memo P&amp;L"}</definedName>
    <definedName name="j_3" hidden="1">{#N/A,#N/A,FALSE,"Memo P&amp;L"}</definedName>
    <definedName name="j_4" localSheetId="10" hidden="1">{#N/A,#N/A,FALSE,"Memo P&amp;L"}</definedName>
    <definedName name="j_4" hidden="1">{#N/A,#N/A,FALSE,"Memo P&amp;L"}</definedName>
    <definedName name="j_5" localSheetId="10" hidden="1">{#N/A,#N/A,FALSE,"Memo P&amp;L"}</definedName>
    <definedName name="j_5" hidden="1">{#N/A,#N/A,FALSE,"Memo P&amp;L"}</definedName>
    <definedName name="J_cutoff" localSheetId="10">#REF!</definedName>
    <definedName name="J_cutoff">#REF!</definedName>
    <definedName name="janis" localSheetId="10" hidden="1">{#N/A,#N/A,TRUE,"0 Deckbl.";#N/A,#N/A,TRUE,"S 1 Komm";#N/A,#N/A,TRUE,"S 1a Komm";#N/A,#N/A,TRUE,"S 1b Komm";#N/A,#N/A,TRUE,"S  2 DBR";#N/A,#N/A,TRUE,"S  3 Sparten";#N/A,#N/A,TRUE,"S 4  Betr. K.";#N/A,#N/A,TRUE,"6 Bilanz";#N/A,#N/A,TRUE,"6a Bilanz ";#N/A,#N/A,TRUE,"6b Bilanz ";#N/A,#N/A,TRUE,"7 GS I";#N/A,#N/A,TRUE,"S 8 EQ-GuV"}</definedName>
    <definedName name="janis" hidden="1">{#N/A,#N/A,TRUE,"0 Deckbl.";#N/A,#N/A,TRUE,"S 1 Komm";#N/A,#N/A,TRUE,"S 1a Komm";#N/A,#N/A,TRUE,"S 1b Komm";#N/A,#N/A,TRUE,"S  2 DBR";#N/A,#N/A,TRUE,"S  3 Sparten";#N/A,#N/A,TRUE,"S 4  Betr. K.";#N/A,#N/A,TRUE,"6 Bilanz";#N/A,#N/A,TRUE,"6a Bilanz ";#N/A,#N/A,TRUE,"6b Bilanz ";#N/A,#N/A,TRUE,"7 GS I";#N/A,#N/A,TRUE,"S 8 EQ-GuV"}</definedName>
    <definedName name="jason" localSheetId="10"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daj" hidden="1">#REF!</definedName>
    <definedName name="jdc"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dc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jen"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jen"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yj"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eyj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jeyj_1" hidden="1">{#N/A,#N/A,FALSE,"Projections";#N/A,#N/A,FALSE,"AccrDil";#N/A,#N/A,FALSE,"PurchPriMult";#N/A,#N/A,FALSE,"Mults7_13";#N/A,#N/A,FALSE,"Mkt Mults";#N/A,#N/A,FALSE,"Acq Mults";#N/A,#N/A,FALSE,"StockPrices";#N/A,#N/A,FALSE,"Prem Paid";#N/A,#N/A,FALSE,"DCF";#N/A,#N/A,FALSE,"AUTO";#N/A,#N/A,FALSE,"Relative Trading";#N/A,#N/A,FALSE,"Mkt Val";#N/A,#N/A,FALSE,"Acq Val"}</definedName>
    <definedName name="jfaf" hidden="1">#REF!</definedName>
    <definedName name="jfas" localSheetId="10" hidden="1">{"NOPCAPEVA",#N/A,FALSE,"Nopat";"FCFCSTAR",#N/A,FALSE,"FCFVAL";"EVAVL",#N/A,FALSE,"EVAVAL";"LEASE",#N/A,FALSE,"OpLease"}</definedName>
    <definedName name="jfas" hidden="1">{"NOPCAPEVA",#N/A,FALSE,"Nopat";"FCFCSTAR",#N/A,FALSE,"FCFVAL";"EVAVL",#N/A,FALSE,"EVAVAL";"LEASE",#N/A,FALSE,"OpLease"}</definedName>
    <definedName name="jfda" localSheetId="10" hidden="1">{"NOPCAPEVA",#N/A,FALSE,"Nopat";"FCFCSTAR",#N/A,FALSE,"FCFVAL";"EVAVL",#N/A,FALSE,"EVAVAL";"LEASE",#N/A,FALSE,"OpLease"}</definedName>
    <definedName name="jfda" hidden="1">{"NOPCAPEVA",#N/A,FALSE,"Nopat";"FCFCSTAR",#N/A,FALSE,"FCFVAL";"EVAVL",#N/A,FALSE,"EVAVAL";"LEASE",#N/A,FALSE,"OpLease"}</definedName>
    <definedName name="jfdsir" localSheetId="10" hidden="1">{"YTD",#N/A,FALSE,"SUM"}</definedName>
    <definedName name="jfdsir" hidden="1">{"YTD",#N/A,FALSE,"SUM"}</definedName>
    <definedName name="JFFF" localSheetId="10" hidden="1">#REF!</definedName>
    <definedName name="JFFF" hidden="1">#REF!</definedName>
    <definedName name="jfie" localSheetId="10" hidden="1">{"NOPCAPEVA",#N/A,FALSE,"Nopat";"FCFCSTAR",#N/A,FALSE,"FCFVAL";"EVAVL",#N/A,FALSE,"EVAVAL";"LEASE",#N/A,FALSE,"OpLease"}</definedName>
    <definedName name="jfie" hidden="1">{"NOPCAPEVA",#N/A,FALSE,"Nopat";"FCFCSTAR",#N/A,FALSE,"FCFVAL";"EVAVL",#N/A,FALSE,"EVAVAL";"LEASE",#N/A,FALSE,"OpLease"}</definedName>
    <definedName name="jg" localSheetId="10" hidden="1">Main.SAPF4Help()</definedName>
    <definedName name="jg" localSheetId="15" hidden="1">Main.SAPF4Help()</definedName>
    <definedName name="jg" hidden="1">Main.SAPF4Help()</definedName>
    <definedName name="jgdjdf" localSheetId="10" hidden="1">#REF!</definedName>
    <definedName name="jgdjdf" hidden="1">#REF!</definedName>
    <definedName name="jgfs" localSheetId="10" hidden="1">{"AnnInc",#N/A,TRUE,"Inc";"QtrInc1",#N/A,TRUE,"Inc";"Balance",#N/A,TRUE,"Bal";"Cflow",#N/A,TRUE,"Cash"}</definedName>
    <definedName name="jgfs" hidden="1">{"AnnInc",#N/A,TRUE,"Inc";"QtrInc1",#N/A,TRUE,"Inc";"Balance",#N/A,TRUE,"Bal";"Cflow",#N/A,TRUE,"Cash"}</definedName>
    <definedName name="jghjg" localSheetId="10"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10"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ghssjs" hidden="1">#REF!</definedName>
    <definedName name="jgjdj" hidden="1">#REF!</definedName>
    <definedName name="jh" localSheetId="10" hidden="1">{#N/A,#N/A,FALSE,"Assump";#N/A,#N/A,FALSE,"Income";#N/A,#N/A,FALSE,"Balance";#N/A,#N/A,FALSE,"DCF Pump";#N/A,#N/A,FALSE,"Trans Assump";#N/A,#N/A,FALSE,"Combined Income";#N/A,#N/A,FALSE,"Combined Balance"}</definedName>
    <definedName name="jh" hidden="1">{#N/A,#N/A,FALSE,"Assump";#N/A,#N/A,FALSE,"Income";#N/A,#N/A,FALSE,"Balance";#N/A,#N/A,FALSE,"DCF Pump";#N/A,#N/A,FALSE,"Trans Assump";#N/A,#N/A,FALSE,"Combined Income";#N/A,#N/A,FALSE,"Combined Balance"}</definedName>
    <definedName name="jh_1" localSheetId="10" hidden="1">{#N/A,#N/A,FALSE,"Assump";#N/A,#N/A,FALSE,"Income";#N/A,#N/A,FALSE,"Balance";#N/A,#N/A,FALSE,"DCF Pump";#N/A,#N/A,FALSE,"Trans Assump";#N/A,#N/A,FALSE,"Combined Income";#N/A,#N/A,FALSE,"Combined Balance"}</definedName>
    <definedName name="jh_1" hidden="1">{#N/A,#N/A,FALSE,"Assump";#N/A,#N/A,FALSE,"Income";#N/A,#N/A,FALSE,"Balance";#N/A,#N/A,FALSE,"DCF Pump";#N/A,#N/A,FALSE,"Trans Assump";#N/A,#N/A,FALSE,"Combined Income";#N/A,#N/A,FALSE,"Combined Balance"}</definedName>
    <definedName name="jhdj" hidden="1">#REF!</definedName>
    <definedName name="jhg"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jhg"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jhgf" localSheetId="10" hidden="1">{"Commentary",#N/A,FALSE,"May"}</definedName>
    <definedName name="jhgf" hidden="1">{"Commentary",#N/A,FALSE,"May"}</definedName>
    <definedName name="jhgjhgjghj" localSheetId="10" hidden="1">{"mgmt forecast",#N/A,FALSE,"Mgmt Forecast";"dcf table",#N/A,FALSE,"Mgmt Forecast";"sensitivity",#N/A,FALSE,"Mgmt Forecast";"table inputs",#N/A,FALSE,"Mgmt Forecast";"calculations",#N/A,FALSE,"Mgmt Forecast"}</definedName>
    <definedName name="jhgjhgjghj" hidden="1">{"mgmt forecast",#N/A,FALSE,"Mgmt Forecast";"dcf table",#N/A,FALSE,"Mgmt Forecast";"sensitivity",#N/A,FALSE,"Mgmt Forecast";"table inputs",#N/A,FALSE,"Mgmt Forecast";"calculations",#N/A,FALSE,"Mgmt Forecast"}</definedName>
    <definedName name="jhgjuy" localSheetId="10" hidden="1">{"AnnInc",#N/A,TRUE,"Inc";"QtrInc1",#N/A,TRUE,"Inc";"Balance",#N/A,TRUE,"Bal";"Cflow",#N/A,TRUE,"Cash"}</definedName>
    <definedName name="jhgjuy" hidden="1">{"AnnInc",#N/A,TRUE,"Inc";"QtrInc1",#N/A,TRUE,"Inc";"Balance",#N/A,TRUE,"Bal";"Cflow",#N/A,TRUE,"Cash"}</definedName>
    <definedName name="jhhgjh" localSheetId="10" hidden="1">{#N/A,#N/A,FALSE,"KA CH  (2)"}</definedName>
    <definedName name="jhhgjh" hidden="1">{#N/A,#N/A,FALSE,"KA CH  (2)"}</definedName>
    <definedName name="jh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kjk" localSheetId="10" hidden="1">{"mgmt forecast",#N/A,FALSE,"Mgmt Forecast";"dcf table",#N/A,FALSE,"Mgmt Forecast";"sensitivity",#N/A,FALSE,"Mgmt Forecast";"table inputs",#N/A,FALSE,"Mgmt Forecast";"calculations",#N/A,FALSE,"Mgmt Forecast"}</definedName>
    <definedName name="jhkkjk" hidden="1">{"mgmt forecast",#N/A,FALSE,"Mgmt Forecast";"dcf table",#N/A,FALSE,"Mgmt Forecast";"sensitivity",#N/A,FALSE,"Mgmt Forecast";"table inputs",#N/A,FALSE,"Mgmt Forecast";"calculations",#N/A,FALSE,"Mgmt Forecast"}</definedName>
    <definedName name="jhll" localSheetId="10"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u" localSheetId="10"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hxf" hidden="1">#REF!</definedName>
    <definedName name="jhy" localSheetId="10" hidden="1">{#N/A,#N/A,TRUE,"Sel Fn Data QTD";#N/A,#N/A,TRUE,"TABLE_1 SPREAD ANALYSIS";#N/A,#N/A,TRUE,"Tables 2 to 3 PL";#N/A,#N/A,TRUE,"Tables 4 and 5 ALLL";#N/A,#N/A,TRUE,"Tables 6 to 8 ALLL NPA";#N/A,#N/A,TRUE,"Table 9 to 10 - Balance Sheet";#N/A,#N/A,TRUE,"Table 11 to 12 - Equity"}</definedName>
    <definedName name="jhy" localSheetId="15"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h" localSheetId="1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m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jimmy"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jj"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10"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g.lllll" localSheetId="10"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10" hidden="1">{#N/A,#N/A,FALSE,"REPORT"}</definedName>
    <definedName name="jjj" hidden="1">{#N/A,#N/A,FALSE,"REPORT"}</definedName>
    <definedName name="jjjj" localSheetId="10" hidden="1">{"Page1",#N/A,FALSE,"CompCo";"Page2",#N/A,FALSE,"CompCo"}</definedName>
    <definedName name="jjjj" localSheetId="15" hidden="1">{"Page1",#N/A,FALSE,"CompCo";"Page2",#N/A,FALSE,"CompCo"}</definedName>
    <definedName name="jjjj" hidden="1">{"Page1",#N/A,FALSE,"CompCo";"Page2",#N/A,FALSE,"CompCo"}</definedName>
    <definedName name="jjkiuk" hidden="1">#REF!</definedName>
    <definedName name="jjsjshjsgj" hidden="1">#REF!</definedName>
    <definedName name="JJTGG" localSheetId="10" hidden="1">{#N/A,#N/A,FALSE,"COP CONS SK";#N/A,#N/A,FALSE,"COP CONS RG";#N/A,#N/A,FALSE,"COP CONS SK BC";#N/A,#N/A,FALSE,"COP CONS RG BC";#N/A,#N/A,FALSE,"ALLIANCE SK";#N/A,#N/A,FALSE,"ALLIANCE RG";#N/A,#N/A,FALSE,"CPC SK";#N/A,#N/A,FALSE,"CPC RG"}</definedName>
    <definedName name="JJTGG" hidden="1">{#N/A,#N/A,FALSE,"COP CONS SK";#N/A,#N/A,FALSE,"COP CONS RG";#N/A,#N/A,FALSE,"COP CONS SK BC";#N/A,#N/A,FALSE,"COP CONS RG BC";#N/A,#N/A,FALSE,"ALLIANCE SK";#N/A,#N/A,FALSE,"ALLIANCE RG";#N/A,#N/A,FALSE,"CPC SK";#N/A,#N/A,FALSE,"CPC RG"}</definedName>
    <definedName name="jk" localSheetId="10" hidden="1">{#N/A,#N/A,FALSE,"FY97";#N/A,#N/A,FALSE,"FY98";#N/A,#N/A,FALSE,"FY99";#N/A,#N/A,FALSE,"FY00";#N/A,#N/A,FALSE,"FY01"}</definedName>
    <definedName name="jk" localSheetId="15" hidden="1">{#N/A,#N/A,FALSE,"FY97";#N/A,#N/A,FALSE,"FY98";#N/A,#N/A,FALSE,"FY99";#N/A,#N/A,FALSE,"FY00";#N/A,#N/A,FALSE,"FY01"}</definedName>
    <definedName name="jk" hidden="1">{#N/A,#N/A,FALSE,"FY97";#N/A,#N/A,FALSE,"FY98";#N/A,#N/A,FALSE,"FY99";#N/A,#N/A,FALSE,"FY00";#N/A,#N/A,FALSE,"FY01"}</definedName>
    <definedName name="jkhgdghjd" hidden="1">#REF!</definedName>
    <definedName name="jkiu" localSheetId="10" hidden="1">{#N/A,"PURCHM",FALSE,"Business Analysis";#N/A,"SPADD",FALSE,"Business Analysis"}</definedName>
    <definedName name="jkiu" hidden="1">{#N/A,"PURCHM",FALSE,"Business Analysis";#N/A,"SPADD",FALSE,"Business Analysis"}</definedName>
    <definedName name="jkj" localSheetId="10">{#N/A,#N/A,TRUE,"FY BCG";#N/A,#N/A,TRUE,"FY w|o Wireless";#N/A,#N/A,TRUE,"FY Wireless"}</definedName>
    <definedName name="jkj">{#N/A,#N/A,TRUE,"FY BCG";#N/A,#N/A,TRUE,"FY w|o Wireless";#N/A,#N/A,TRUE,"FY Wireless"}</definedName>
    <definedName name="jkjhk" localSheetId="10"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10" hidden="1">{#N/A,#N/A,FALSE,"REPORT"}</definedName>
    <definedName name="jkl" hidden="1">{#N/A,#N/A,FALSE,"REPORT"}</definedName>
    <definedName name="jklhjk" localSheetId="10" hidden="1">{#N/A,#N/A,FALSE,"Sheet1"}</definedName>
    <definedName name="jklhjk" hidden="1">{#N/A,#N/A,FALSE,"Sheet1"}</definedName>
    <definedName name="jklk" localSheetId="10"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wsd" localSheetId="10" hidden="1">{"detail",#N/A,FALSE,"mfg";"summary",#N/A,FALSE,"mfg"}</definedName>
    <definedName name="jkwsd" hidden="1">{"detail",#N/A,FALSE,"mfg";"summary",#N/A,FALSE,"mfg"}</definedName>
    <definedName name="jlklkjlk" localSheetId="10" hidden="1">{#N/A,#N/A,FALSE,"Bakersfield PCs";#N/A,#N/A,FALSE,"Bremer PCs";#N/A,#N/A,FALSE,"Bakersfield Notebooks"}</definedName>
    <definedName name="jlklkjlk" hidden="1">{#N/A,#N/A,FALSE,"Bakersfield PCs";#N/A,#N/A,FALSE,"Bremer PCs";#N/A,#N/A,FALSE,"Bakersfield Notebooks"}</definedName>
    <definedName name="jllk" localSheetId="10">{#N/A,#N/A,TRUE,"Monthly Wireless";#N/A,#N/A,TRUE,"Qrt Wireless";#N/A,#N/A,TRUE,"FY Wireless";#N/A,#N/A,TRUE,"1Q Wireless";#N/A,#N/A,TRUE,"2Q Wireless";#N/A,#N/A,TRUE,"3Q Wireless";#N/A,#N/A,TRUE,"4Q Wireless"}</definedName>
    <definedName name="jllk">{#N/A,#N/A,TRUE,"Monthly Wireless";#N/A,#N/A,TRUE,"Qrt Wireless";#N/A,#N/A,TRUE,"FY Wireless";#N/A,#N/A,TRUE,"1Q Wireless";#N/A,#N/A,TRUE,"2Q Wireless";#N/A,#N/A,TRUE,"3Q Wireless";#N/A,#N/A,TRUE,"4Q Wireless"}</definedName>
    <definedName name="jlnv" hidden="1">#REF!</definedName>
    <definedName name="jnbid" localSheetId="10" hidden="1">{"detail",#N/A,FALSE,"mfg";"summary",#N/A,FALSE,"mfg"}</definedName>
    <definedName name="jnbid" hidden="1">{"detail",#N/A,FALSE,"mfg";"summary",#N/A,FALSE,"mfg"}</definedName>
    <definedName name="joe" localSheetId="10" hidden="1">{"PrintView",#N/A,FALSE,"Cash &amp; Equiv";"PrintView",#N/A,FALSE,"Investments";"Other Assets Print View",#N/A,FALSE,"Other Assets"}</definedName>
    <definedName name="joe" localSheetId="15" hidden="1">{"PrintView",#N/A,FALSE,"Cash &amp; Equiv";"PrintView",#N/A,FALSE,"Investments";"Other Assets Print View",#N/A,FALSE,"Other Assets"}</definedName>
    <definedName name="Joe" localSheetId="3" hidden="1">{"FY04_Assets",#N/A,FALSE,"Fin Stmt Budget";"FY04_Liabilities",#N/A,FALSE,"Fin Stmt Budget";"FY04_Inc_Stmt",#N/A,FALSE,"Fin Stmt Budget";"FY04_SOCF",#N/A,FALSE,"Fin Stmt Budget"}</definedName>
    <definedName name="Joe" localSheetId="11" hidden="1">{"FY04_Assets",#N/A,FALSE,"Fin Stmt Budget";"FY04_Liabilities",#N/A,FALSE,"Fin Stmt Budget";"FY04_Inc_Stmt",#N/A,FALSE,"Fin Stmt Budget";"FY04_SOCF",#N/A,FALSE,"Fin Stmt Budget"}</definedName>
    <definedName name="joe" hidden="1">{"PrintView",#N/A,FALSE,"Cash &amp; Equiv";"PrintView",#N/A,FALSE,"Investments";"Other Assets Print View",#N/A,FALSE,"Other Assets"}</definedName>
    <definedName name="joe_1" localSheetId="10" hidden="1">{"PrintView",#N/A,FALSE,"Cash &amp; Equiv";"PrintView",#N/A,FALSE,"Investments";"Other Assets Print View",#N/A,FALSE,"Other Assets"}</definedName>
    <definedName name="joe_1" localSheetId="15" hidden="1">{"PrintView",#N/A,FALSE,"Cash &amp; Equiv";"PrintView",#N/A,FALSE,"Investments";"Other Assets Print View",#N/A,FALSE,"Other Assets"}</definedName>
    <definedName name="joe_1" hidden="1">{"PrintView",#N/A,FALSE,"Cash &amp; Equiv";"PrintView",#N/A,FALSE,"Investments";"Other Assets Print View",#N/A,FALSE,"Other Assets"}</definedName>
    <definedName name="john" localSheetId="10" hidden="1">{"'Inventory &amp; Anal-Cur Wkbk'!$A$7:$AP$71"}</definedName>
    <definedName name="john" hidden="1">{"'Inventory &amp; Anal-Cur Wkbk'!$A$7:$AP$71"}</definedName>
    <definedName name="jomn" localSheetId="10" hidden="1">{"pro_view",#N/A,FALSE,"EEFSNAP2";"rep_view",#N/A,FALSE,"EEFSNAP2"}</definedName>
    <definedName name="jomn" hidden="1">{"pro_view",#N/A,FALSE,"EEFSNAP2";"rep_view",#N/A,FALSE,"EEFSNAP2"}</definedName>
    <definedName name="jop" localSheetId="10" hidden="1">{"bs",#N/A,FALSE,"SCF"}</definedName>
    <definedName name="jop" hidden="1">{"bs",#N/A,FALSE,"SCF"}</definedName>
    <definedName name="jöuiuiuzi" localSheetId="10" hidden="1">{#N/A,#N/A,FALSE,"Umsatz 99";#N/A,#N/A,FALSE,"ER 99 "}</definedName>
    <definedName name="jöuiuiuzi" hidden="1">{#N/A,#N/A,FALSE,"Umsatz 99";#N/A,#N/A,FALSE,"ER 99 "}</definedName>
    <definedName name="journal">OFFSET(#REF!,1,0)</definedName>
    <definedName name="jrd" localSheetId="10" hidden="1">{"NOPCAPEVA",#N/A,FALSE,"Nopat";"FCFCSTAR",#N/A,FALSE,"FCFVAL";"EVAVL",#N/A,FALSE,"EVAVAL";"LEASE",#N/A,FALSE,"OpLease"}</definedName>
    <definedName name="jrd" hidden="1">{"NOPCAPEVA",#N/A,FALSE,"Nopat";"FCFCSTAR",#N/A,FALSE,"FCFVAL";"EVAVL",#N/A,FALSE,"EVAVAL";"LEASE",#N/A,FALSE,"OpLease"}</definedName>
    <definedName name="jsfda" localSheetId="10"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gjsj" hidden="1">#REF!</definedName>
    <definedName name="jsjsjj" hidden="1">#REF!</definedName>
    <definedName name="jsjsyj" hidden="1">#REF!</definedName>
    <definedName name="jsjy" hidden="1">#REF!</definedName>
    <definedName name="jsr" localSheetId="10" hidden="1">{"NOPCAPEVA",#N/A,FALSE,"Nopat";"FCFCSTAR",#N/A,FALSE,"FCFVAL";"EVAVL",#N/A,FALSE,"EVAVAL";"LEASE",#N/A,FALSE,"OpLease"}</definedName>
    <definedName name="jsr" hidden="1">{"NOPCAPEVA",#N/A,FALSE,"Nopat";"FCFCSTAR",#N/A,FALSE,"FCFVAL";"EVAVL",#N/A,FALSE,"EVAVAL";"LEASE",#N/A,FALSE,"OpLease"}</definedName>
    <definedName name="ju"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1"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ciy"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juci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judy" localSheetId="10" hidden="1">{#N/A,#N/A,FALSE,"Pharm";#N/A,#N/A,FALSE,"WWCM"}</definedName>
    <definedName name="judy" hidden="1">{#N/A,#N/A,FALSE,"Pharm";#N/A,#N/A,FALSE,"WWCM"}</definedName>
    <definedName name="judy1" localSheetId="10" hidden="1">{#N/A,#N/A,FALSE,"Pharm";#N/A,#N/A,FALSE,"WWCM"}</definedName>
    <definedName name="judy1" hidden="1">{#N/A,#N/A,FALSE,"Pharm";#N/A,#N/A,FALSE,"WWCM"}</definedName>
    <definedName name="jui" localSheetId="10" hidden="1">{"YD OTHER",#N/A,FALSE,"YTD"}</definedName>
    <definedName name="jui" hidden="1">{"YD OTHER",#N/A,FALSE,"YTD"}</definedName>
    <definedName name="juio" localSheetId="10" hidden="1">{"Page 1",#N/A,FALSE,"OpExJanVsPY";"Page 2",#N/A,FALSE,"OpExJanVsPY"}</definedName>
    <definedName name="juio" hidden="1">{"Page 1",#N/A,FALSE,"OpExJanVsPY";"Page 2",#N/A,FALSE,"OpExJanVsPY"}</definedName>
    <definedName name="July">#REF!</definedName>
    <definedName name="June">#REF!</definedName>
    <definedName name="junk" hidden="1">#REF!</definedName>
    <definedName name="junk2" localSheetId="10" hidden="1">{"BS",#N/A,FALSE,"USA"}</definedName>
    <definedName name="junk2" localSheetId="15" hidden="1">{"BS",#N/A,FALSE,"USA"}</definedName>
    <definedName name="junk2" hidden="1">{"BS",#N/A,FALSE,"USA"}</definedName>
    <definedName name="junk3" localSheetId="10" hidden="1">{"BS",#N/A,FALSE,"USA"}</definedName>
    <definedName name="junk3" localSheetId="15" hidden="1">{"BS",#N/A,FALSE,"USA"}</definedName>
    <definedName name="junk3" hidden="1">{"BS",#N/A,FALSE,"USA"}</definedName>
    <definedName name="junkme" localSheetId="10" hidden="1">{#N/A,#N/A,TRUE,"Status Report";#N/A,#N/A,TRUE,"Current Forecast";#N/A,#N/A,TRUE,"Last Forecast";#N/A,#N/A,TRUE,"BP";#N/A,#N/A,TRUE,"LY"}</definedName>
    <definedName name="junkme" localSheetId="15" hidden="1">{#N/A,#N/A,TRUE,"Status Report";#N/A,#N/A,TRUE,"Current Forecast";#N/A,#N/A,TRUE,"Last Forecast";#N/A,#N/A,TRUE,"BP";#N/A,#N/A,TRUE,"LY"}</definedName>
    <definedName name="junkme" hidden="1">{#N/A,#N/A,TRUE,"Status Report";#N/A,#N/A,TRUE,"Current Forecast";#N/A,#N/A,TRUE,"Last Forecast";#N/A,#N/A,TRUE,"BP";#N/A,#N/A,TRUE,"LY"}</definedName>
    <definedName name="jut" localSheetId="10" hidden="1">{"NOPCAPEVA",#N/A,FALSE,"Nopat";"FCFCSTAR",#N/A,FALSE,"FCFVAL";"EVAVL",#N/A,FALSE,"EVAVAL";"LEASE",#N/A,FALSE,"OpLease"}</definedName>
    <definedName name="jut" hidden="1">{"NOPCAPEVA",#N/A,FALSE,"Nopat";"FCFCSTAR",#N/A,FALSE,"FCFVAL";"EVAVL",#N/A,FALSE,"EVAVAL";"LEASE",#N/A,FALSE,"OpLease"}</definedName>
    <definedName name="juyju" hidden="1">#REF!</definedName>
    <definedName name="jy" localSheetId="10" hidden="1">{"Headcount Worksheet",#N/A,FALSE,"HEADCOUNT"}</definedName>
    <definedName name="jy" hidden="1">{"Headcount Worksheet",#N/A,FALSE,"HEADCOUNT"}</definedName>
    <definedName name="jyte" localSheetId="10" hidden="1">{"NOPCAPEVA",#N/A,FALSE,"Nopat";"FCFCSTAR",#N/A,FALSE,"FCFVAL";"EVAVL",#N/A,FALSE,"EVAVAL";"LEASE",#N/A,FALSE,"OpLease"}</definedName>
    <definedName name="jyte" hidden="1">{"NOPCAPEVA",#N/A,FALSE,"Nopat";"FCFCSTAR",#N/A,FALSE,"FCFVAL";"EVAVL",#N/A,FALSE,"EVAVAL";"LEASE",#N/A,FALSE,"OpLease"}</definedName>
    <definedName name="jyujyu" hidden="1">#REF!</definedName>
    <definedName name="k" localSheetId="10" hidden="1">{"PrintView",#N/A,FALSE,"Cash &amp; Equiv";"PrintView",#N/A,FALSE,"Investments";"Other Assets Print View",#N/A,FALSE,"Other Assets"}</definedName>
    <definedName name="k" localSheetId="15" hidden="1">{"PrintView",#N/A,FALSE,"Cash &amp; Equiv";"PrintView",#N/A,FALSE,"Investments";"Other Assets Print View",#N/A,FALSE,"Other Assets"}</definedName>
    <definedName name="k" localSheetId="3" hidden="1">{#N/A,#N/A,FALSE,"BS";#N/A,#N/A,FALSE,"PL";#N/A,#N/A,FALSE,"SOE";#N/A,#N/A,FALSE,"SCF"}</definedName>
    <definedName name="k" localSheetId="11" hidden="1">{#N/A,#N/A,FALSE,"BS";#N/A,#N/A,FALSE,"PL";#N/A,#N/A,FALSE,"SOE";#N/A,#N/A,FALSE,"SCF"}</definedName>
    <definedName name="k" hidden="1">{"PrintView",#N/A,FALSE,"Cash &amp; Equiv";"PrintView",#N/A,FALSE,"Investments";"Other Assets Print View",#N/A,FALSE,"Other Assets"}</definedName>
    <definedName name="k_1" localSheetId="10" hidden="1">{"PrintView",#N/A,FALSE,"Cash &amp; Equiv";"PrintView",#N/A,FALSE,"Investments";"Other Assets Print View",#N/A,FALSE,"Other Assets"}</definedName>
    <definedName name="k_1" localSheetId="15" hidden="1">{"PrintView",#N/A,FALSE,"Cash &amp; Equiv";"PrintView",#N/A,FALSE,"Investments";"Other Assets Print View",#N/A,FALSE,"Other Assets"}</definedName>
    <definedName name="k_1" hidden="1">{"PrintView",#N/A,FALSE,"Cash &amp; Equiv";"PrintView",#N/A,FALSE,"Investments";"Other Assets Print View",#N/A,FALSE,"Other Assets"}</definedName>
    <definedName name="k_2" localSheetId="10" hidden="1">{#N/A,#N/A,FALSE,"Memo Expl"}</definedName>
    <definedName name="k_2" hidden="1">{#N/A,#N/A,FALSE,"Memo Expl"}</definedName>
    <definedName name="k_3" localSheetId="10" hidden="1">{#N/A,#N/A,FALSE,"Memo Expl"}</definedName>
    <definedName name="k_3" hidden="1">{#N/A,#N/A,FALSE,"Memo Expl"}</definedName>
    <definedName name="k_4" localSheetId="10" hidden="1">{#N/A,#N/A,FALSE,"Memo Expl"}</definedName>
    <definedName name="k_4" hidden="1">{#N/A,#N/A,FALSE,"Memo Expl"}</definedName>
    <definedName name="k_5" localSheetId="10" hidden="1">{#N/A,#N/A,FALSE,"Memo Expl"}</definedName>
    <definedName name="k_5" hidden="1">{#N/A,#N/A,FALSE,"Memo Expl"}</definedName>
    <definedName name="K2__CVPARAMS__" hidden="1">"Trend!$C$12:$D$33;"</definedName>
    <definedName name="K2__EVCOMOPTS__" hidden="1">10</definedName>
    <definedName name="K2__MAXEXPCOLS__" hidden="1">100</definedName>
    <definedName name="K2__MAXEXPROWS__" hidden="1">1000</definedName>
    <definedName name="K2__WBEVMODE__" hidden="1">1</definedName>
    <definedName name="K2__WBREFOPTIONS__" hidden="1">24</definedName>
    <definedName name="K2_WBEVMODE" hidden="1">0</definedName>
    <definedName name="ka" localSheetId="10" hidden="1">{"TOTAL",#N/A,FALSE,"A";"FISCAL94",#N/A,FALSE,"A";"FISCAL95",#N/A,FALSE,"A";"FISCAL96",#N/A,FALSE,"A";"misc page",#N/A,FALSE,"A"}</definedName>
    <definedName name="ka" localSheetId="15" hidden="1">{"TOTAL",#N/A,FALSE,"A";"FISCAL94",#N/A,FALSE,"A";"FISCAL95",#N/A,FALSE,"A";"FISCAL96",#N/A,FALSE,"A";"misc page",#N/A,FALSE,"A"}</definedName>
    <definedName name="ka" hidden="1">{"TOTAL",#N/A,FALSE,"A";"FISCAL94",#N/A,FALSE,"A";"FISCAL95",#N/A,FALSE,"A";"FISCAL96",#N/A,FALSE,"A";"misc page",#N/A,FALSE,"A"}</definedName>
    <definedName name="kas" localSheetId="10" hidden="1">{"TOTAL",#N/A,FALSE,"A";"FISCAL94",#N/A,FALSE,"A";"FISCAL95",#N/A,FALSE,"A";"FISCAL96",#N/A,FALSE,"A";"misc page",#N/A,FALSE,"A"}</definedName>
    <definedName name="kas" localSheetId="15" hidden="1">{"TOTAL",#N/A,FALSE,"A";"FISCAL94",#N/A,FALSE,"A";"FISCAL95",#N/A,FALSE,"A";"FISCAL96",#N/A,FALSE,"A";"misc page",#N/A,FALSE,"A"}</definedName>
    <definedName name="kas" hidden="1">{"TOTAL",#N/A,FALSE,"A";"FISCAL94",#N/A,FALSE,"A";"FISCAL95",#N/A,FALSE,"A";"FISCAL96",#N/A,FALSE,"A";"misc page",#N/A,FALSE,"A"}</definedName>
    <definedName name="kay" localSheetId="10" hidden="1">{"bs",#N/A,FALSE,"SCF"}</definedName>
    <definedName name="kay" hidden="1">{"bs",#N/A,FALSE,"SCF"}</definedName>
    <definedName name="kcuf" localSheetId="10" hidden="1">{"SUMMARY",#N/A,TRUE,"SUMMARY";"compare",#N/A,TRUE,"Vs. Bus Plan";"ratios",#N/A,TRUE,"Ratios";"REVENUE",#N/A,TRUE,"Revenue";"expenses",#N/A,TRUE,"1996 budget";"payroll",#N/A,TRUE,"Payroll"}</definedName>
    <definedName name="kcuf" localSheetId="15" hidden="1">{"SUMMARY",#N/A,TRUE,"SUMMARY";"compare",#N/A,TRUE,"Vs. Bus Plan";"ratios",#N/A,TRUE,"Ratios";"REVENUE",#N/A,TRUE,"Revenue";"expenses",#N/A,TRUE,"1996 budget";"payroll",#N/A,TRUE,"Payroll"}</definedName>
    <definedName name="kcuf" hidden="1">{"SUMMARY",#N/A,TRUE,"SUMMARY";"compare",#N/A,TRUE,"Vs. Bus Plan";"ratios",#N/A,TRUE,"Ratios";"REVENUE",#N/A,TRUE,"Revenue";"expenses",#N/A,TRUE,"1996 budget";"payroll",#N/A,TRUE,"Payroll"}</definedName>
    <definedName name="kdh" hidden="1">#REF!</definedName>
    <definedName name="KDJD"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F" localSheetId="10" hidden="1">#REF!</definedName>
    <definedName name="KDJF" localSheetId="9" hidden="1">#REF!</definedName>
    <definedName name="KDJF" localSheetId="8" hidden="1">#REF!</definedName>
    <definedName name="KDJF" localSheetId="16" hidden="1">#REF!</definedName>
    <definedName name="KDJF" hidden="1">#REF!</definedName>
    <definedName name="ke" hidden="1">#REF!</definedName>
    <definedName name="Keey1" hidden="1">#REF!</definedName>
    <definedName name="key">#REF!</definedName>
    <definedName name="Key_Statistics_Dental_Range" hidden="1">#REF!</definedName>
    <definedName name="Key_Statistics_Medical_Range" hidden="1">#REF!</definedName>
    <definedName name="keycop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mos" localSheetId="10">#REF!</definedName>
    <definedName name="keymos">#REF!</definedName>
    <definedName name="kfhg" localSheetId="10" hidden="1">#REF!</definedName>
    <definedName name="kfhg" hidden="1">#REF!</definedName>
    <definedName name="kgkg" localSheetId="10" hidden="1">{#N/A,#N/A,FALSE,"COVER";#N/A,#N/A,FALSE,"Index";#N/A,#N/A,FALSE,"Non-Earning";#N/A,#N/A,FALSE,"Non-Earning_Recovery"}</definedName>
    <definedName name="kgkg" localSheetId="15" hidden="1">{#N/A,#N/A,FALSE,"COVER";#N/A,#N/A,FALSE,"Index";#N/A,#N/A,FALSE,"Non-Earning";#N/A,#N/A,FALSE,"Non-Earning_Recovery"}</definedName>
    <definedName name="kgkg" hidden="1">{#N/A,#N/A,FALSE,"COVER";#N/A,#N/A,FALSE,"Index";#N/A,#N/A,FALSE,"Non-Earning";#N/A,#N/A,FALSE,"Non-Earning_Recovery"}</definedName>
    <definedName name="kh"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j" localSheetId="10" hidden="1">{"NOPCAPEVA",#N/A,FALSE,"Nopat";"FCFCSTAR",#N/A,FALSE,"FCFVAL";"EVAVL",#N/A,FALSE,"EVAVAL";"LEASE",#N/A,FALSE,"OpLease"}</definedName>
    <definedName name="khj" hidden="1">{"NOPCAPEVA",#N/A,FALSE,"Nopat";"FCFCSTAR",#N/A,FALSE,"FCFVAL";"EVAVL",#N/A,FALSE,"EVAVAL";"LEASE",#N/A,FALSE,"OpLease"}</definedName>
    <definedName name="kinjs" localSheetId="10" hidden="1">{"detail",#N/A,FALSE,"mfg";"summary",#N/A,FALSE,"mfg"}</definedName>
    <definedName name="kinjs" hidden="1">{"detail",#N/A,FALSE,"mfg";"summary",#N/A,FALSE,"mfg"}</definedName>
    <definedName name="kip" localSheetId="10" hidden="1">{"detail",#N/A,FALSE,"mfg";"summary",#N/A,FALSE,"mfg"}</definedName>
    <definedName name="kip" hidden="1">{"detail",#N/A,FALSE,"mfg";"summary",#N/A,FALSE,"mfg"}</definedName>
    <definedName name="kiut" localSheetId="10" hidden="1">{"AnnInc",#N/A,TRUE,"Inc";"QtrInc1",#N/A,TRUE,"Inc";"Balance",#N/A,TRUE,"Bal";"Cflow",#N/A,TRUE,"Cash"}</definedName>
    <definedName name="kiut" hidden="1">{"AnnInc",#N/A,TRUE,"Inc";"QtrInc1",#N/A,TRUE,"Inc";"Balance",#N/A,TRUE,"Bal";"Cflow",#N/A,TRUE,"Cash"}</definedName>
    <definedName name="kiuu" localSheetId="10" hidden="1">{"AnnInc",#N/A,TRUE,"Inc";"QtrInc1",#N/A,TRUE,"Inc";"Balance",#N/A,TRUE,"Bal";"Cflow",#N/A,TRUE,"Cash"}</definedName>
    <definedName name="kiuu" hidden="1">{"AnnInc",#N/A,TRUE,"Inc";"QtrInc1",#N/A,TRUE,"Inc";"Balance",#N/A,TRUE,"Bal";"Cflow",#N/A,TRUE,"Cash"}</definedName>
    <definedName name="kj" localSheetId="10" hidden="1">{"P&amp;L 18 months",#N/A,TRUE,"P&amp;L";"HC 18 months",#N/A,TRUE,"HC calculation";"CF 18 months",#N/A,TRUE,"FCashflow";"BS 18 months",#N/A,TRUE,"BS";"CapEx 18 months",#N/A,TRUE,"CapEx"}</definedName>
    <definedName name="kj" hidden="1">{"P&amp;L 18 months",#N/A,TRUE,"P&amp;L";"HC 18 months",#N/A,TRUE,"HC calculation";"CF 18 months",#N/A,TRUE,"FCashflow";"BS 18 months",#N/A,TRUE,"BS";"CapEx 18 months",#N/A,TRUE,"CapEx"}</definedName>
    <definedName name="kj_1" localSheetId="10" hidden="1">{"P&amp;L 18 months",#N/A,TRUE,"P&amp;L";"HC 18 months",#N/A,TRUE,"HC calculation";"CF 18 months",#N/A,TRUE,"FCashflow";"BS 18 months",#N/A,TRUE,"BS";"CapEx 18 months",#N/A,TRUE,"CapEx"}</definedName>
    <definedName name="kj_1" hidden="1">{"P&amp;L 18 months",#N/A,TRUE,"P&amp;L";"HC 18 months",#N/A,TRUE,"HC calculation";"CF 18 months",#N/A,TRUE,"FCashflow";"BS 18 months",#N/A,TRUE,"BS";"CapEx 18 months",#N/A,TRUE,"CapEx"}</definedName>
    <definedName name="kj_2" localSheetId="10" hidden="1">{"P&amp;L 18 months",#N/A,TRUE,"P&amp;L";"HC 18 months",#N/A,TRUE,"HC calculation";"CF 18 months",#N/A,TRUE,"FCashflow";"BS 18 months",#N/A,TRUE,"BS";"CapEx 18 months",#N/A,TRUE,"CapEx"}</definedName>
    <definedName name="kj_2" hidden="1">{"P&amp;L 18 months",#N/A,TRUE,"P&amp;L";"HC 18 months",#N/A,TRUE,"HC calculation";"CF 18 months",#N/A,TRUE,"FCashflow";"BS 18 months",#N/A,TRUE,"BS";"CapEx 18 months",#N/A,TRUE,"CapEx"}</definedName>
    <definedName name="kj_3" localSheetId="10" hidden="1">{"P&amp;L 18 months",#N/A,TRUE,"P&amp;L";"HC 18 months",#N/A,TRUE,"HC calculation";"CF 18 months",#N/A,TRUE,"FCashflow";"BS 18 months",#N/A,TRUE,"BS";"CapEx 18 months",#N/A,TRUE,"CapEx"}</definedName>
    <definedName name="kj_3" hidden="1">{"P&amp;L 18 months",#N/A,TRUE,"P&amp;L";"HC 18 months",#N/A,TRUE,"HC calculation";"CF 18 months",#N/A,TRUE,"FCashflow";"BS 18 months",#N/A,TRUE,"BS";"CapEx 18 months",#N/A,TRUE,"CapEx"}</definedName>
    <definedName name="kj_4" localSheetId="10" hidden="1">{"P&amp;L 18 months",#N/A,TRUE,"P&amp;L";"HC 18 months",#N/A,TRUE,"HC calculation";"CF 18 months",#N/A,TRUE,"FCashflow";"BS 18 months",#N/A,TRUE,"BS";"CapEx 18 months",#N/A,TRUE,"CapEx"}</definedName>
    <definedName name="kj_4" hidden="1">{"P&amp;L 18 months",#N/A,TRUE,"P&amp;L";"HC 18 months",#N/A,TRUE,"HC calculation";"CF 18 months",#N/A,TRUE,"FCashflow";"BS 18 months",#N/A,TRUE,"BS";"CapEx 18 months",#N/A,TRUE,"CapEx"}</definedName>
    <definedName name="kj_5" localSheetId="10" hidden="1">{"P&amp;L 18 months",#N/A,TRUE,"P&amp;L";"HC 18 months",#N/A,TRUE,"HC calculation";"CF 18 months",#N/A,TRUE,"FCashflow";"BS 18 months",#N/A,TRUE,"BS";"CapEx 18 months",#N/A,TRUE,"CapEx"}</definedName>
    <definedName name="kj_5" hidden="1">{"P&amp;L 18 months",#N/A,TRUE,"P&amp;L";"HC 18 months",#N/A,TRUE,"HC calculation";"CF 18 months",#N/A,TRUE,"FCashflow";"BS 18 months",#N/A,TRUE,"BS";"CapEx 18 months",#N/A,TRUE,"CapEx"}</definedName>
    <definedName name="kjfjk" hidden="1">#REF!</definedName>
    <definedName name="kjg" localSheetId="1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 localSheetId="10" hidden="1">{"NOPCAPEVA",#N/A,FALSE,"Nopat";"FCFCSTAR",#N/A,FALSE,"FCFVAL";"EVAVL",#N/A,FALSE,"EVAVAL";"LEASE",#N/A,FALSE,"OpLease"}</definedName>
    <definedName name="kjh" hidden="1">{"NOPCAPEVA",#N/A,FALSE,"Nopat";"FCFCSTAR",#N/A,FALSE,"FCFVAL";"EVAVL",#N/A,FALSE,"EVAVAL";"LEASE",#N/A,FALSE,"OpLease"}</definedName>
    <definedName name="kjhdgkdfkj" hidden="1">#REF!</definedName>
    <definedName name="kjhg" localSheetId="10" hidden="1">{"ICD Details",#N/A,FALSE,"Current Yr";"ICD Details",#N/A,FALSE,"Budget";"ICD Details",#N/A,FALSE,"Prior Year"}</definedName>
    <definedName name="kjhg" hidden="1">{"ICD Details",#N/A,FALSE,"Current Yr";"ICD Details",#N/A,FALSE,"Budget";"ICD Details",#N/A,FALSE,"Prior Year"}</definedName>
    <definedName name="kjip" localSheetId="10" hidden="1">{"detail",#N/A,FALSE,"mfg";"summary",#N/A,FALSE,"mfg"}</definedName>
    <definedName name="kjip" hidden="1">{"detail",#N/A,FALSE,"mfg";"summary",#N/A,FALSE,"mfg"}</definedName>
    <definedName name="kjk.l" localSheetId="10"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lgkjhlk" localSheetId="10"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lgkjhlk"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ölhklh" localSheetId="10"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ll" localSheetId="10" hidden="1">{#N/A,#N/A,FALSE,"COP CONS SK";#N/A,#N/A,FALSE,"COP CONS RG";#N/A,#N/A,FALSE,"COP CONS SK BC";#N/A,#N/A,FALSE,"COP CONS RG BC";#N/A,#N/A,FALSE,"ALLIANCE SK";#N/A,#N/A,FALSE,"ALLIANCE RG";#N/A,#N/A,FALSE,"CPC SK";#N/A,#N/A,FALSE,"CPC RG"}</definedName>
    <definedName name="kjll" hidden="1">{#N/A,#N/A,FALSE,"COP CONS SK";#N/A,#N/A,FALSE,"COP CONS RG";#N/A,#N/A,FALSE,"COP CONS SK BC";#N/A,#N/A,FALSE,"COP CONS RG BC";#N/A,#N/A,FALSE,"ALLIANCE SK";#N/A,#N/A,FALSE,"ALLIANCE RG";#N/A,#N/A,FALSE,"CPC SK";#N/A,#N/A,FALSE,"CPC RG"}</definedName>
    <definedName name="kjo" localSheetId="10" hidden="1">{#N/A,#N/A,FALSE,"SUMMARY";#N/A,#N/A,FALSE,"mcsh";#N/A,#N/A,FALSE,"vol&amp;rev";#N/A,#N/A,FALSE,"wkgcap";#N/A,#N/A,FALSE,"DEPR&amp;DT";#N/A,#N/A,FALSE,"ASSETS";#N/A,#N/A,FALSE,"NI&amp;OTH&amp;DIV";#N/A,#N/A,FALSE,"CASHFLOW";#N/A,#N/A,FALSE,"CAPEMPL";#N/A,#N/A,FALSE,"ROCE"}</definedName>
    <definedName name="kjo" localSheetId="15"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10" hidden="1">{#N/A,#N/A,TRUE,"Sel Fn Data QTD";#N/A,#N/A,TRUE,"Table 1 YTD";#N/A,#N/A,TRUE,"Tables 2 to 4 PL";#N/A,#N/A,TRUE,"Tables 5 to 9 ALLL";#N/A,#N/A,TRUE,"Table 10 to 13 - Balance Sheet"}</definedName>
    <definedName name="kk" localSheetId="15" hidden="1">{#N/A,#N/A,TRUE,"Sel Fn Data QTD";#N/A,#N/A,TRUE,"Table 1 YTD";#N/A,#N/A,TRUE,"Tables 2 to 4 PL";#N/A,#N/A,TRUE,"Tables 5 to 9 ALLL";#N/A,#N/A,TRUE,"Table 10 to 13 - Balance Sheet"}</definedName>
    <definedName name="kk" hidden="1">{#N/A,#N/A,TRUE,"Sel Fn Data QTD";#N/A,#N/A,TRUE,"Table 1 YTD";#N/A,#N/A,TRUE,"Tables 2 to 4 PL";#N/A,#N/A,TRUE,"Tables 5 to 9 ALLL";#N/A,#N/A,TRUE,"Table 10 to 13 - Balance Sheet"}</definedName>
    <definedName name="kk.l" localSheetId="10"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j"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 localSheetId="15"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k" localSheetId="10">{#N/A,#N/A,FALSE,"Pharm";#N/A,#N/A,FALSE,"WWCM"}</definedName>
    <definedName name="kkk">{#N/A,#N/A,FALSE,"Pharm";#N/A,#N/A,FALSE,"WWCM"}</definedName>
    <definedName name="kkk.llll" localSheetId="10"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_1" localSheetId="10" hidden="1">{#N/A,#N/A,FALSE,"Assessment";#N/A,#N/A,FALSE,"Staffing";#N/A,#N/A,FALSE,"Hires";#N/A,#N/A,FALSE,"Assumptions"}</definedName>
    <definedName name="KKK_1" hidden="1">{#N/A,#N/A,FALSE,"Assessment";#N/A,#N/A,FALSE,"Staffing";#N/A,#N/A,FALSE,"Hires";#N/A,#N/A,FALSE,"Assumptions"}</definedName>
    <definedName name="KKKIK" localSheetId="10" hidden="1">{#N/A,#N/A,FALSE,"FUSITE SK";#N/A,#N/A,FALSE,"FUSITE RG"}</definedName>
    <definedName name="KKKIK" hidden="1">{#N/A,#N/A,FALSE,"FUSITE SK";#N/A,#N/A,FALSE,"FUSITE RG"}</definedName>
    <definedName name="kkkk.llll" localSheetId="10" hidden="1">{#N/A,#N/A,FALSE,"Umsatz 99";#N/A,#N/A,FALSE,"ER 99 "}</definedName>
    <definedName name="kkkk.llll" hidden="1">{#N/A,#N/A,FALSE,"Umsatz 99";#N/A,#N/A,FALSE,"ER 99 "}</definedName>
    <definedName name="kkkkkkk" localSheetId="10" hidden="1">{"FCB_ALL",#N/A,FALSE,"FCB"}</definedName>
    <definedName name="kkkkkkk" hidden="1">{"FCB_ALL",#N/A,FALSE,"FCB"}</definedName>
    <definedName name="KKL" localSheetId="10" hidden="1">{#N/A,"1",FALSE,"FORM";#N/A,"2",FALSE,"FORM";#N/A,"3",FALSE,"FORM"}</definedName>
    <definedName name="KKL" hidden="1">{#N/A,"1",FALSE,"FORM";#N/A,"2",FALSE,"FORM";#N/A,"3",FALSE,"FORM"}</definedName>
    <definedName name="kl" localSheetId="10" hidden="1">#REF!</definedName>
    <definedName name="kl" localSheetId="9" hidden="1">#REF!</definedName>
    <definedName name="kl" localSheetId="8" hidden="1">#REF!</definedName>
    <definedName name="kl" localSheetId="16" hidden="1">#REF!</definedName>
    <definedName name="kl" hidden="1">#REF!</definedName>
    <definedName name="klasf" localSheetId="10" hidden="1">{"bs",#N/A,FALSE,"SCF"}</definedName>
    <definedName name="klasf" hidden="1">{"bs",#N/A,FALSE,"SCF"}</definedName>
    <definedName name="klj" localSheetId="10" hidden="1">{#N/A,#N/A,FALSE,"WHITE-RODGERS SK";#N/A,#N/A,FALSE,"WHITE-RODGERS RG";#N/A,#N/A,FALSE,"WHITE-RODGERS SK BC";#N/A,#N/A,FALSE,"WHITE-RODGERS RG BC";#N/A,#N/A,FALSE,"GENERAL CONTROLS SK";#N/A,#N/A,FALSE,"GENERAL CONTROLS RG";#N/A,#N/A,FALSE,"PACTROL SK";#N/A,#N/A,FALSE,"PACTROL RG"}</definedName>
    <definedName name="klj" hidden="1">{#N/A,#N/A,FALSE,"WHITE-RODGERS SK";#N/A,#N/A,FALSE,"WHITE-RODGERS RG";#N/A,#N/A,FALSE,"WHITE-RODGERS SK BC";#N/A,#N/A,FALSE,"WHITE-RODGERS RG BC";#N/A,#N/A,FALSE,"GENERAL CONTROLS SK";#N/A,#N/A,FALSE,"GENERAL CONTROLS RG";#N/A,#N/A,FALSE,"PACTROL SK";#N/A,#N/A,FALSE,"PACTROL RG"}</definedName>
    <definedName name="kljk" localSheetId="10"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10" hidden="1">{#N/A,#N/A,FALSE,"KA CH  (2)"}</definedName>
    <definedName name="kljklkj" hidden="1">{#N/A,#N/A,FALSE,"KA CH  (2)"}</definedName>
    <definedName name="kljsadf" localSheetId="10">#REF!</definedName>
    <definedName name="kljsadf">#REF!</definedName>
    <definedName name="klk" localSheetId="10"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10" hidden="1">{#N/A,#N/A,FALSE,"Umsatz 99";#N/A,#N/A,FALSE,"ER 99 "}</definedName>
    <definedName name="klklkl" hidden="1">{#N/A,#N/A,FALSE,"Umsatz 99";#N/A,#N/A,FALSE,"ER 99 "}</definedName>
    <definedName name="klñ" localSheetId="10" hidden="1">{"AS REP",#N/A,FALSE,"EEFSNAP2";"PROP",#N/A,FALSE,"EEFSNAP2";"RISKS",#N/A,FALSE,"EEFSNAP2";"VIEW ALL",#N/A,FALSE,"EEFSNAP2"}</definedName>
    <definedName name="klñ" hidden="1">{"AS REP",#N/A,FALSE,"EEFSNAP2";"PROP",#N/A,FALSE,"EEFSNAP2";"RISKS",#N/A,FALSE,"EEFSNAP2";"VIEW ALL",#N/A,FALSE,"EEFSNAP2"}</definedName>
    <definedName name="klqwe" localSheetId="10" hidden="1">{"bs",#N/A,FALSE,"SCF"}</definedName>
    <definedName name="klqwe" hidden="1">{"bs",#N/A,FALSE,"SCF"}</definedName>
    <definedName name="klu" localSheetId="10" hidden="1">{"Results Worksheets",#N/A,FALSE,"RESULTS"}</definedName>
    <definedName name="klu" hidden="1">{"Results Worksheets",#N/A,FALSE,"RESULTS"}</definedName>
    <definedName name="km" localSheetId="10" hidden="1">{"pro_view",#N/A,FALSE,"EEFSNAP2";"rep_view",#N/A,FALSE,"EEFSNAP2"}</definedName>
    <definedName name="km" hidden="1">{"pro_view",#N/A,FALSE,"EEFSNAP2";"rep_view",#N/A,FALSE,"EEFSNAP2"}</definedName>
    <definedName name="köäklöl"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u" localSheetId="10" hidden="1">{"detail",#N/A,FALSE,"mfg";"summary",#N/A,FALSE,"mfg"}</definedName>
    <definedName name="kou" hidden="1">{"detail",#N/A,FALSE,"mfg";"summary",#N/A,FALSE,"mfg"}</definedName>
    <definedName name="krfore" hidden="1">#REF!</definedName>
    <definedName name="kslkjkjlkjd" localSheetId="10">{#N/A,#N/A,FALSE,"REPORT"}</definedName>
    <definedName name="kslkjkjlkjd">{#N/A,#N/A,FALSE,"REPORT"}</definedName>
    <definedName name="ktf" localSheetId="10" hidden="1">{"NOPCAPEVA",#N/A,FALSE,"Nopat";"FCFCSTAR",#N/A,FALSE,"FCFVAL";"EVAVL",#N/A,FALSE,"EVAVAL";"LEASE",#N/A,FALSE,"OpLease"}</definedName>
    <definedName name="ktf" hidden="1">{"NOPCAPEVA",#N/A,FALSE,"Nopat";"FCFCSTAR",#N/A,FALSE,"FCFVAL";"EVAVL",#N/A,FALSE,"EVAVAL";"LEASE",#N/A,FALSE,"OpLease"}</definedName>
    <definedName name="kwejkl" localSheetId="10"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yd.ChngCell.01." hidden="1">#REF!</definedName>
    <definedName name="kyd.ChngCell.02." hidden="1">#REF!</definedName>
    <definedName name="kyd.CounterLimitCell.01." hidden="1">"x"</definedName>
    <definedName name="kyd.CounterLimitCell.02." hidden="1">"x"</definedName>
    <definedName name="kyd.Dim.01." hidden="1">"toad:Company"</definedName>
    <definedName name="kyd.Dim.02." hidden="1">"chandep#"</definedName>
    <definedName name="kyd.ElementList.01." hidden="1">"x"</definedName>
    <definedName name="kyd.ElementList.02." hidden="1">#REF!</definedName>
    <definedName name="kyd.ElementType.01." hidden="1">3</definedName>
    <definedName name="kyd.ElementType.02." hidden="1">1</definedName>
    <definedName name="kyd.GroupFileName." hidden="1">""</definedName>
    <definedName name="kyd.GroupFiles." hidden="1">-4146</definedName>
    <definedName name="kyd.ItemType.01." hidden="1">2</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SortHide." hidden="1">FALSE</definedName>
    <definedName name="kyd.NumLevels.01." hidden="1">999</definedName>
    <definedName name="kyd.NumLevels.02." hidden="1">999</definedName>
    <definedName name="kyd.PanicStop." hidden="1">TRUE</definedName>
    <definedName name="kyd.PanicStopCell." hidden="1">#REF!</definedName>
    <definedName name="kyd.ParentName.01." hidden="1">""</definedName>
    <definedName name="kyd.ParentName.02." hidden="1">""</definedName>
    <definedName name="kyd.Password." hidden="1">""</definedName>
    <definedName name="kyd.PreScreenData." hidden="1">FALSE</definedName>
    <definedName name="kyd.PrintMemo." hidden="1">FALSE</definedName>
    <definedName name="kyd.PrintParent.01." hidden="1">TRUE</definedName>
    <definedName name="kyd.PrintParent.02." hidden="1">TRUE</definedName>
    <definedName name="kyd.PrintStdWhen." hidden="1">1</definedName>
    <definedName name="kyd.PrintToWbk."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WriteMemWhenOptn." hidden="1">3</definedName>
    <definedName name="kyg" localSheetId="10" hidden="1">{"NOPCAPEVA",#N/A,FALSE,"Nopat";"FCFCSTAR",#N/A,FALSE,"FCFVAL";"EVAVL",#N/A,FALSE,"EVAVAL";"LEASE",#N/A,FALSE,"OpLease"}</definedName>
    <definedName name="kyg" hidden="1">{"NOPCAPEVA",#N/A,FALSE,"Nopat";"FCFCSTAR",#N/A,FALSE,"FCFVAL";"EVAVL",#N/A,FALSE,"EVAVAL";"LEASE",#N/A,FALSE,"OpLease"}</definedName>
    <definedName name="l" localSheetId="10" hidden="1">{"cf",#N/A,FALSE,"Annual";"is",#N/A,FALSE,"Annual";"geo",#N/A,FALSE,"Annual";"jwt",#N/A,FALSE,"Annual";"om",#N/A,FALSE,"Annual";"other",#N/A,FALSE,"Annual";"omcontd",#N/A,FALSE,"Annual"}</definedName>
    <definedName name="l" localSheetId="15" hidden="1">{"cf",#N/A,FALSE,"Annual";"is",#N/A,FALSE,"Annual";"geo",#N/A,FALSE,"Annual";"jwt",#N/A,FALSE,"Annual";"om",#N/A,FALSE,"Annual";"other",#N/A,FALSE,"Annual";"omcontd",#N/A,FALSE,"Annual"}</definedName>
    <definedName name="l" hidden="1">{"cf",#N/A,FALSE,"Annual";"is",#N/A,FALSE,"Annual";"geo",#N/A,FALSE,"Annual";"jwt",#N/A,FALSE,"Annual";"om",#N/A,FALSE,"Annual";"other",#N/A,FALSE,"Annual";"omcontd",#N/A,FALSE,"Annual"}</definedName>
    <definedName name="L.JU" localSheetId="10" hidden="1">{#N/A,#N/A,FALSE,"ALCO SK";#N/A,#N/A,FALSE,"ALCO RG";#N/A,#N/A,FALSE,"ALCO SK BC";#N/A,#N/A,FALSE,"ALCO RG BC";#N/A,#N/A,FALSE,"VALY SK";#N/A,#N/A,FALSE,"VALY RG"}</definedName>
    <definedName name="L.JU" hidden="1">{#N/A,#N/A,FALSE,"ALCO SK";#N/A,#N/A,FALSE,"ALCO RG";#N/A,#N/A,FALSE,"ALCO SK BC";#N/A,#N/A,FALSE,"ALCO RG BC";#N/A,#N/A,FALSE,"VALY SK";#N/A,#N/A,FALSE,"VALY RG"}</definedName>
    <definedName name="L_Adjust">#REF!</definedName>
    <definedName name="L_AJE_Tot">#REF!</definedName>
    <definedName name="L_CY_Beg">#REF!</definedName>
    <definedName name="L_CY_End">#REF!</definedName>
    <definedName name="L_PY_End">#REF!</definedName>
    <definedName name="L_RJE_Tot">#REF!</definedName>
    <definedName name="lambon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ambon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ast_Row" localSheetId="10" hidden="1">IF('Other Recast'!Values_Entered,Header_Row+'Other Recast'!Number_of_Payments,Header_Row)</definedName>
    <definedName name="Last_Row" localSheetId="15" hidden="1">IF(Values_Entered,Header_Row+Number_of_Payments,Header_Row)</definedName>
    <definedName name="Last_Row" localSheetId="9" hidden="1">IF(Values_Entered,Header_Row+Number_of_Payments,Header_Row)</definedName>
    <definedName name="Last_Row" localSheetId="8" hidden="1">IF(Values_Entered,Header_Row+Number_of_Payments,Header_Row)</definedName>
    <definedName name="Last_Row" localSheetId="11" hidden="1">IF(Values_Entered,Header_Row+Number_of_Payments,Header_Row)</definedName>
    <definedName name="Last_Row" localSheetId="16" hidden="1">IF(Values_Entered,Header_Row+Number_of_Payments,Header_Row)</definedName>
    <definedName name="Last_Row" hidden="1">IF(Values_Entered,Header_Row+Number_of_Payments,Header_Row)</definedName>
    <definedName name="LastCol" localSheetId="10">MATCH(REPT("z",255),#REF!)</definedName>
    <definedName name="LastCol">MATCH(REPT("z",255),#REF!)</definedName>
    <definedName name="LastEndDate" localSheetId="10" hidden="1">#REF!</definedName>
    <definedName name="LastEndDate" hidden="1">#REF!</definedName>
    <definedName name="LastRow" localSheetId="10">MATCH(9.99E+307,#REF!)</definedName>
    <definedName name="LastRow">MATCH(9.99E+307,#REF!)</definedName>
    <definedName name="LastStartDate" localSheetId="10" hidden="1">#REF!</definedName>
    <definedName name="LastStartDate" hidden="1">#REF!</definedName>
    <definedName name="Law_Account" localSheetId="10" hidden="1">#REF!</definedName>
    <definedName name="Law_Account" hidden="1">#REF!</definedName>
    <definedName name="Law_Accounting_Unit" hidden="1">#REF!</definedName>
    <definedName name="Law_Company" hidden="1">#REF!</definedName>
    <definedName name="LBO" localSheetId="10">{#N/A,#N/A,FALSE,"Summary";#N/A,#N/A,FALSE,"Projections";#N/A,#N/A,FALSE,"Mkt Mults";#N/A,#N/A,FALSE,"DCF";#N/A,#N/A,FALSE,"Accr Dil";#N/A,#N/A,FALSE,"PIC LBO";#N/A,#N/A,FALSE,"MULT10_4";#N/A,#N/A,FALSE,"CBI LBO"}</definedName>
    <definedName name="LBO">{#N/A,#N/A,FALSE,"Summary";#N/A,#N/A,FALSE,"Projections";#N/A,#N/A,FALSE,"Mkt Mults";#N/A,#N/A,FALSE,"DCF";#N/A,#N/A,FALSE,"Accr Dil";#N/A,#N/A,FALSE,"PIC LBO";#N/A,#N/A,FALSE,"MULT10_4";#N/A,#N/A,FALSE,"CBI LBO"}</definedName>
    <definedName name="LBO_1" localSheetId="10" hidden="1">{#N/A,#N/A,FALSE,"Summary";#N/A,#N/A,FALSE,"Projections";#N/A,#N/A,FALSE,"Mkt Mults";#N/A,#N/A,FALSE,"DCF";#N/A,#N/A,FALSE,"Accr Dil";#N/A,#N/A,FALSE,"PIC LBO";#N/A,#N/A,FALSE,"MULT10_4";#N/A,#N/A,FALSE,"CBI LBO"}</definedName>
    <definedName name="LBO_1" hidden="1">{#N/A,#N/A,FALSE,"Summary";#N/A,#N/A,FALSE,"Projections";#N/A,#N/A,FALSE,"Mkt Mults";#N/A,#N/A,FALSE,"DCF";#N/A,#N/A,FALSE,"Accr Dil";#N/A,#N/A,FALSE,"PIC LBO";#N/A,#N/A,FALSE,"MULT10_4";#N/A,#N/A,FALSE,"CBI LBO"}</definedName>
    <definedName name="LBOCreditConsol" localSheetId="10" hidden="1">{"FCB_ALL",#N/A,FALSE,"FCB"}</definedName>
    <definedName name="LBOCreditConsol" hidden="1">{"FCB_ALL",#N/A,FALSE,"FCB"}</definedName>
    <definedName name="ldkeir" localSheetId="10" hidden="1">{#N/A,"PURCHM",FALSE,"Business Analysis";#N/A,"SPADD",FALSE,"Business Analysis"}</definedName>
    <definedName name="ldkeir" hidden="1">{#N/A,"PURCHM",FALSE,"Business Analysis";#N/A,"SPADD",FALSE,"Business Analysis"}</definedName>
    <definedName name="ldkg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dkg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ead" localSheetId="10" hidden="1">{#N/A,#N/A,FALSE,"Aging Summary";#N/A,#N/A,FALSE,"Ratio Analysis";#N/A,#N/A,FALSE,"Test 120 Day Accts";#N/A,#N/A,FALSE,"Tickmarks"}</definedName>
    <definedName name="Lead" hidden="1">{#N/A,#N/A,FALSE,"Aging Summary";#N/A,#N/A,FALSE,"Ratio Analysis";#N/A,#N/A,FALSE,"Test 120 Day Accts";#N/A,#N/A,FALSE,"Tickmarks"}</definedName>
    <definedName name="lease" localSheetId="10" hidden="1">{#N/A,#N/A,FALSE,"HMF";#N/A,#N/A,FALSE,"FACIL";#N/A,#N/A,FALSE,"HMFINANCE";#N/A,#N/A,FALSE,"HMEUROPE";#N/A,#N/A,FALSE,"HHAB CONSO";#N/A,#N/A,FALSE,"PAB";#N/A,#N/A,FALSE,"MMC";#N/A,#N/A,FALSE,"THAI";#N/A,#N/A,FALSE,"SINPA";#N/A,#N/A,FALSE,"POLAND"}</definedName>
    <definedName name="lease" localSheetId="15" hidden="1">{#N/A,#N/A,FALSE,"HMF";#N/A,#N/A,FALSE,"FACIL";#N/A,#N/A,FALSE,"HMFINANCE";#N/A,#N/A,FALSE,"HMEUROPE";#N/A,#N/A,FALSE,"HHAB CONSO";#N/A,#N/A,FALSE,"PAB";#N/A,#N/A,FALSE,"MMC";#N/A,#N/A,FALSE,"THAI";#N/A,#N/A,FALSE,"SINPA";#N/A,#N/A,FALSE,"POLAND"}</definedName>
    <definedName name="lease" hidden="1">{#N/A,#N/A,FALSE,"HMF";#N/A,#N/A,FALSE,"FACIL";#N/A,#N/A,FALSE,"HMFINANCE";#N/A,#N/A,FALSE,"HMEUROPE";#N/A,#N/A,FALSE,"HHAB CONSO";#N/A,#N/A,FALSE,"PAB";#N/A,#N/A,FALSE,"MMC";#N/A,#N/A,FALSE,"THAI";#N/A,#N/A,FALSE,"SINPA";#N/A,#N/A,FALSE,"POLAND"}</definedName>
    <definedName name="Lease_Equipment">#REF!</definedName>
    <definedName name="Leasehold">#REF!</definedName>
    <definedName name="Ledger_Entry" localSheetId="10">#REF!</definedName>
    <definedName name="Ledger_Entry">#REF!</definedName>
    <definedName name="Ledger_Replacement">#REF!</definedName>
    <definedName name="lee" localSheetId="10">{#N/A,#N/A,FALSE,"Pharm";#N/A,#N/A,FALSE,"WWCM"}</definedName>
    <definedName name="lee">{#N/A,#N/A,FALSE,"Pharm";#N/A,#N/A,FALSE,"WWCM"}</definedName>
    <definedName name="Legal_and_Acct">#REF!</definedName>
    <definedName name="lem"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m"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nderName" localSheetId="10">#REF!</definedName>
    <definedName name="LenderName">#REF!</definedName>
    <definedName name="Level" localSheetId="10">#REF!</definedName>
    <definedName name="Level">#REF!</definedName>
    <definedName name="lewi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ewis"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fj" localSheetId="10" hidden="1">{#N/A,#N/A,FALSE,"TABLE_1 YTD";#N/A,#N/A,FALSE,"TABLE_1A QTD";#N/A,#N/A,FALSE,"NORMAL_SPREAD_QTD";#N/A,#N/A,FALSE,"NORMAL_SPREAD_YTD";#N/A,#N/A,FALSE,"TAX_EQV";#N/A,#N/A,FALSE,"TAX EQUIV_INPUT";#N/A,#N/A,FALSE,"NET FROM FER";#N/A,#N/A,FALSE,"COVER"}</definedName>
    <definedName name="lfj" localSheetId="15"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hjlkjlhklhljl" localSheetId="10"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 localSheetId="10" hidden="1">{"Results Worksheets",#N/A,FALSE,"RESULTS"}</definedName>
    <definedName name="li" hidden="1">{"Results Worksheets",#N/A,FALSE,"RESULTS"}</definedName>
    <definedName name="Liabilities" localSheetId="10">#REF!</definedName>
    <definedName name="Liabilities">#REF!</definedName>
    <definedName name="lih" localSheetId="10" hidden="1">{"NOPCAPEVA",#N/A,FALSE,"Nopat";"FCFCSTAR",#N/A,FALSE,"FCFVAL";"EVAVL",#N/A,FALSE,"EVAVAL";"LEASE",#N/A,FALSE,"OpLease"}</definedName>
    <definedName name="lih" hidden="1">{"NOPCAPEVA",#N/A,FALSE,"Nopat";"FCFCSTAR",#N/A,FALSE,"FCFVAL";"EVAVL",#N/A,FALSE,"EVAVAL";"LEASE",#N/A,FALSE,"OpLease"}</definedName>
    <definedName name="lii" localSheetId="10" hidden="1">{"Results Worksheets",#N/A,FALSE,"RESULTS"}</definedName>
    <definedName name="lii" hidden="1">{"Results Worksheets",#N/A,FALSE,"RESULTS"}</definedName>
    <definedName name="limcount" hidden="1">1</definedName>
    <definedName name="limey" localSheetId="10" hidden="1">{#N/A,#N/A,FALSE,"Calc";#N/A,#N/A,FALSE,"Sensitivity";#N/A,#N/A,FALSE,"LT Earn.Dil.";#N/A,#N/A,FALSE,"Dil. AVP"}</definedName>
    <definedName name="limey" localSheetId="15" hidden="1">{#N/A,#N/A,FALSE,"Calc";#N/A,#N/A,FALSE,"Sensitivity";#N/A,#N/A,FALSE,"LT Earn.Dil.";#N/A,#N/A,FALSE,"Dil. AVP"}</definedName>
    <definedName name="limey" hidden="1">{#N/A,#N/A,FALSE,"Calc";#N/A,#N/A,FALSE,"Sensitivity";#N/A,#N/A,FALSE,"LT Earn.Dil.";#N/A,#N/A,FALSE,"Dil. AVP"}</definedName>
    <definedName name="linda" localSheetId="10" hidden="1">{"12mois",#N/A,FALSE,"Income Statement";"12moopexp",#N/A,FALSE,"Operating Expenses";"12mobs",#N/A,FALSE,"Balance Sheet";"12mocashflow",#N/A,FALSE,"Statement of Cash Flows";"perfmeas",#N/A,FALSE,"Financial Perf Measures"}</definedName>
    <definedName name="linda" hidden="1">{"12mois",#N/A,FALSE,"Income Statement";"12moopexp",#N/A,FALSE,"Operating Expenses";"12mobs",#N/A,FALSE,"Balance Sheet";"12mocashflow",#N/A,FALSE,"Statement of Cash Flows";"perfmeas",#N/A,FALSE,"Financial Perf Measures"}</definedName>
    <definedName name="lio"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io"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liollioll" hidden="1">#REF!</definedName>
    <definedName name="Liscense_and_pemit">#REF!</definedName>
    <definedName name="List_1" localSheetId="10">#REF!</definedName>
    <definedName name="List_1">#REF!</definedName>
    <definedName name="list_range">#REF!</definedName>
    <definedName name="list_rank">#REF!</definedName>
    <definedName name="listmonth2">#REF!</definedName>
    <definedName name="ListOffset" hidden="1">1</definedName>
    <definedName name="lj"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10"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 localSheetId="10" hidden="1">{"bs",#N/A,FALSE,"SCF"}</definedName>
    <definedName name="lk" hidden="1">{"bs",#N/A,FALSE,"SCF"}</definedName>
    <definedName name="lkasfjd" localSheetId="10" hidden="1">{"bs",#N/A,FALSE,"SCF"}</definedName>
    <definedName name="lkasfjd" hidden="1">{"bs",#N/A,FALSE,"SCF"}</definedName>
    <definedName name="lkeuoi" localSheetId="10" hidden="1">{"Vol Qtr 1",#N/A,TRUE,"Wk-CV";"Vol Qtr 2",#N/A,TRUE,"Wk-CV";"Vol Qtr 3",#N/A,TRUE,"Wk-CV";"Vol Qtr 4",#N/A,TRUE,"Wk-CV"}</definedName>
    <definedName name="lkeuoi" hidden="1">{"Vol Qtr 1",#N/A,TRUE,"Wk-CV";"Vol Qtr 2",#N/A,TRUE,"Wk-CV";"Vol Qtr 3",#N/A,TRUE,"Wk-CV";"Vol Qtr 4",#N/A,TRUE,"Wk-CV"}</definedName>
    <definedName name="lkj" localSheetId="10" hidden="1">#REF!</definedName>
    <definedName name="lkj" localSheetId="9" hidden="1">#REF!</definedName>
    <definedName name="lkj" localSheetId="8" hidden="1">#REF!</definedName>
    <definedName name="lkj" localSheetId="16" hidden="1">#REF!</definedName>
    <definedName name="lkj" hidden="1">#REF!</definedName>
    <definedName name="lkjadoifj" localSheetId="10">{#N/A,#N/A,TRUE,"Notes";#N/A,#N/A,TRUE,"Cap Struct";#N/A,#N/A,TRUE,"OBS";#N/A,#N/A,TRUE,"bal Sheet";#N/A,#N/A,TRUE,"Inc stmt";#N/A,#N/A,TRUE,"csh flw";#N/A,#N/A,TRUE,"debt";#N/A,#N/A,TRUE,"detail 96,97";#N/A,#N/A,TRUE,"Covenants"}</definedName>
    <definedName name="lkjadoifj">{#N/A,#N/A,TRUE,"Notes";#N/A,#N/A,TRUE,"Cap Struct";#N/A,#N/A,TRUE,"OBS";#N/A,#N/A,TRUE,"bal Sheet";#N/A,#N/A,TRUE,"Inc stmt";#N/A,#N/A,TRUE,"csh flw";#N/A,#N/A,TRUE,"debt";#N/A,#N/A,TRUE,"detail 96,97";#N/A,#N/A,TRUE,"Covenants"}</definedName>
    <definedName name="lkjlkj" localSheetId="10" hidden="1">{"Final",#N/A,FALSE,"Feb-96"}</definedName>
    <definedName name="lkjlkj" localSheetId="15" hidden="1">{"Final",#N/A,FALSE,"Feb-96"}</definedName>
    <definedName name="lkjlkj" hidden="1">{"Final",#N/A,FALSE,"Feb-96"}</definedName>
    <definedName name="lkl" localSheetId="10"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10"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localSheetId="10" hidden="1">{"consolidated",#N/A,FALSE,"Sheet1";"cms",#N/A,FALSE,"Sheet1";"fse",#N/A,FALSE,"Sheet1"}</definedName>
    <definedName name="lklkl" localSheetId="15" hidden="1">{"consolidated",#N/A,FALSE,"Sheet1";"cms",#N/A,FALSE,"Sheet1";"fse",#N/A,FALSE,"Sheet1"}</definedName>
    <definedName name="lklkl" hidden="1">{"consolidated",#N/A,FALSE,"Sheet1";"cms",#N/A,FALSE,"Sheet1";"fse",#N/A,FALSE,"Sheet1"}</definedName>
    <definedName name="lkmn" localSheetId="10"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10"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 localSheetId="10" hidden="1">{#N/A,#N/A,FALSE,"PL-FS";#N/A,#N/A,FALSE,"PL"}</definedName>
    <definedName name="ll" localSheetId="15" hidden="1">{#N/A,#N/A,FALSE,"PL-FS";#N/A,#N/A,FALSE,"PL"}</definedName>
    <definedName name="ll" hidden="1">{#N/A,#N/A,FALSE,"PL-FS";#N/A,#N/A,FALSE,"PL"}</definedName>
    <definedName name="ll.l" localSheetId="10"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_1"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_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c.Info" localSheetId="10">{#N/A,#N/A,FALSE,"Income";#N/A,#N/A,FALSE,"Cost of Goods Sold";#N/A,#N/A,FALSE,"Other Costs";#N/A,#N/A,FALSE,"Other Income";#N/A,#N/A,FALSE,"Taxes";#N/A,#N/A,FALSE,"Other Deductions";#N/A,#N/A,FALSE,"Compensation of Officers"}</definedName>
    <definedName name="llc.Info">{#N/A,#N/A,FALSE,"Income";#N/A,#N/A,FALSE,"Cost of Goods Sold";#N/A,#N/A,FALSE,"Other Costs";#N/A,#N/A,FALSE,"Other Income";#N/A,#N/A,FALSE,"Taxes";#N/A,#N/A,FALSE,"Other Deductions";#N/A,#N/A,FALSE,"Compensation of Officers"}</definedName>
    <definedName name="LLCP" localSheetId="10" hidden="1">{"PAGE1",#N/A,FALSE,"BID (3)";"PAGE2",#N/A,FALSE,"BID (3)"}</definedName>
    <definedName name="LLCP" hidden="1">{"PAGE1",#N/A,FALSE,"BID (3)";"PAGE2",#N/A,FALSE,"BID (3)"}</definedName>
    <definedName name="llcp3" localSheetId="10" hidden="1">{"PAGE1",#N/A,FALSE,"BID (3)";"PAGE2",#N/A,FALSE,"BID (3)"}</definedName>
    <definedName name="llcp3" hidden="1">{"PAGE1",#N/A,FALSE,"BID (3)";"PAGE2",#N/A,FALSE,"BID (3)"}</definedName>
    <definedName name="LLCP6" localSheetId="10" hidden="1">{"PAGE1",#N/A,FALSE,"BID (3)";"PAGE2",#N/A,FALSE,"BID (3)"}</definedName>
    <definedName name="LLCP6" hidden="1">{"PAGE1",#N/A,FALSE,"BID (3)";"PAGE2",#N/A,FALSE,"BID (3)"}</definedName>
    <definedName name="LLCP8" localSheetId="10" hidden="1">{"PAGE1",#N/A,FALSE,"BID (3)";"PAGE2",#N/A,FALSE,"BID (3)"}</definedName>
    <definedName name="LLCP8" hidden="1">{"PAGE1",#N/A,FALSE,"BID (3)";"PAGE2",#N/A,FALSE,"BID (3)"}</definedName>
    <definedName name="LLCPCS" localSheetId="10" hidden="1">{"PAGE1",#N/A,FALSE,"BID (3)";"PAGE2",#N/A,FALSE,"BID (3)"}</definedName>
    <definedName name="LLCPCS" hidden="1">{"PAGE1",#N/A,FALSE,"BID (3)";"PAGE2",#N/A,FALSE,"BID (3)"}</definedName>
    <definedName name="LLCPCS1" localSheetId="10" hidden="1">{"PAGE1",#N/A,FALSE,"BID (3)";"PAGE2",#N/A,FALSE,"BID (3)"}</definedName>
    <definedName name="LLCPCS1" hidden="1">{"PAGE1",#N/A,FALSE,"BID (3)";"PAGE2",#N/A,FALSE,"BID (3)"}</definedName>
    <definedName name="LLCPCS9" localSheetId="10" hidden="1">{"PAGE1",#N/A,FALSE,"BID (3)";"PAGE2",#N/A,FALSE,"BID (3)"}</definedName>
    <definedName name="LLCPCS9" hidden="1">{"PAGE1",#N/A,FALSE,"BID (3)";"PAGE2",#N/A,FALSE,"BID (3)"}</definedName>
    <definedName name="LLCPISI9" localSheetId="10" hidden="1">{"PAGE1",#N/A,FALSE,"BID (3)";"PAGE2",#N/A,FALSE,"BID (3)"}</definedName>
    <definedName name="LLCPISI9" hidden="1">{"PAGE1",#N/A,FALSE,"BID (3)";"PAGE2",#N/A,FALSE,"BID (3)"}</definedName>
    <definedName name="llk" localSheetId="10" hidden="1">{"pro_view",#N/A,FALSE,"EEFSNAP2";"rep_view",#N/A,FALSE,"EEFSNAP2"}</definedName>
    <definedName name="llk" hidden="1">{"pro_view",#N/A,FALSE,"EEFSNAP2";"rep_view",#N/A,FALSE,"EEFSNAP2"}</definedName>
    <definedName name="LLL" localSheetId="10" hidden="1">{#N/A,#N/A,FALSE,"ACQ_GRAPHS";#N/A,#N/A,FALSE,"T_1 GRAPHS";#N/A,#N/A,FALSE,"T_2 GRAPHS";#N/A,#N/A,FALSE,"COMB_GRAPHS"}</definedName>
    <definedName name="LLL" localSheetId="15" hidden="1">{#N/A,#N/A,FALSE,"ACQ_GRAPHS";#N/A,#N/A,FALSE,"T_1 GRAPHS";#N/A,#N/A,FALSE,"T_2 GRAPHS";#N/A,#N/A,FALSE,"COMB_GRAPHS"}</definedName>
    <definedName name="LLL" hidden="1">{#N/A,#N/A,FALSE,"ACQ_GRAPHS";#N/A,#N/A,FALSE,"T_1 GRAPHS";#N/A,#N/A,FALSE,"T_2 GRAPHS";#N/A,#N/A,FALSE,"COMB_GRAPHS"}</definedName>
    <definedName name="lll_1" localSheetId="10" hidden="1">{#N/A,#N/A,FALSE,"Summary";#N/A,#N/A,FALSE,"proj1";#N/A,#N/A,FALSE,"proj2"}</definedName>
    <definedName name="lll_1" hidden="1">{#N/A,#N/A,FALSE,"Summary";#N/A,#N/A,FALSE,"proj1";#N/A,#N/A,FALSE,"proj2"}</definedName>
    <definedName name="llllll" localSheetId="10" hidden="1">{"detail",#N/A,FALSE,"mfg";"summary",#N/A,FALSE,"mfg"}</definedName>
    <definedName name="llllll" hidden="1">{"detail",#N/A,FALSE,"mfg";"summary",#N/A,FALSE,"mfg"}</definedName>
    <definedName name="llllllllllllllllll"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 localSheetId="10" hidden="1">{"YD LPH2",#N/A,FALSE,"YTD"}</definedName>
    <definedName name="llp" hidden="1">{"YD LPH2",#N/A,FALSE,"YTD"}</definedName>
    <definedName name="lñ" localSheetId="10"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CoName" localSheetId="10" hidden="1">#REF!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oa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a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adOSAddIn">#REF!</definedName>
    <definedName name="Loan_Amount">#REF!</definedName>
    <definedName name="Loan_Start">#REF!</definedName>
    <definedName name="Loan_Years">#REF!</definedName>
    <definedName name="LoanAmount">#REF!</definedName>
    <definedName name="LoanIsGood">(#REF!*#REF!*#REF!*#REF!)&gt;0</definedName>
    <definedName name="LoanPeriod">#REF!</definedName>
    <definedName name="LoanStartDate">#REF!</definedName>
    <definedName name="Loc">#REF!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1"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0">#REF!</definedName>
    <definedName name="Location">#REF!</definedName>
    <definedName name="Locations">#REF!</definedName>
    <definedName name="Locator">#REF!</definedName>
    <definedName name="LOI" localSheetId="10" hidden="1">{#N/A,#N/A,FALSE,"TABLE_1 YTD";#N/A,#N/A,FALSE,"TABLE_1A QTD";#N/A,#N/A,FALSE,"NORMAL_SPREAD_QTD";#N/A,#N/A,FALSE,"NORMAL_SPREAD_YTD";#N/A,#N/A,FALSE,"TAX_EQV";#N/A,#N/A,FALSE,"TAX EQUIV_INPUT";#N/A,#N/A,FALSE,"NET FROM FER";#N/A,#N/A,FALSE,"COVER"}</definedName>
    <definedName name="LOI" localSheetId="15" hidden="1">{#N/A,#N/A,FALSE,"TABLE_1 YTD";#N/A,#N/A,FALSE,"TABLE_1A QTD";#N/A,#N/A,FALSE,"NORMAL_SPREAD_QTD";#N/A,#N/A,FALSE,"NORMAL_SPREAD_YTD";#N/A,#N/A,FALSE,"TAX_EQV";#N/A,#N/A,FALSE,"TAX EQUIV_INPUT";#N/A,#N/A,FALSE,"NET FROM FER";#N/A,#N/A,FALSE,"COVER"}</definedName>
    <definedName name="LOI" hidden="1">{#N/A,#N/A,FALSE,"TABLE_1 YTD";#N/A,#N/A,FALSE,"TABLE_1A QTD";#N/A,#N/A,FALSE,"NORMAL_SPREAD_QTD";#N/A,#N/A,FALSE,"NORMAL_SPREAD_YTD";#N/A,#N/A,FALSE,"TAX_EQV";#N/A,#N/A,FALSE,"TAX EQUIV_INPUT";#N/A,#N/A,FALSE,"NET FROM FER";#N/A,#N/A,FALSE,"COVER"}</definedName>
    <definedName name="lois" localSheetId="10" hidden="1">{"'Actual'!$A$1:$F$25"}</definedName>
    <definedName name="lois" hidden="1">{"'Actual'!$A$1:$F$25"}</definedName>
    <definedName name="LOis_Greg" localSheetId="10" hidden="1">{"'Actual'!$A$1:$F$25"}</definedName>
    <definedName name="LOis_Greg" hidden="1">{"'Actual'!$A$1:$F$25"}</definedName>
    <definedName name="loiuy" localSheetId="10" hidden="1">{"AnnInc",#N/A,TRUE,"Inc";"QtrInc1",#N/A,TRUE,"Inc";"Balance",#N/A,TRUE,"Bal";"Cflow",#N/A,TRUE,"Cash"}</definedName>
    <definedName name="loiuy" hidden="1">{"AnnInc",#N/A,TRUE,"Inc";"QtrInc1",#N/A,TRUE,"Inc";"Balance",#N/A,TRUE,"Bal";"Cflow",#N/A,TRUE,"Cash"}</definedName>
    <definedName name="look"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1Area" localSheetId="10">#REF!</definedName>
    <definedName name="Look1Area">#REF!</definedName>
    <definedName name="Look2Area" localSheetId="10">#REF!</definedName>
    <definedName name="Look2Area">#REF!</definedName>
    <definedName name="Look3Area" localSheetId="10">#REF!</definedName>
    <definedName name="Look3Area">#REF!</definedName>
    <definedName name="Look4Area">#REF!</definedName>
    <definedName name="Look5Area">#REF!</definedName>
    <definedName name="Lookup_Formulae2">#REF!</definedName>
    <definedName name="lookup_report_name" hidden="1">#REF!</definedName>
    <definedName name="looo"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oo"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p" localSheetId="10" hidden="1">{#N/A,#N/A,FALSE,"Title";#N/A,#N/A,FALSE,"Index";#N/A,#N/A,FALSE,"1";#N/A,#N/A,FALSE,"2";#N/A,#N/A,FALSE,"3";#N/A,#N/A,FALSE,"4";#N/A,#N/A,FALSE,"5";#N/A,#N/A,FALSE,"6";#N/A,#N/A,FALSE,"7";#N/A,#N/A,FALSE,"8"}</definedName>
    <definedName name="lop" hidden="1">{#N/A,#N/A,FALSE,"Title";#N/A,#N/A,FALSE,"Index";#N/A,#N/A,FALSE,"1";#N/A,#N/A,FALSE,"2";#N/A,#N/A,FALSE,"3";#N/A,#N/A,FALSE,"4";#N/A,#N/A,FALSE,"5";#N/A,#N/A,FALSE,"6";#N/A,#N/A,FALSE,"7";#N/A,#N/A,FALSE,"8"}</definedName>
    <definedName name="lop_1" localSheetId="10" hidden="1">{#N/A,#N/A,FALSE,"Title";#N/A,#N/A,FALSE,"Index";#N/A,#N/A,FALSE,"1";#N/A,#N/A,FALSE,"2";#N/A,#N/A,FALSE,"3";#N/A,#N/A,FALSE,"4";#N/A,#N/A,FALSE,"5";#N/A,#N/A,FALSE,"6";#N/A,#N/A,FALSE,"7";#N/A,#N/A,FALSE,"8"}</definedName>
    <definedName name="lop_1" hidden="1">{#N/A,#N/A,FALSE,"Title";#N/A,#N/A,FALSE,"Index";#N/A,#N/A,FALSE,"1";#N/A,#N/A,FALSE,"2";#N/A,#N/A,FALSE,"3";#N/A,#N/A,FALSE,"4";#N/A,#N/A,FALSE,"5";#N/A,#N/A,FALSE,"6";#N/A,#N/A,FALSE,"7";#N/A,#N/A,FALSE,"8"}</definedName>
    <definedName name="lou" localSheetId="10" hidden="1">{"AnnInc",#N/A,TRUE,"Inc";"QtrInc1",#N/A,TRUE,"Inc";"Balance",#N/A,TRUE,"Bal";"Cflow",#N/A,TRUE,"Cash"}</definedName>
    <definedName name="lou" hidden="1">{"AnnInc",#N/A,TRUE,"Inc";"QtrInc1",#N/A,TRUE,"Inc";"Balance",#N/A,TRUE,"Bal";"Cflow",#N/A,TRUE,"Cash"}</definedName>
    <definedName name="loui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ui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Low_Threshold" hidden="1">#REF!</definedName>
    <definedName name="LowerBoundColumn" localSheetId="10">#REF!</definedName>
    <definedName name="LowerBoundColumn">#REF!</definedName>
    <definedName name="LP" localSheetId="10">#REF!</definedName>
    <definedName name="LP">#REF!</definedName>
    <definedName name="lpok" localSheetId="10"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TM_ADJ_Net_Revenue" localSheetId="10">#REF!</definedName>
    <definedName name="LTM_ADJ_Net_Revenue">#REF!</definedName>
    <definedName name="LTM_Net_Revenue" localSheetId="10">#REF!</definedName>
    <definedName name="LTM_Net_Revenue">#REF!</definedName>
    <definedName name="LTMPeriod" localSheetId="10">#REF!</definedName>
    <definedName name="LTMPeriod">#REF!</definedName>
    <definedName name="lucy" localSheetId="10" hidden="1">{"Vol Qtr 1",#N/A,TRUE,"Wk-CV";"Vol Qtr 2",#N/A,TRUE,"Wk-CV";"Vol Qtr 3",#N/A,TRUE,"Wk-CV";"Vol Qtr 4",#N/A,TRUE,"Wk-CV"}</definedName>
    <definedName name="lucy" hidden="1">{"Vol Qtr 1",#N/A,TRUE,"Wk-CV";"Vol Qtr 2",#N/A,TRUE,"Wk-CV";"Vol Qtr 3",#N/A,TRUE,"Wk-CV";"Vol Qtr 4",#N/A,TRUE,"Wk-CV"}</definedName>
    <definedName name="Lws_FormVersion_7.0" hidden="1">#REF!</definedName>
    <definedName name="Lws_SSFileType_Columns" hidden="1">#REF!</definedName>
    <definedName name="Lws_SSType_Columns" hidden="1">#REF!</definedName>
    <definedName name="LYear">#REF!</definedName>
    <definedName name="LYN">#REF!</definedName>
    <definedName name="m" localSheetId="10" hidden="1">{#N/A,#N/A,FALSE,"COVER";#N/A,#N/A,FALSE,"Index";#N/A,#N/A,FALSE,"Non-Earning";#N/A,#N/A,FALSE,"Commercial";#N/A,#N/A,FALSE,"Detailed"}</definedName>
    <definedName name="m" localSheetId="15" hidden="1">{#N/A,#N/A,FALSE,"COVER";#N/A,#N/A,FALSE,"Index";#N/A,#N/A,FALSE,"Non-Earning";#N/A,#N/A,FALSE,"Commercial";#N/A,#N/A,FALSE,"Detailed"}</definedName>
    <definedName name="m" hidden="1">{#N/A,#N/A,FALSE,"COVER";#N/A,#N/A,FALSE,"Index";#N/A,#N/A,FALSE,"Non-Earning";#N/A,#N/A,FALSE,"Commercial";#N/A,#N/A,FALSE,"Detailed"}</definedName>
    <definedName name="M_A" localSheetId="10" hidden="1">{#N/A,#N/A,FALSE,"Rev Grwth";#N/A,#N/A,FALSE,"Op Inc Grwth";#N/A,#N/A,FALSE,"Net Grwth";#N/A,#N/A,FALSE,"EPS Growth"}</definedName>
    <definedName name="M_A" hidden="1">{#N/A,#N/A,FALSE,"Rev Grwth";#N/A,#N/A,FALSE,"Op Inc Grwth";#N/A,#N/A,FALSE,"Net Grwth";#N/A,#N/A,FALSE,"EPS Growth"}</definedName>
    <definedName name="M_PlaceofPath" hidden="1">"H:\win\EXL\CO\GWW\gww_vdf.xls"</definedName>
    <definedName name="Macro1" localSheetId="10">#REF!</definedName>
    <definedName name="Macro1">#REF!</definedName>
    <definedName name="Macro2" localSheetId="10">#REF!</definedName>
    <definedName name="Macro2">#REF!</definedName>
    <definedName name="macro98" localSheetId="10">#REF!</definedName>
    <definedName name="macro98">#REF!</definedName>
    <definedName name="macro99">#REF!</definedName>
    <definedName name="MacroX">#REF!</definedName>
    <definedName name="MacroXa">#REF!</definedName>
    <definedName name="MacroY">#REF!</definedName>
    <definedName name="MAGGY" localSheetId="10" hidden="1">{#N/A,#N/A,FALSE,"COP CONS SK";#N/A,#N/A,FALSE,"COP CONS RG";#N/A,#N/A,FALSE,"COP CONS SK BC";#N/A,#N/A,FALSE,"COP CONS RG BC";#N/A,#N/A,FALSE,"ALLIANCE SK";#N/A,#N/A,FALSE,"ALLIANCE RG";#N/A,#N/A,FALSE,"CPC SK";#N/A,#N/A,FALSE,"CPC RG"}</definedName>
    <definedName name="MAGGY" hidden="1">{#N/A,#N/A,FALSE,"COP CONS SK";#N/A,#N/A,FALSE,"COP CONS RG";#N/A,#N/A,FALSE,"COP CONS SK BC";#N/A,#N/A,FALSE,"COP CONS RG BC";#N/A,#N/A,FALSE,"ALLIANCE SK";#N/A,#N/A,FALSE,"ALLIANCE RG";#N/A,#N/A,FALSE,"CPC SK";#N/A,#N/A,FALSE,"CPC RG"}</definedName>
    <definedName name="Magix_Sales___JFM_2001">#REF!</definedName>
    <definedName name="Maint___Repair">#REF!</definedName>
    <definedName name="maji" localSheetId="10" hidden="1">{"detail",#N/A,FALSE,"mfg";"summary",#N/A,FALSE,"mfg"}</definedName>
    <definedName name="maji" hidden="1">{"detail",#N/A,FALSE,"mfg";"summary",#N/A,FALSE,"mfg"}</definedName>
    <definedName name="Major_major_parts">#REF!</definedName>
    <definedName name="major_parts_cost">#REF!</definedName>
    <definedName name="man" localSheetId="10" hidden="1">{"bs",#N/A,FALSE,"SCF"}</definedName>
    <definedName name="man" hidden="1">{"bs",#N/A,FALSE,"SCF"}</definedName>
    <definedName name="mans" localSheetId="10" hidden="1">{"quarterly",#N/A,FALSE,"Income Statement";#N/A,#N/A,FALSE,"print segment";#N/A,#N/A,FALSE,"Balance Sheet";#N/A,#N/A,FALSE,"Annl Inc";#N/A,#N/A,FALSE,"Cash Flow"}</definedName>
    <definedName name="mans" hidden="1">{"quarterly",#N/A,FALSE,"Income Statement";#N/A,#N/A,FALSE,"print segment";#N/A,#N/A,FALSE,"Balance Sheet";#N/A,#N/A,FALSE,"Annl Inc";#N/A,#N/A,FALSE,"Cash Flow"}</definedName>
    <definedName name="Mar00" localSheetId="10" hidden="1">{"Statement of Income",#N/A,TRUE,"Mar99";"Balance Sheet",#N/A,TRUE,"Mar99"}</definedName>
    <definedName name="Mar00" localSheetId="15" hidden="1">{"Statement of Income",#N/A,TRUE,"Mar99";"Balance Sheet",#N/A,TRUE,"Mar99"}</definedName>
    <definedName name="Mar00" hidden="1">{"Statement of Income",#N/A,TRUE,"Mar99";"Balance Sheet",#N/A,TRUE,"Mar99"}</definedName>
    <definedName name="Mar00TB" localSheetId="10" hidden="1">{"Statement of Income",#N/A,TRUE,"Mar99";"Balance Sheet",#N/A,TRUE,"Mar99"}</definedName>
    <definedName name="Mar00TB" localSheetId="15" hidden="1">{"Statement of Income",#N/A,TRUE,"Mar99";"Balance Sheet",#N/A,TRUE,"Mar99"}</definedName>
    <definedName name="Mar00TB" hidden="1">{"Statement of Income",#N/A,TRUE,"Mar99";"Balance Sheet",#N/A,TRUE,"Mar99"}</definedName>
    <definedName name="mar00tb1" localSheetId="10" hidden="1">{"Statement of Income",#N/A,TRUE,"Mar99";"Balance Sheet",#N/A,TRUE,"Mar99"}</definedName>
    <definedName name="mar00tb1" localSheetId="15" hidden="1">{"Statement of Income",#N/A,TRUE,"Mar99";"Balance Sheet",#N/A,TRUE,"Mar99"}</definedName>
    <definedName name="mar00tb1" hidden="1">{"Statement of Income",#N/A,TRUE,"Mar99";"Balance Sheet",#N/A,TRUE,"Mar99"}</definedName>
    <definedName name="Margin" localSheetId="10">#REF!</definedName>
    <definedName name="Margin">#REF!</definedName>
    <definedName name="Margin_Profile_Range_X" localSheetId="10">#REF!</definedName>
    <definedName name="Margin_Profile_Range_X">#REF!</definedName>
    <definedName name="Margin_Profile_Range_Y" localSheetId="10">#REF!</definedName>
    <definedName name="Margin_Profile_Range_Y">#REF!</definedName>
    <definedName name="Margin_Profile_Values">#REF!</definedName>
    <definedName name="MarginList">#REF!</definedName>
    <definedName name="Market" localSheetId="10" hidden="1">{"closed",#N/A,FALSE,"Consolidated Products - Budget";"expanded",#N/A,FALSE,"Consolidated Products - Budget"}</definedName>
    <definedName name="Market" hidden="1">{"closed",#N/A,FALSE,"Consolidated Products - Budget";"expanded",#N/A,FALSE,"Consolidated Products - Budget"}</definedName>
    <definedName name="Market_1" localSheetId="10" hidden="1">{"closed",#N/A,FALSE,"Consolidated Products - Budget";"expanded",#N/A,FALSE,"Consolidated Products - Budget"}</definedName>
    <definedName name="Market_1" hidden="1">{"closed",#N/A,FALSE,"Consolidated Products - Budget";"expanded",#N/A,FALSE,"Consolidated Products - Budget"}</definedName>
    <definedName name="mary" hidden="1">OFFSET(#REF!,1,0)</definedName>
    <definedName name="maryanne" hidden="1">OFFSET(#REF!,1,0)</definedName>
    <definedName name="mason?" localSheetId="10"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2" localSheetId="10"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localSheetId="10"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localSheetId="10"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localSheetId="10"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localSheetId="10"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ter">OFFSET(#REF!,0,0,COUNTA(#REF!),COUNTA(#REF!))</definedName>
    <definedName name="Material_Other">#REF!</definedName>
    <definedName name="Materials">#REF!</definedName>
    <definedName name="Materials___Overhead">#REF!</definedName>
    <definedName name="matrix"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localSheetId="15"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y" localSheetId="1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bc" localSheetId="10" hidden="1">{"NOPCAPEVA",#N/A,FALSE,"Nopat";"FCFCSTAR",#N/A,FALSE,"FCFVAL";"EVAVL",#N/A,FALSE,"EVAVAL";"LEASE",#N/A,FALSE,"OpLease"}</definedName>
    <definedName name="mbc" hidden="1">{"NOPCAPEVA",#N/A,FALSE,"Nopat";"FCFCSTAR",#N/A,FALSE,"FCFVAL";"EVAVL",#N/A,FALSE,"EVAVAL";"LEASE",#N/A,FALSE,"OpLease"}</definedName>
    <definedName name="mbvc" localSheetId="10" hidden="1">{"NOPCAPEVA",#N/A,FALSE,"Nopat";"FCFCSTAR",#N/A,FALSE,"FCFVAL";"EVAVL",#N/A,FALSE,"EVAVAL";"LEASE",#N/A,FALSE,"OpLease"}</definedName>
    <definedName name="mbvc" hidden="1">{"NOPCAPEVA",#N/A,FALSE,"Nopat";"FCFCSTAR",#N/A,FALSE,"FCFVAL";"EVAVL",#N/A,FALSE,"EVAVAL";"LEASE",#N/A,FALSE,"OpLease"}</definedName>
    <definedName name="mcd_points" localSheetId="10">#REF!</definedName>
    <definedName name="mcd_points">#REF!</definedName>
    <definedName name="mcd_w1" localSheetId="10">#REF!</definedName>
    <definedName name="mcd_w1">#REF!</definedName>
    <definedName name="mcd_w2" localSheetId="10">#REF!</definedName>
    <definedName name="mcd_w2">#REF!</definedName>
    <definedName name="mcd_w3">#REF!</definedName>
    <definedName name="mcd_w4">#REF!</definedName>
    <definedName name="mcd_w5">#REF!</definedName>
    <definedName name="McGee_Growth">#REF!</definedName>
    <definedName name="mcs03g.ReqArray" localSheetId="10">{"Price","TSCC","M23","N","0","0","H"}</definedName>
    <definedName name="mcs03g.ReqArray">{"Price","TSCC","M23","N","0","0","H"}</definedName>
    <definedName name="MDI" localSheetId="10" hidden="1">{#N/A,#N/A,FALSE,"SUMMARY";#N/A,#N/A,FALSE,"mcsh";#N/A,#N/A,FALSE,"vol&amp;rev";#N/A,#N/A,FALSE,"wkgcap";#N/A,#N/A,FALSE,"DEPR&amp;DT";#N/A,#N/A,FALSE,"ASSETS";#N/A,#N/A,FALSE,"NI&amp;OTH&amp;DIV";#N/A,#N/A,FALSE,"CASHFLOW";#N/A,#N/A,FALSE,"CAPEMPL";#N/A,#N/A,FALSE,"ROCE"}</definedName>
    <definedName name="MDI" localSheetId="15"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rrapp" localSheetId="10">{#N/A,#N/A,FALSE,"mdr.XLS";"db",#N/A,FALSE,"mdr.XLS";#N/A,#N/A,FALSE,"Forside ";#N/A,#N/A,FALSE,"INVEST.XLS"}</definedName>
    <definedName name="mdrrapp">{#N/A,#N/A,FALSE,"mdr.XLS";"db",#N/A,FALSE,"mdr.XLS";#N/A,#N/A,FALSE,"Forside ";#N/A,#N/A,FALSE,"INVEST.XLS"}</definedName>
    <definedName name="mdrrapp2" localSheetId="10">{#N/A,#N/A,FALSE,"mdr.XLS";"db",#N/A,FALSE,"mdr.XLS";#N/A,#N/A,FALSE,"Forside ";#N/A,#N/A,FALSE,"INVEST.XLS"}</definedName>
    <definedName name="mdrrapp2">{#N/A,#N/A,FALSE,"mdr.XLS";"db",#N/A,FALSE,"mdr.XLS";#N/A,#N/A,FALSE,"Forside ";#N/A,#N/A,FALSE,"INVEST.XLS"}</definedName>
    <definedName name="MDRRAPP3" localSheetId="10">{#N/A,#N/A,FALSE,"mdr.XLS";"db",#N/A,FALSE,"mdr.XLS";#N/A,#N/A,FALSE,"Forside ";#N/A,#N/A,FALSE,"INVEST.XLS"}</definedName>
    <definedName name="MDRRAPP3">{#N/A,#N/A,FALSE,"mdr.XLS";"db",#N/A,FALSE,"mdr.XLS";#N/A,#N/A,FALSE,"Forside ";#N/A,#N/A,FALSE,"INVEST.XLS"}</definedName>
    <definedName name="MDRRAPP5" localSheetId="10">{#N/A,#N/A,FALSE,"mdr.XLS";"db",#N/A,FALSE,"mdr.XLS";#N/A,#N/A,FALSE,"Forside ";#N/A,#N/A,FALSE,"INVEST.XLS"}</definedName>
    <definedName name="MDRRAPP5">{#N/A,#N/A,FALSE,"mdr.XLS";"db",#N/A,FALSE,"mdr.XLS";#N/A,#N/A,FALSE,"Forside ";#N/A,#N/A,FALSE,"INVEST.XLS"}</definedName>
    <definedName name="MDRRAPPO7" localSheetId="10">{#N/A,#N/A,FALSE,"mdr.XLS";"db",#N/A,FALSE,"mdr.XLS";#N/A,#N/A,FALSE,"Forside ";#N/A,#N/A,FALSE,"INVEST.XLS"}</definedName>
    <definedName name="MDRRAPPO7">{#N/A,#N/A,FALSE,"mdr.XLS";"db",#N/A,FALSE,"mdr.XLS";#N/A,#N/A,FALSE,"Forside ";#N/A,#N/A,FALSE,"INVEST.XLS"}</definedName>
    <definedName name="me">"Button 5"</definedName>
    <definedName name="Med_admin_savings_amt_curr" hidden="1">#REF!</definedName>
    <definedName name="Med_admin_savings_amt_prior" hidden="1">#REF!</definedName>
    <definedName name="Med_prod" localSheetId="10">{#N/A,#N/A,FALSE,"Prem_Sum";#N/A,#N/A,FALSE,"Prem"}</definedName>
    <definedName name="Med_prod">{#N/A,#N/A,FALSE,"Prem_Sum";#N/A,#N/A,FALSE,"Prem"}</definedName>
    <definedName name="Med_prod.xls" localSheetId="10">{#N/A,#N/A,FALSE,"FACTSHEETS";#N/A,#N/A,FALSE,"pump";#N/A,#N/A,FALSE,"filter"}</definedName>
    <definedName name="Med_prod.xls">{#N/A,#N/A,FALSE,"FACTSHEETS";#N/A,#N/A,FALSE,"pump";#N/A,#N/A,FALSE,"filter"}</definedName>
    <definedName name="Med_products" localSheetId="10">{#N/A,#N/A,FALSE,"FACTSHEETS";#N/A,#N/A,FALSE,"pump";#N/A,#N/A,FALSE,"filter"}</definedName>
    <definedName name="Med_products">{#N/A,#N/A,FALSE,"FACTSHEETS";#N/A,#N/A,FALSE,"pump";#N/A,#N/A,FALSE,"filter"}</definedName>
    <definedName name="median_daily_rate" localSheetId="10">#REF!</definedName>
    <definedName name="median_daily_rate">#REF!</definedName>
    <definedName name="Medicare" localSheetId="10">#REF!</definedName>
    <definedName name="Medicare">#REF!</definedName>
    <definedName name="MEDS" localSheetId="10">#REF!</definedName>
    <definedName name="MEDS">#REF!</definedName>
    <definedName name="Mega_A">#REF!</definedName>
    <definedName name="Mega_B">#REF!</definedName>
    <definedName name="Mega_C">#REF!</definedName>
    <definedName name="Mega_D">#REF!</definedName>
    <definedName name="Mega_E">#REF!</definedName>
    <definedName name="Mega_Z">#REF!</definedName>
    <definedName name="Memo" localSheetId="10" hidden="1">{#N/A,#N/A,FALSE,"Set-Up";#N/A,#N/A,FALSE,"Comparison";#N/A,#N/A,FALSE,"AR";#N/A,#N/A,FALSE,"Inv";#N/A,#N/A,FALSE,"Concentrations";#N/A,#N/A,FALSE,"Past Dues";#N/A,#N/A,FALSE,"Trends";#N/A,#N/A,FALSE,"AR Trends";#N/A,#N/A,FALSE,"Inv Trends"}</definedName>
    <definedName name="Memo" localSheetId="15"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mo_IS" localSheetId="10"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ow" hidden="1">OFFSET(#REF!,1,0)</definedName>
    <definedName name="MerrillPrintIt" localSheetId="10" hidden="1">#REF!</definedName>
    <definedName name="MerrillPrintIt" localSheetId="9" hidden="1">#REF!</definedName>
    <definedName name="MerrillPrintIt" localSheetId="8" hidden="1">#REF!</definedName>
    <definedName name="MerrillPrintIt" localSheetId="11" hidden="1">#REF!</definedName>
    <definedName name="MerrillPrintIt" localSheetId="16" hidden="1">#REF!</definedName>
    <definedName name="MerrillPrintIt" hidden="1">#REF!</definedName>
    <definedName name="MEWarning">1</definedName>
    <definedName name="MFGOVERHEAD" localSheetId="10">#REF!</definedName>
    <definedName name="MFGOVERHEAD">#REF!</definedName>
    <definedName name="mfgr" localSheetId="10">{"PAGE 1",#N/A,FALSE,"WEST_OT"}</definedName>
    <definedName name="mfgr">{"PAGE 1",#N/A,FALSE,"WEST_OT"}</definedName>
    <definedName name="mfgtest" localSheetId="10">{"PAGE 1",#N/A,FALSE,"WEST_OT"}</definedName>
    <definedName name="mfgtest">{"PAGE 1",#N/A,FALSE,"WEST_OT"}</definedName>
    <definedName name="mfoew" localSheetId="10" hidden="1">{#N/A,"PURCHM",FALSE,"Business Analysis";#N/A,"SPADD",FALSE,"Business Analysis"}</definedName>
    <definedName name="mfoew" hidden="1">{#N/A,"PURCHM",FALSE,"Business Analysis";#N/A,"SPADD",FALSE,"Business Analysis"}</definedName>
    <definedName name="MgnName" localSheetId="10">#REF!</definedName>
    <definedName name="MgnName">#REF!</definedName>
    <definedName name="mgpw" hidden="1">"PersonalNeu"</definedName>
    <definedName name="MiddleRow" localSheetId="10">#REF!</definedName>
    <definedName name="MiddleRow">#REF!</definedName>
    <definedName name="MiddleRowYr2" localSheetId="10">#REF!</definedName>
    <definedName name="MiddleRowYr2">#REF!</definedName>
    <definedName name="MiddleRowYr3" localSheetId="10">#REF!</definedName>
    <definedName name="MiddleRowYr3">#REF!</definedName>
    <definedName name="Midwest" localSheetId="10" hidden="1">{"FY02_Assets",#N/A,FALSE,"Fin Stmt Budget";"FY02_Liabilities",#N/A,FALSE,"Fin Stmt Budget";"FY02_Inc_Stmt",#N/A,FALSE,"Fin Stmt Budget";"FY02_SOCF",#N/A,FALSE,"Fin Stmt Budget"}</definedName>
    <definedName name="Midwest" localSheetId="15" hidden="1">{"FY02_Assets",#N/A,FALSE,"Fin Stmt Budget";"FY02_Liabilities",#N/A,FALSE,"Fin Stmt Budget";"FY02_Inc_Stmt",#N/A,FALSE,"Fin Stmt Budget";"FY02_SOCF",#N/A,FALSE,"Fin Stmt Budget"}</definedName>
    <definedName name="Midwest" hidden="1">{"FY02_Assets",#N/A,FALSE,"Fin Stmt Budget";"FY02_Liabilities",#N/A,FALSE,"Fin Stmt Budget";"FY02_Inc_Stmt",#N/A,FALSE,"Fin Stmt Budget";"FY02_SOCF",#N/A,FALSE,"Fin Stmt Budget"}</definedName>
    <definedName name="MIGUEL" localSheetId="10" hidden="1">{#N/A,#N/A,FALSE,"Duran"}</definedName>
    <definedName name="MIGUEL" hidden="1">{#N/A,#N/A,FALSE,"Duran"}</definedName>
    <definedName name="miiiiiiiiiiichael" localSheetId="1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localSheetId="1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ke" localSheetId="10" hidden="1">#REF!</definedName>
    <definedName name="mike" localSheetId="9" hidden="1">#REF!</definedName>
    <definedName name="mike" localSheetId="8" hidden="1">#REF!</definedName>
    <definedName name="mike" localSheetId="16" hidden="1">#REF!</definedName>
    <definedName name="mike" hidden="1">#REF!</definedName>
    <definedName name="min" localSheetId="10">{#N/A,#N/A,FALSE,"REPORT"}</definedName>
    <definedName name="min">{#N/A,#N/A,FALSE,"REPORT"}</definedName>
    <definedName name="mina" localSheetId="10">{#N/A,#N/A,FALSE,"REPORT"}</definedName>
    <definedName name="mina">{#N/A,#N/A,FALSE,"REPORT"}</definedName>
    <definedName name="mis.actual_Acct" localSheetId="10" hidden="1">{"acct_level",#N/A,FALSE,"Sheet1";"actual",#N/A,FALSE,"Sheet1"}</definedName>
    <definedName name="mis.actual_Acct" localSheetId="15" hidden="1">{"acct_level",#N/A,FALSE,"Sheet1";"actual",#N/A,FALSE,"Sheet1"}</definedName>
    <definedName name="mis.actual_Acct" hidden="1">{"acct_level",#N/A,FALSE,"Sheet1";"actual",#N/A,FALSE,"Sheet1"}</definedName>
    <definedName name="mis.actual_budget" localSheetId="10" hidden="1">{"actual",#N/A,FALSE,"Sheet1";"budget",#N/A,FALSE,"Sheet1"}</definedName>
    <definedName name="mis.actual_budget" localSheetId="15" hidden="1">{"actual",#N/A,FALSE,"Sheet1";"budget",#N/A,FALSE,"Sheet1"}</definedName>
    <definedName name="mis.actual_budget" hidden="1">{"actual",#N/A,FALSE,"Sheet1";"budget",#N/A,FALSE,"Sheet1"}</definedName>
    <definedName name="mis.actual_variance" localSheetId="10" hidden="1">{"actual",#N/A,FALSE,"Sheet1";"variance",#N/A,FALSE,"Sheet1"}</definedName>
    <definedName name="mis.actual_variance" localSheetId="15" hidden="1">{"actual",#N/A,FALSE,"Sheet1";"variance",#N/A,FALSE,"Sheet1"}</definedName>
    <definedName name="mis.actual_variance" hidden="1">{"actual",#N/A,FALSE,"Sheet1";"variance",#N/A,FALSE,"Sheet1"}</definedName>
    <definedName name="mis.all" localSheetId="10" hidden="1">{"variance",#N/A,FALSE,"Sheet1";"budget",#N/A,FALSE,"Sheet1";"acct_level",#N/A,FALSE,"Sheet1";"actual",#N/A,FALSE,"Sheet1"}</definedName>
    <definedName name="mis.all" localSheetId="15" hidden="1">{"variance",#N/A,FALSE,"Sheet1";"budget",#N/A,FALSE,"Sheet1";"acct_level",#N/A,FALSE,"Sheet1";"actual",#N/A,FALSE,"Sheet1"}</definedName>
    <definedName name="mis.all" hidden="1">{"variance",#N/A,FALSE,"Sheet1";"budget",#N/A,FALSE,"Sheet1";"acct_level",#N/A,FALSE,"Sheet1";"actual",#N/A,FALSE,"Sheet1"}</definedName>
    <definedName name="Misc" localSheetId="10" hidden="1">{#N/A,#N/A,FALSE,"Sign";#N/A,#N/A,FALSE,"Assets";#N/A,#N/A,FALSE,"Liab";#N/A,#N/A,FALSE,"Inc";#N/A,#N/A,FALSE,"Inc-Over";#N/A,#N/A,FALSE,"Equity";#N/A,#N/A,FALSE,"Cash";#N/A,#N/A,FALSE,"Cash-Over";#N/A,#N/A,FALSE,"Rep#4";#N/A,#N/A,FALSE,"TNE";#N/A,#N/A,FALSE,"III1";#N/A,#N/A,FALSE,"III2";#N/A,#N/A,FALSE,"III3"}</definedName>
    <definedName name="Misc" hidden="1">{#N/A,#N/A,FALSE,"Sign";#N/A,#N/A,FALSE,"Assets";#N/A,#N/A,FALSE,"Liab";#N/A,#N/A,FALSE,"Inc";#N/A,#N/A,FALSE,"Inc-Over";#N/A,#N/A,FALSE,"Equity";#N/A,#N/A,FALSE,"Cash";#N/A,#N/A,FALSE,"Cash-Over";#N/A,#N/A,FALSE,"Rep#4";#N/A,#N/A,FALSE,"TNE";#N/A,#N/A,FALSE,"III1";#N/A,#N/A,FALSE,"III2";#N/A,#N/A,FALSE,"III3"}</definedName>
    <definedName name="Miscellaneous" hidden="1">#N/A</definedName>
    <definedName name="Missing_code">#REF!</definedName>
    <definedName name="miwukls" localSheetId="10" hidden="1">{"detail",#N/A,FALSE,"mfg";"summary",#N/A,FALSE,"mfg"}</definedName>
    <definedName name="miwukls" hidden="1">{"detail",#N/A,FALSE,"mfg";"summary",#N/A,FALSE,"mfg"}</definedName>
    <definedName name="mj" localSheetId="10" hidden="1">{#N/A,#N/A,FALSE,"FY97";#N/A,#N/A,FALSE,"FY98";#N/A,#N/A,FALSE,"FY99";#N/A,#N/A,FALSE,"FY00";#N/A,#N/A,FALSE,"FY01"}</definedName>
    <definedName name="mj" localSheetId="15" hidden="1">{#N/A,#N/A,FALSE,"FY97";#N/A,#N/A,FALSE,"FY98";#N/A,#N/A,FALSE,"FY99";#N/A,#N/A,FALSE,"FY00";#N/A,#N/A,FALSE,"FY01"}</definedName>
    <definedName name="mj" hidden="1">{#N/A,#N/A,FALSE,"FY97";#N/A,#N/A,FALSE,"FY98";#N/A,#N/A,FALSE,"FY99";#N/A,#N/A,FALSE,"FY00";#N/A,#N/A,FALSE,"FY01"}</definedName>
    <definedName name="mj_1" localSheetId="10" hidden="1">{#N/A,#N/A,FALSE,"Heat";#N/A,#N/A,FALSE,"DCF";#N/A,#N/A,FALSE,"LBO";#N/A,#N/A,FALSE,"A";#N/A,#N/A,FALSE,"C";#N/A,#N/A,FALSE,"impd";#N/A,#N/A,FALSE,"Accr-Dilu"}</definedName>
    <definedName name="mj_1" hidden="1">{#N/A,#N/A,FALSE,"Heat";#N/A,#N/A,FALSE,"DCF";#N/A,#N/A,FALSE,"LBO";#N/A,#N/A,FALSE,"A";#N/A,#N/A,FALSE,"C";#N/A,#N/A,FALSE,"impd";#N/A,#N/A,FALSE,"Accr-Dilu"}</definedName>
    <definedName name="mk" localSheetId="10" hidden="1">{"detail",#N/A,FALSE,"mfg";"summary",#N/A,FALSE,"mfg"}</definedName>
    <definedName name="mk" hidden="1">{"detail",#N/A,FALSE,"mfg";"summary",#N/A,FALSE,"mfg"}</definedName>
    <definedName name="mkj" localSheetId="10" hidden="1">{#N/A,#N/A,TRUE,"A";#N/A,#N/A,TRUE,"B";#N/A,#N/A,TRUE,"C";#N/A,#N/A,TRUE,"D";#N/A,#N/A,TRUE,"E"}</definedName>
    <definedName name="mkj" localSheetId="15" hidden="1">{#N/A,#N/A,TRUE,"A";#N/A,#N/A,TRUE,"B";#N/A,#N/A,TRUE,"C";#N/A,#N/A,TRUE,"D";#N/A,#N/A,TRUE,"E"}</definedName>
    <definedName name="mkj" hidden="1">{#N/A,#N/A,TRUE,"A";#N/A,#N/A,TRUE,"B";#N/A,#N/A,TRUE,"C";#N/A,#N/A,TRUE,"D";#N/A,#N/A,TRUE,"E"}</definedName>
    <definedName name="mkl" localSheetId="10" hidden="1">{"pro_view",#N/A,FALSE,"EEFSNAP2";"rep_view",#N/A,FALSE,"EEFSNAP2"}</definedName>
    <definedName name="mkl" hidden="1">{"pro_view",#N/A,FALSE,"EEFSNAP2";"rep_view",#N/A,FALSE,"EEFSNAP2"}</definedName>
    <definedName name="MLNK003d25c9b5194f8fa4614a4be2c4cbc4" hidden="1">#REF!</definedName>
    <definedName name="MLNK00662333b0984adaa7ddda342287c3ad" hidden="1">#REF!</definedName>
    <definedName name="MLNK009df0258eb042ceb110f647b3dd3ab4" hidden="1">#REF!</definedName>
    <definedName name="MLNK00bcf5c4a99e41fc9cc06651f9f799fe" hidden="1">#REF!</definedName>
    <definedName name="MLNK00dcfcf0de274ed284388887b1530d2c" hidden="1">#REF!</definedName>
    <definedName name="MLNK00ed9d007e914c99b935304ce6733265" hidden="1">#REF!</definedName>
    <definedName name="MLNK00ffe5c65b084bac8bd4ef10cdc763f0" hidden="1">#REF!</definedName>
    <definedName name="MLNK0109727e3c554ab99732d853fde45260" hidden="1">#REF!</definedName>
    <definedName name="MLNK010b8a4312d14e7baa0b29b1e9eae558" hidden="1">#REF!</definedName>
    <definedName name="MLNK010c76fdb6214c9f95e13dcd05a521f1" hidden="1">#REF!</definedName>
    <definedName name="MLNK01271bb59f9b4e8a96b557331b8869f9" hidden="1">#REF!</definedName>
    <definedName name="MLNK013514181cd64256b8c8a44f112fa652" hidden="1">#REF!</definedName>
    <definedName name="MLNK014060ae3b8644e8af75c98c0e3a9105" hidden="1">#REF!</definedName>
    <definedName name="MLNK016aba301f834d8c8f92ea8d1b7b96ab" hidden="1">#REF!</definedName>
    <definedName name="MLNK016c23a9456e49de9e71dc73aa48db7a">#REF!</definedName>
    <definedName name="MLNK017824981e9c43de96650c305c125676" hidden="1">#REF!</definedName>
    <definedName name="MLNK01f8eb7e1fc34cba84f88613c36f767d" hidden="1">#REF!</definedName>
    <definedName name="MLNK022cc7bb1eaa4242b7a8e5c2f9f1f13f" hidden="1">#REF!</definedName>
    <definedName name="MLNK029e9f8e5bad4b88a96cc366adcc35af" hidden="1">#REF!</definedName>
    <definedName name="MLNK0305697a51504b53aa86124b10a7171d" hidden="1">#REF!</definedName>
    <definedName name="MLNK030dd1fde0f84fc1a2c98c667ddfc568" hidden="1">#REF!</definedName>
    <definedName name="MLNK034ce9cb39cf442c8c9c8c23de204977" hidden="1">#REF!</definedName>
    <definedName name="MLNK038ce8a2b1ef4a64b866169aba3d2724" hidden="1">#REF!</definedName>
    <definedName name="MLNK03a58163afe64bc090e7e062a6bac686" hidden="1">#REF!</definedName>
    <definedName name="MLNK03cc0a0fe2e44c229628891513274bd6" hidden="1">#REF!</definedName>
    <definedName name="MLNK03ea0a91c2ca4569be249f5d086e9ce1">#REF!</definedName>
    <definedName name="MLNK03f9ccc416e0420b8bce7655e2ecbcef" hidden="1">#REF!</definedName>
    <definedName name="MLNK040445d8ee7741e0b3f59448a759e1fa" hidden="1">#REF!</definedName>
    <definedName name="MLNK042495f7d85b4f9a90f94a73ca209453" hidden="1">#REF!</definedName>
    <definedName name="MLNK044823aadb864f4780ce2f8b32fd298a" hidden="1">#REF!</definedName>
    <definedName name="MLNK045d9719c0f048b298ec187d564c3cdd" hidden="1">#REF!</definedName>
    <definedName name="MLNK048f1358b5b7415783669463b98cf189" hidden="1">#REF!</definedName>
    <definedName name="MLNK04d3aeb246b9460eaa88ddba006f7f8e" hidden="1">#REF!</definedName>
    <definedName name="MLNK0502d78393c14b1c8f9a477b298f9aaa" hidden="1">#REF!</definedName>
    <definedName name="MLNK051da4f5beed4c7b9323bef1d608c07d">#REF!</definedName>
    <definedName name="MLNK05621396cb7d4fd4932d559af33f2917" hidden="1">#REF!</definedName>
    <definedName name="MLNK05a7f15332e742aabb95ec1fe1f29264" hidden="1">#REF!</definedName>
    <definedName name="MLNK05ac1311ed4248d285a33e1e2ff384b8" hidden="1">#REF!</definedName>
    <definedName name="MLNK06924a0dc49549fbb2aa8666c972b609" hidden="1">#REF!</definedName>
    <definedName name="MLNK06a7a2803cbb426ba19f59afc8a99db4" hidden="1">#REF!</definedName>
    <definedName name="MLNK06c59e809b5f4fad84c61a216e0ed1e5" hidden="1">#REF!</definedName>
    <definedName name="MLNK070e22bbf6164ceabe9dfb8ba9bf3185" hidden="1">#REF!</definedName>
    <definedName name="MLNK072dc46372a343bba9ef197670197a5a" hidden="1">#REF!</definedName>
    <definedName name="MLNK07784e2d9dd74936ba929e4f9b2ba183" hidden="1">#REF!</definedName>
    <definedName name="MLNK077fb4f1fb2f4186a82fd41b9f7ead13" hidden="1">#REF!</definedName>
    <definedName name="MLNK07918c1bc7844133a6003c82e3e51fa5" hidden="1">#REF!</definedName>
    <definedName name="MLNK0799b114a8804b28bb15694a28e508ed" hidden="1">#REF!</definedName>
    <definedName name="MLNK079bec485f734c5e80ebdfb178d6ce10" hidden="1">#REF!</definedName>
    <definedName name="MLNK07b3bd137db24827b4beb16e0df4a030" hidden="1">#REF!</definedName>
    <definedName name="MLNK07b70db2c12e4310b97cdc7afbc6b15c" hidden="1">#REF!</definedName>
    <definedName name="MLNK07e948b192da4cb7af5038852c92fafd" hidden="1">#REF!</definedName>
    <definedName name="MLNK07f0796f76514e3c89d1d30d2b1a9773" hidden="1">#REF!</definedName>
    <definedName name="MLNK080b30673b3f40129ddb96e766236c99" hidden="1">#REF!</definedName>
    <definedName name="MLNK08511e00591c411d87ac52e1c427964c" hidden="1">#REF!</definedName>
    <definedName name="MLNK085ee8030a344337abfc8ca30f815c33" hidden="1">#REF!</definedName>
    <definedName name="MLNK08631cfb45194e31a85103714c121270" hidden="1">#REF!</definedName>
    <definedName name="MLNK0864a3e6b0e343d4a2699467f69c9fbc" hidden="1">#REF!</definedName>
    <definedName name="MLNK0972e3a6aeb4471f805649458693c988" hidden="1">#REF!</definedName>
    <definedName name="MLNK09a9147891e84ce49d852bb1d314bd98" hidden="1">#REF!</definedName>
    <definedName name="MLNK09e5bf563148401997f1b575dcb503d0" hidden="1">#REF!</definedName>
    <definedName name="MLNK0a262ae7b867488aae22b5bba0e90734">#REF!</definedName>
    <definedName name="MLNK0a341a0a86184cf18ef89cb1aafd0015" hidden="1">#REF!</definedName>
    <definedName name="MLNK0a61c4f849ae4263820c69501b609892" hidden="1">#REF!</definedName>
    <definedName name="MLNK0a75762dd4114e6190d9631aa29de219" hidden="1">#REF!</definedName>
    <definedName name="MLNK0a7dcbda529e4d57b17f7951f640d865" hidden="1">#REF!</definedName>
    <definedName name="MLNK0ab1751002c94bcca1439601add97588" hidden="1">#REF!</definedName>
    <definedName name="MLNK0ac4e77805c84ceba2bfa06158bf5ddb" hidden="1">#REF!</definedName>
    <definedName name="MLNK0ac9494887784df4a93c1d70a935d2f8" hidden="1">#REF!</definedName>
    <definedName name="MLNK0aeedab0e16e4fdaa43acdda26f9c4dc" hidden="1">#REF!</definedName>
    <definedName name="MLNK0af8da83c40244ca83034a933a20708c" hidden="1">#REF!</definedName>
    <definedName name="MLNK0b01a76c3ccc472484d04bd7efc012b9" hidden="1">#REF!</definedName>
    <definedName name="MLNK0b1980dbf34e4806964b2d6e0f11feac" hidden="1">#REF!</definedName>
    <definedName name="MLNK0b75ffb3385f4bedb8cb43988fe51e69" hidden="1">#REF!</definedName>
    <definedName name="MLNK0b871854e2004f10bb76a30648706d43" hidden="1">#REF!</definedName>
    <definedName name="MLNK0b8c79f5a0074d48a87518350b1811c6" hidden="1">#REF!</definedName>
    <definedName name="MLNK0bdfe783d14a4223bae4dbba642e4ebe" hidden="1">#REF!</definedName>
    <definedName name="MLNK0bfe278b3b864a2489827469baf519c0" hidden="1">#REF!</definedName>
    <definedName name="MLNK0c022c419d684262a1a57a0021c478a6" hidden="1">#REF!</definedName>
    <definedName name="MLNK0c056096d6b1499c8958049efd831512" hidden="1">#REF!</definedName>
    <definedName name="MLNK0c0b1204a2a24e8da39c9fcf54f26915" hidden="1">#REF!</definedName>
    <definedName name="MLNK0c27d3371fc34b878ac28b8250cc1bb5" hidden="1">#REF!</definedName>
    <definedName name="MLNK0c356b5aa9f640cd86767f12030574aa" hidden="1">#REF!</definedName>
    <definedName name="MLNK0c5d04206836486583144026bf61a766" hidden="1">#REF!</definedName>
    <definedName name="MLNK0cc433c1430f4f2d89fa4d0bc4531271" hidden="1">#REF!</definedName>
    <definedName name="MLNK0d1ca313227743a4b759336c1c069283" hidden="1">#REF!</definedName>
    <definedName name="MLNK0d4246ef87424de6a4c65b8577435165" hidden="1">#REF!</definedName>
    <definedName name="MLNK0d54f31a98534c42966cd5b0a3531d22" hidden="1">#REF!</definedName>
    <definedName name="MLNK0d9ae61744344baaaf4de3f89e216c21" hidden="1">#REF!</definedName>
    <definedName name="MLNK0da60951fd11466e8b7794ed6696583c" hidden="1">#REF!</definedName>
    <definedName name="MLNK0da673258c6b4b7eb4ea2a85009b9c1d" hidden="1">#REF!</definedName>
    <definedName name="MLNK0dd235bf599245e0b84e44ebda29697e" hidden="1">#REF!</definedName>
    <definedName name="MLNK0deec27f7ec341199012c5f3b1335635" hidden="1">#REF!</definedName>
    <definedName name="MLNK0df052d559d946a8b38706b38a81e776" hidden="1">#REF!</definedName>
    <definedName name="MLNK0ea3d5b65bdc4504b044246d0741bd76" hidden="1">#REF!</definedName>
    <definedName name="MLNK0ee31ad41f774831ad2edc37bc1124f0" hidden="1">#REF!</definedName>
    <definedName name="MLNK0ee75559b8db47458edc88e19b8f0fe6" hidden="1">#REF!</definedName>
    <definedName name="MLNK0f06e2ec84b245eda45c619d0215cbbe" hidden="1">#REF!</definedName>
    <definedName name="MLNK0f29df2d66044c7c95fda22c05bc12b7" hidden="1">#REF!</definedName>
    <definedName name="MLNK0f83b2698f5c4aacb0735658a8f8f4ec" hidden="1">#REF!</definedName>
    <definedName name="MLNK0fb833b183be477bbd778763037619f6" hidden="1">#REF!</definedName>
    <definedName name="MLNK0fcd2e656955498f8cda492ee9401510" hidden="1">#REF!</definedName>
    <definedName name="MLNK0fea4b28cf1d4b96a720f497a0a91b60" hidden="1">#REF!</definedName>
    <definedName name="MLNK101094bbc091469895f2e42e50429ae4" hidden="1">#REF!</definedName>
    <definedName name="MLNK102ca7ec1c7d486f8e9d1f3204faf71c" hidden="1">#REF!</definedName>
    <definedName name="MLNK107832ec105a4b7390bf5694450b4566" hidden="1">#REF!</definedName>
    <definedName name="MLNK108c4d667365434ba9d6fc0f9324ae17" hidden="1">#REF!</definedName>
    <definedName name="MLNK10aa6caef9344c409c86fc65ccd3d7fe" hidden="1">#REF!</definedName>
    <definedName name="MLNK1103f6860ceb456b9d565f7252b51a75" hidden="1">#REF!</definedName>
    <definedName name="MLNK1108d5694ab74d48bd5647a044c0cfdd" hidden="1">#REF!</definedName>
    <definedName name="MLNK111ab09378934766ad73854cd223b7a5" hidden="1">#REF!</definedName>
    <definedName name="MLNK11361b12f2b14c64ac771eb8c8d1e252" hidden="1">#REF!</definedName>
    <definedName name="MLNK1140287f5ac245749302cb329bb2379b" hidden="1">#REF!</definedName>
    <definedName name="MLNK117fe40b2e084b32a1bb94853c1734c6" hidden="1">#REF!</definedName>
    <definedName name="MLNK11c05edc4c344d7bb9af2668836c4582" hidden="1">#REF!</definedName>
    <definedName name="MLNK11da2cbac97845989288807f68578096" hidden="1">#REF!</definedName>
    <definedName name="MLNK122b60ac1bc14ea5be042b70f36e7789" hidden="1">#REF!</definedName>
    <definedName name="MLNK12423aeb97d54f7aa98b1063e8efbd16" hidden="1">#REF!</definedName>
    <definedName name="MLNK125586d0609b4f02bdcda9ed8e20d626" hidden="1">#REF!</definedName>
    <definedName name="MLNK1278ea512fe2451a9e43576d856b7219" hidden="1">#REF!</definedName>
    <definedName name="MLNK128017dd14d0497381a6555aa1a8b2a1" hidden="1">#REF!</definedName>
    <definedName name="MLNK129044ad7ac3430e9809b6d83deb7b27" hidden="1">#REF!</definedName>
    <definedName name="MLNK12a548478f904750be5f1a6e9d406dd5" hidden="1">#REF!</definedName>
    <definedName name="MLNK12ad2871de624a84a93472c8a41e6aa7" hidden="1">#REF!</definedName>
    <definedName name="MLNK12c14708a5864affbefd61f0a3f2d727" hidden="1">#REF!</definedName>
    <definedName name="MLNK12c33bf59b7e4dd8b0db931c4179bb06" hidden="1">#REF!</definedName>
    <definedName name="MLNK12c57a10188e446891d5b9763c40b8e9" hidden="1">#REF!</definedName>
    <definedName name="MLNK12d14157ee85405786aed72d1225ac03" hidden="1">#REF!</definedName>
    <definedName name="MLNK12ddfc7609c044e8ae10b0f0d6e95a5d" hidden="1">#REF!</definedName>
    <definedName name="MLNK130ec921a77e48278dc4510d029efd55" hidden="1">#REF!</definedName>
    <definedName name="MLNK13abec8605804296b755decde3217ae6" hidden="1">#REF!</definedName>
    <definedName name="MLNK13b90139d6ca442f988dd6620c81332c" hidden="1">#REF!</definedName>
    <definedName name="MLNK13eaddbaf53f4c56b88824eb932c4934" hidden="1">#REF!</definedName>
    <definedName name="MLNK13ed31a4d342415984b05dff969a26d5" hidden="1">#REF!</definedName>
    <definedName name="MLNK14014d93a5284dcf981a9aea5769160e" hidden="1">#REF!</definedName>
    <definedName name="MLNK140fcfd4faa549f6822bea62e62caa28" hidden="1">#REF!</definedName>
    <definedName name="MLNK14365c8222624798bbdeb92f3264c714" hidden="1">#REF!</definedName>
    <definedName name="MLNK14369c6988544a4da8bd7e51f7a83240" hidden="1">#REF!</definedName>
    <definedName name="MLNK1457d79d20104c52a69d4313ada0a787" hidden="1">#REF!</definedName>
    <definedName name="MLNK145916c587c4485e89c6bdade867db74" hidden="1">#REF!</definedName>
    <definedName name="MLNK149ecb3c0b60421b8540a05925c338c0" hidden="1">#REF!</definedName>
    <definedName name="MLNK14f26856f973426abd7b0d5f5d5f38ba" hidden="1">#REF!</definedName>
    <definedName name="MLNK1539b0dc1895410cb2abcafd036aac5a" hidden="1">#REF!</definedName>
    <definedName name="MLNK155baa12c98a41fe801f081954c50b41" hidden="1">#REF!</definedName>
    <definedName name="MLNK1561fe8492404757aa957d4e24e95911" hidden="1">#REF!</definedName>
    <definedName name="MLNK15905a11315f41e195c8d47844b5a883" hidden="1">#REF!</definedName>
    <definedName name="MLNK15ad0d1d97b74d8b92a39fe1306c7c71" hidden="1">#REF!</definedName>
    <definedName name="MLNK16067aed7f60413da582f53ef4b8b269" hidden="1">#REF!</definedName>
    <definedName name="MLNK16ab8e1956f44edd950c2c8832a2676d" hidden="1">#REF!</definedName>
    <definedName name="MLNK16b012be6c69462585d92e3840206c5e" hidden="1">#REF!</definedName>
    <definedName name="MLNK16da44f293594963b5e3ae97a0e2e36b" hidden="1">#REF!</definedName>
    <definedName name="MLNK173255e4030948e2a3b9ecc73064cae1" hidden="1">#REF!</definedName>
    <definedName name="MLNK173bc0e933f24258a0f0eff6e5ad5918" hidden="1">#REF!</definedName>
    <definedName name="MLNK17955f15898a424b8ed615eed302e8fa" hidden="1">#REF!</definedName>
    <definedName name="MLNK17b1ba71c2ec4527b2ece1fdeaa1f56b" hidden="1">#REF!</definedName>
    <definedName name="MLNK17cfa113835e4889b8dfd292b31a0392" hidden="1">#REF!</definedName>
    <definedName name="MLNK17d8339bec08406f902b47ebf573a500" hidden="1">#REF!</definedName>
    <definedName name="MLNK180985907d8841c3b6e5daaa166eebb3" hidden="1">#REF!</definedName>
    <definedName name="MLNK1860e5c256904c8e98bd3611e6b05bfe" hidden="1">#REF!</definedName>
    <definedName name="MLNK18624c32ebd54791bb0426fcf9dfd495" hidden="1">#REF!</definedName>
    <definedName name="MLNK186762318ec64dd58a4ce3babf373713" hidden="1">#REF!</definedName>
    <definedName name="MLNK188e12de0ce042948e080a703e6cd127" hidden="1">#REF!</definedName>
    <definedName name="MLNK18cb43c0cc514d9986ea4511c47a1df8" hidden="1">#REF!</definedName>
    <definedName name="MLNK18ecb9e1684c4b85b9677c7b25925e4c" hidden="1">#REF!</definedName>
    <definedName name="MLNK191ced4edd8c44b79c1010a4145e7b29" hidden="1">#REF!</definedName>
    <definedName name="MLNK1927ef4eb15b4c8581cc3a5d1474ade3" hidden="1">#REF!</definedName>
    <definedName name="MLNK1952af3809d349b486ec7a330868a108" hidden="1">#REF!</definedName>
    <definedName name="MLNK199e9320079d4481b1966cb1aa503411" hidden="1">#REF!</definedName>
    <definedName name="MLNK19d1c84ca70345de8070d19157d7aa1f" hidden="1">#REF!</definedName>
    <definedName name="MLNK19dcf53e3ea6429dbf088dcb7cfad13d" hidden="1">#REF!</definedName>
    <definedName name="MLNK1a02ec5c38114cbba106d4f6644f035c" hidden="1">#REF!</definedName>
    <definedName name="MLNK1a5f638e4e19422bb31d22c3e4b56045">#REF!</definedName>
    <definedName name="MLNK1ad88ce6487f400ab8bf9858096252ba" hidden="1">#REF!</definedName>
    <definedName name="MLNK1ae01391444c4d4a8715ea3db983b074" hidden="1">#REF!</definedName>
    <definedName name="MLNK1ae8b5818f264a528fe68ff37decca13" hidden="1">#REF!</definedName>
    <definedName name="MLNK1b07c17b5899464dbbc227a1fd1b5917" hidden="1">#REF!</definedName>
    <definedName name="MLNK1b8f6f7ec7564dc3b47b8b2ea92e1937" hidden="1">#REF!</definedName>
    <definedName name="MLNK1bb76b4e6f794e6cbdaa50b5f3931532" hidden="1">#REF!</definedName>
    <definedName name="MLNK1c438d44d2a24a6c89db580c4fce1384" hidden="1">#REF!</definedName>
    <definedName name="MLNK1c5f5bd001f54835a1b27edb0cc277ed" hidden="1">#REF!</definedName>
    <definedName name="MLNK1c71f674810443c8b120d2ce0da8e32c" hidden="1">#REF!</definedName>
    <definedName name="MLNK1c793c23e8894be09443ad01a63a85a5" hidden="1">#REF!</definedName>
    <definedName name="MLNK1ce1b8fd67b04a9799379da4a5ee12f4" hidden="1">#REF!</definedName>
    <definedName name="MLNK1ce54722784740279eb8e99c36e678e8" comment="Consolidating" hidden="1">#REF!</definedName>
    <definedName name="MLNK1cf73414435142ba9ff8850933fbd691" hidden="1">#REF!</definedName>
    <definedName name="MLNK1d0b0c03e49a4b4ab4b7efc78a821969" hidden="1">#REF!</definedName>
    <definedName name="MLNK1d4123ea5dcb4909a8aac9280b354daa" hidden="1">#REF!</definedName>
    <definedName name="MLNK1dc5c2ef72ae489bbfd0c803826a4dd1" hidden="1">#REF!</definedName>
    <definedName name="MLNK1dcf34d6cd8e4fda8e630ba877878667" hidden="1">#REF!</definedName>
    <definedName name="MLNK1df72b1572be4d068e10ee5ce130bec3" hidden="1">#REF!</definedName>
    <definedName name="MLNK1e0f0196d2904029af2a195965a328ac" hidden="1">#REF!</definedName>
    <definedName name="MLNK1e12d28d30ab49eaa21b5f82db59bc68" hidden="1">#REF!</definedName>
    <definedName name="MLNK1e3a925a0ab74b23baabdc0ea99cf999" hidden="1">#REF!</definedName>
    <definedName name="MLNK1e7436a91c184f63be3b75c2704263e2" hidden="1">#REF!</definedName>
    <definedName name="MLNK1e8edbcb49b2477c9150d8bc922bb7e2" hidden="1">#REF!</definedName>
    <definedName name="MLNK1e9f85d55dd2408691ae7223090f4dbe" hidden="1">#REF!</definedName>
    <definedName name="MLNK1efed0e59f7f4b4dbc6b0df8e77b7732" hidden="1">#REF!</definedName>
    <definedName name="MLNK1f23e816a25a458bbd9dcba14794cb3b" hidden="1">#REF!</definedName>
    <definedName name="MLNK1f75c4fca6d844f6a100bb4f224d144f" hidden="1">#REF!</definedName>
    <definedName name="MLNK1f9ae394b0ad4ceaad0201419cde3fcd" hidden="1">#REF!</definedName>
    <definedName name="MLNK1fccdae6452447d3b3501904afcb953b" hidden="1">#REF!</definedName>
    <definedName name="MLNK1fd0e99220ba4b7fa9d1ecc5f435cdbc" hidden="1">#REF!</definedName>
    <definedName name="MLNK1fd783e702474ecdb3cadccc369d8f1b" hidden="1">#REF!</definedName>
    <definedName name="MLNK1fec2167b19840b3a517fe74603fafd0" hidden="1">#REF!</definedName>
    <definedName name="MLNK200b04b8c3fb4c67a357bd8635a99e87" hidden="1">#REF!</definedName>
    <definedName name="MLNK2033ea5f158748a99f320bf80336f0eb" hidden="1">#REF!</definedName>
    <definedName name="MLNK20549e4c12fe440292c343106bb8ebf4" hidden="1">#REF!</definedName>
    <definedName name="MLNK205a24c1e92547f486af1886b1a6f224" hidden="1">#REF!</definedName>
    <definedName name="MLNK20b6ad0a142c4181bf103063826a20d2" hidden="1">#REF!</definedName>
    <definedName name="MLNK2103895e149743279d66b1eef6e4e7a7" hidden="1">#REF!</definedName>
    <definedName name="MLNK21334e69ff04436181600b7a48679969" hidden="1">#REF!</definedName>
    <definedName name="MLNK2197e779eee84b179daf07e0b9c44351" hidden="1">#REF!</definedName>
    <definedName name="MLNK219c9a0e14fb4c55918e6e83c280ca5f" hidden="1">#REF!</definedName>
    <definedName name="MLNK21b394ac81f14fabaa8eaba06aadca2e" hidden="1">#REF!</definedName>
    <definedName name="MLNK2241a411815f4c4d97b4df9d7c8446dc" hidden="1">#REF!</definedName>
    <definedName name="MLNK22510c882d98426f924661dcd13237c3" hidden="1">#REF!</definedName>
    <definedName name="MLNK225538808c8747648141b4bf65bff04b" hidden="1">#REF!</definedName>
    <definedName name="MLNK2288cbd025bc414ebded2bca3e6909ea" hidden="1">#REF!</definedName>
    <definedName name="MLNK2295043270e64e14b72059cb55810b3e" hidden="1">#REF!</definedName>
    <definedName name="MLNK2298340f567147fb85ccf55310d84c86" hidden="1">#REF!</definedName>
    <definedName name="MLNK22b8afa16be145adaf5c9e856aed3388" hidden="1">#REF!</definedName>
    <definedName name="MLNK22bf6a63919b494da923a503a197c4f9" hidden="1">#REF!</definedName>
    <definedName name="MLNK22c9dce314af48c7b96e7e1c54f5b5b6" hidden="1">#REF!</definedName>
    <definedName name="MLNK22f7aab6ee5d470fadaf4d506e48b512" hidden="1">#REF!</definedName>
    <definedName name="MLNK233acd8ba67b4051993ff741e48503af" hidden="1">#REF!</definedName>
    <definedName name="MLNK2347c852e545498ea3964b8492d1308e" hidden="1">#REF!</definedName>
    <definedName name="MLNK235857ed855c4735a00845d8396b585e" hidden="1">#REF!</definedName>
    <definedName name="MLNK2382b61699164bcfbc6cc116e16e6398" hidden="1">#REF!</definedName>
    <definedName name="MLNK23902629eabe4371a9b573b7bdf88b8f">#REF!</definedName>
    <definedName name="MLNK23958d6f35d940b2afc4e6f595af5491" hidden="1">#REF!</definedName>
    <definedName name="MLNK2438603b121d4e1faafbc0db3272c0c6" hidden="1">#REF!</definedName>
    <definedName name="MLNK249c19d4148d4738ac58b78cf89ffdfe" hidden="1">#REF!</definedName>
    <definedName name="MLNK24baf672734647d1a728773dc2147c2f" hidden="1">#REF!</definedName>
    <definedName name="MLNK258fb2fe1e304de192edccba5865de78" hidden="1">#REF!</definedName>
    <definedName name="MLNK2592dfb496d54163bc599fe36c1f3dc7" hidden="1">#REF!</definedName>
    <definedName name="MLNK25d1a7a869004be4a73c88962944c1f1" hidden="1">#REF!</definedName>
    <definedName name="MLNK26380c975df945c1a931dd0a932bb7b3" hidden="1">#REF!</definedName>
    <definedName name="MLNK267ac1e57b00442889ffc8a3b542ec1b" hidden="1">#REF!</definedName>
    <definedName name="MLNK26bb0bfcca924c7799369282317202e8" hidden="1">#REF!</definedName>
    <definedName name="MLNK26d97087969e4eb5af7967b5e145f091" hidden="1">#REF!</definedName>
    <definedName name="MLNK270d740a85b741e3b58480ff586dc922" hidden="1">#REF!</definedName>
    <definedName name="MLNK27483f31a4074b6b96da69f1ad0686da" hidden="1">#REF!</definedName>
    <definedName name="MLNK2776d5dd0bd64d759bcc5c9db6c27337" hidden="1">#REF!</definedName>
    <definedName name="MLNK27e1025ed2f348f7860b2c1b3ad43572" hidden="1">#REF!</definedName>
    <definedName name="MLNK28238e1cefc6447b87530e0eb10672fa" hidden="1">#REF!</definedName>
    <definedName name="MLNK285418f65b5f409ea51777f66a698e09" hidden="1">#REF!</definedName>
    <definedName name="MLNK288428987d304e459472ed5204dd1ec9" hidden="1">#REF!</definedName>
    <definedName name="MLNK28897cccdbe74cdaaf7976c6f7dc8ffd" hidden="1">#REF!</definedName>
    <definedName name="MLNK28953b5fd1364285b1305b101099143e" hidden="1">#REF!</definedName>
    <definedName name="MLNK28ac5d9c1ef04d3b97db27b45b37be7b" hidden="1">#REF!</definedName>
    <definedName name="MLNK28c18b908a7f4d48a9378d11c946e28d" hidden="1">#REF!</definedName>
    <definedName name="MLNK294da7c833d94bffbcf5abeb91fa1a33" hidden="1">#REF!</definedName>
    <definedName name="MLNK296521c85c494ae785f252e18ab5544f" hidden="1">#REF!</definedName>
    <definedName name="MLNK29d21c4ac455456288c18b8da48b52e6" hidden="1">#REF!</definedName>
    <definedName name="MLNK29ec633913d84864ae34227cdbdda577" hidden="1">#REF!</definedName>
    <definedName name="MLNK29f4c56dc71145fe883c3b0947a04807" hidden="1">#REF!</definedName>
    <definedName name="MLNK2a0423666ec04ea490e2b515579a5bcb" hidden="1">#REF!</definedName>
    <definedName name="MLNK2a0cea4c4e724c66b45b2a34d15f3ff4" hidden="1">#REF!</definedName>
    <definedName name="MLNK2a2461ec836b4e2db1632dd3a6a00afa" hidden="1">#REF!</definedName>
    <definedName name="MLNK2a285a442c72422a9d4117a35485e5b5" hidden="1">#REF!</definedName>
    <definedName name="MLNK2a2f8c4d2f4e4536a7bd30c03b5b1095" hidden="1">#REF!</definedName>
    <definedName name="MLNK2a52f74f109b4980a559d402ded05ef6" hidden="1">#REF!</definedName>
    <definedName name="MLNK2a88f8cf6ac84ef6b0702ed9c04dbd1d" hidden="1">#REF!</definedName>
    <definedName name="MLNK2aa5e684ced2465abee2acfd19c013e8" hidden="1">#REF!</definedName>
    <definedName name="MLNK2ad2769e9b004d878de3e62321877bb2" hidden="1">#REF!</definedName>
    <definedName name="MLNK2b4edf9e0b434573962ad59cf9e288f3" hidden="1">#REF!</definedName>
    <definedName name="MLNK2b8e7d7fdcab465d9702fd54c7b272ef" hidden="1">#REF!</definedName>
    <definedName name="MLNK2bf43938cca34e828a2564dfb330dd2e" hidden="1">#REF!</definedName>
    <definedName name="MLNK2c22a2dd62294ef98861efdc3f2c2dfa" hidden="1">#REF!</definedName>
    <definedName name="MLNK2c7335d9de9c4c52a2032de8dd99ea6c" hidden="1">#REF!</definedName>
    <definedName name="MLNK2c9307151d9641d298315db4d1a6b981" hidden="1">#REF!</definedName>
    <definedName name="MLNK2c9a18f63c6e47ddaed13864262c7905" hidden="1">#REF!</definedName>
    <definedName name="MLNK2c9b844fba754b018de6ea876e8f7ca8" hidden="1">#REF!</definedName>
    <definedName name="MLNK2cd6f7ccd0614941a756b6b27fa6b741" hidden="1">#REF!</definedName>
    <definedName name="MLNK2d137b1f503a44598a48bd5fc5839a80" hidden="1">#REF!</definedName>
    <definedName name="MLNK2d222b44e9d44eb7812044d811f2d9fc" hidden="1">#REF!</definedName>
    <definedName name="MLNK2d24eef9b9b04215868ac9a643a99eb8" hidden="1">#REF!</definedName>
    <definedName name="MLNK2d3339b650914b9d91e1ee312f7efb06" hidden="1">#REF!</definedName>
    <definedName name="MLNK2d3df73d93b3480394562fff2e678872" hidden="1">#REF!</definedName>
    <definedName name="MLNK2d4360c46f5d4ce59897bfc9a99b51ad" hidden="1">#REF!</definedName>
    <definedName name="MLNK2d55e4e53dd84b72bfded67a6e7b034e" hidden="1">#REF!</definedName>
    <definedName name="MLNK2d71ec0831724a09bb4a93c005cafe6d" hidden="1">#REF!</definedName>
    <definedName name="MLNK2dbd8639c88c4b97808c1bd5dfcd7eec" hidden="1">#REF!</definedName>
    <definedName name="MLNK2dc90dee254d422699980d7e19c3eee9" hidden="1">#REF!</definedName>
    <definedName name="MLNK2dd3fcb86933455da2742dc0e1e685f8" hidden="1">#REF!</definedName>
    <definedName name="MLNK2e12148cd1ea4e4587fb9d8878597e49" hidden="1">#REF!</definedName>
    <definedName name="MLNK2e397e6c3a784782bb26c024b5186ded" hidden="1">#REF!</definedName>
    <definedName name="MLNK2e88a18d5ca44ae29728d50ca7e5b31c" hidden="1">#REF!</definedName>
    <definedName name="MLNK2e96b102c50644719e0ad0fa8c103152" hidden="1">#REF!</definedName>
    <definedName name="MLNK2ebb987c5f0a4242ab661e5026f34484" hidden="1">#REF!</definedName>
    <definedName name="MLNK2ef713d871f1475dae9cc1fbcc46f244" hidden="1">#REF!</definedName>
    <definedName name="MLNK2f2548ede8cd4fd0aa96579966a12c9f" hidden="1">#REF!</definedName>
    <definedName name="MLNK2f3c26f5405b48f1b536bdc1d4d591c8" hidden="1">#REF!</definedName>
    <definedName name="MLNK2f768c511e674e98af460b48e28d5748" hidden="1">#REF!</definedName>
    <definedName name="MLNK2f9376a36faf4bd4b5e5b6c54ddef909" hidden="1">#REF!</definedName>
    <definedName name="MLNK2f96ebb8711f411bb7fee818948a89e9" hidden="1">#REF!</definedName>
    <definedName name="MLNK2fc8d72b9e7e47fe8dd30f8a982d30da" hidden="1">#REF!</definedName>
    <definedName name="MLNK301004f4ab364579929b8250fdff5ea3" hidden="1">#REF!</definedName>
    <definedName name="MLNK3014d78eac3043c3946bad37fb1d813a" hidden="1">#REF!</definedName>
    <definedName name="MLNK3021631519d340e5b6949423f8b49f1d" hidden="1">#REF!</definedName>
    <definedName name="MLNK302cb3fb9ad34dc2bae76291a5ea88fd" hidden="1">#REF!</definedName>
    <definedName name="MLNK3039bd13fa794a69b91bbe157c5682b3" hidden="1">#REF!</definedName>
    <definedName name="MLNK304d75e632074eb4931a0ce448ecd0fb" hidden="1">#REF!</definedName>
    <definedName name="MLNK3058628ec54f450181fab600c5fa8e5c" hidden="1">#REF!</definedName>
    <definedName name="MLNK305c5cd8a4a140e49ade7b749a2a3898" hidden="1">#REF!</definedName>
    <definedName name="MLNK306d16aaa6684f60a3395ef8fd866a6d" hidden="1">#REF!</definedName>
    <definedName name="MLNK30b416342d874a75855571dd5a3900db" hidden="1">#REF!</definedName>
    <definedName name="MLNK30c824b0965f430c8142e44f09145874" hidden="1">#REF!</definedName>
    <definedName name="MLNK30d4569c8f024226a754543864d72af4" hidden="1">#REF!</definedName>
    <definedName name="MLNK30db534a7b904315a187abf9c09532ad" hidden="1">#REF!</definedName>
    <definedName name="MLNK3103ce9b0ac24ac9bd435a9de47ef006" hidden="1">#REF!</definedName>
    <definedName name="MLNK311d3f5fb31a4c1bb61d5e1538636cf0" hidden="1">#REF!</definedName>
    <definedName name="MLNK31436179d1fa469687da386be166f33c" hidden="1">#REF!</definedName>
    <definedName name="MLNK31c3d98e8ed447c2858d5a7886c7f48a" hidden="1">#REF!</definedName>
    <definedName name="MLNK31d013812cf74a7792c70d24489bc967" hidden="1">#REF!</definedName>
    <definedName name="MLNK31eef26cacee4fca8f8cce935604b489" hidden="1">#REF!</definedName>
    <definedName name="MLNK3209103d83004acfb4c0527b6cd3537a" hidden="1">#REF!</definedName>
    <definedName name="MLNK3268d26534194ae78a6829ab3abc6dc0" hidden="1">#REF!</definedName>
    <definedName name="MLNK327ba33403f74dfdb95d7ffab7ad0d54" hidden="1">#REF!</definedName>
    <definedName name="MLNK32ace4f21bde44b0bb6a0d038d723ba1" hidden="1">#REF!</definedName>
    <definedName name="MLNK32bc23edbbba477ba26d82e0d95639d4" hidden="1">#REF!</definedName>
    <definedName name="MLNK32ee0a241aa3474cb08f8f87c3cee04b" hidden="1">#REF!</definedName>
    <definedName name="MLNK32f8b12c6fc74396a107eb517f595c72" hidden="1">#REF!</definedName>
    <definedName name="MLNK3327584105bc4b64af55e17271a4aa4a" hidden="1">#REF!</definedName>
    <definedName name="MLNK33461dfcc1b24d4db944b936adf81433" hidden="1">#REF!</definedName>
    <definedName name="MLNK334b6d4febaa48c6a09dcc34f42543d5" hidden="1">#REF!</definedName>
    <definedName name="MLNK33e679a1468640fdba31af9a5dc97997" hidden="1">#REF!</definedName>
    <definedName name="MLNK33f2c904917c421898fbc9e5feb27060" hidden="1">#REF!</definedName>
    <definedName name="MLNK342dace13567433c9d2fed3a03721ef3" hidden="1">#REF!</definedName>
    <definedName name="MLNK343e69d4550d4d569ed3692a3af27249" hidden="1">#REF!</definedName>
    <definedName name="MLNK344301f842ab477899a10badb10066e1" hidden="1">#REF!</definedName>
    <definedName name="MLNK344d80f564404785b23223fadf943020" hidden="1">#REF!</definedName>
    <definedName name="MLNK34677a482ea74a45af5a8ce9a270a3be" hidden="1">#REF!</definedName>
    <definedName name="MLNK347dffffe6f249718e08ef2a45fd19f3" hidden="1">#REF!</definedName>
    <definedName name="MLNK34877a9a671f495689d2bdebd978ef86" hidden="1">#REF!</definedName>
    <definedName name="MLNK34c7fa93eb464ad5a2b278385c5938d9" hidden="1">#REF!</definedName>
    <definedName name="MLNK34fd7739ac32424b9c6835168fc15667" hidden="1">#REF!</definedName>
    <definedName name="MLNK35375daeb63448b1bcc2b0f44545325a" hidden="1">#REF!</definedName>
    <definedName name="MLNK3572343793b84572acf4072f55ec10eb" hidden="1">#REF!</definedName>
    <definedName name="MLNK357432c003e742efa02951da96bad32d" hidden="1">#REF!</definedName>
    <definedName name="MLNK358149cfdc874b62b3dea5bc0466a3ca" hidden="1">#REF!</definedName>
    <definedName name="MLNK35959888d6db41e1b03d965d08ea39e3" hidden="1">#REF!</definedName>
    <definedName name="MLNK35ae5b18e83b4a28a9c48b1e0e16a69d" hidden="1">#REF!</definedName>
    <definedName name="MLNK35fff4c5131c48d393313e0a796fb092" hidden="1">#REF!</definedName>
    <definedName name="MLNK3633a98d8968487c862d25f5d34ef154" hidden="1">#REF!</definedName>
    <definedName name="MLNK3649aed32da64ea8b4b9e3589f2a6238" hidden="1">#REF!</definedName>
    <definedName name="MLNK369920b1bf5446958b730620d9e4844f" hidden="1">#REF!</definedName>
    <definedName name="MLNK373118edaa654c5abfff606c1c2b2805" hidden="1">#REF!</definedName>
    <definedName name="MLNK3750ccfa87ab45d6bfaf3178d6d5ee81" hidden="1">#REF!</definedName>
    <definedName name="MLNK376a1bfabe8e495397cd3e41ac087d53" hidden="1">#REF!</definedName>
    <definedName name="MLNK379da9084b5b4f93be5a03944fe2bbc2" hidden="1">#REF!</definedName>
    <definedName name="MLNK38209a336e0a4ce587b97343e60a71c9" hidden="1">#REF!</definedName>
    <definedName name="MLNK382e83e4bfc343f0a257feb8f7076673" hidden="1">#REF!</definedName>
    <definedName name="MLNK38373749903e4f25b69faec73c77b65c" hidden="1">#REF!</definedName>
    <definedName name="MLNK38564f9fc75d4c7baf74097b56d0a588" hidden="1">#REF!</definedName>
    <definedName name="MLNK385beb7b2b4c47e682c4f5004dcf4001" hidden="1">#REF!</definedName>
    <definedName name="MLNK38e2d3836c304fc3b34625960d9ecdaf" hidden="1">#REF!</definedName>
    <definedName name="MLNK3900b55460ef496e907e1f7ca0142d9c" hidden="1">#REF!</definedName>
    <definedName name="MLNK3926667723324d0786ae2fb124f4cd2b" hidden="1">#REF!</definedName>
    <definedName name="MLNK39730550a50946b090e2bc6333acc775">#REF!</definedName>
    <definedName name="MLNK39aa210a719e477c88bf26cadfe10990" hidden="1">#REF!</definedName>
    <definedName name="MLNK39c33f422eda4076a549eaa34750fc55" hidden="1">#REF!</definedName>
    <definedName name="MLNK3a1eb3072a344effb7c7684dd920384e" hidden="1">#REF!</definedName>
    <definedName name="MLNK3a2397b5b0354edc9b6f5bcf58a412cf" hidden="1">#REF!</definedName>
    <definedName name="MLNK3a2700579f0749879d0d0bd2aed48dc4" hidden="1">#REF!</definedName>
    <definedName name="MLNK3a65f002d9c14f56a46d341f6f9e9593" hidden="1">#REF!</definedName>
    <definedName name="MLNK3a9979f2307143969671366c95bff361">#REF!</definedName>
    <definedName name="MLNK3aa76242fcd044018df02590dd0a5afc" hidden="1">#REF!</definedName>
    <definedName name="MLNK3ad5c54bda594ae3b4496d9fb31ca1cf" hidden="1">#REF!</definedName>
    <definedName name="MLNK3ae84c94648b49c7beb1ca6722016579" hidden="1">#REF!</definedName>
    <definedName name="MLNK3b15c706f1734f6c9a1247d7bb3f81be" hidden="1">#REF!</definedName>
    <definedName name="MLNK3b24469c6d884340a3200c3a9de24344" hidden="1">#REF!</definedName>
    <definedName name="MLNK3b27d6110b7c4df38a21dd37dd284bc0" hidden="1">#REF!</definedName>
    <definedName name="MLNK3b45cd156f2e4a65958622672a4688ae" hidden="1">#REF!</definedName>
    <definedName name="MLNK3b475c4fe720403f85b4e5c45411b21b" hidden="1">#REF!</definedName>
    <definedName name="MLNK3b63859d73194919b662f31b35fa7a7a" hidden="1">#REF!</definedName>
    <definedName name="MLNK3b70caf20a9d438fa65ab7c11490aed0" hidden="1">#REF!</definedName>
    <definedName name="MLNK3b9969497eae4cd5b46731ed50cddcd6" hidden="1">#REF!</definedName>
    <definedName name="MLNK3bd10e6f093a443fb7077c07c5c7f1ee" hidden="1">#REF!</definedName>
    <definedName name="MLNK3c0aeaafeacf48a29ef79a69fdee6cf5" hidden="1">#REF!</definedName>
    <definedName name="MLNK3c0ed4aed28d4b2b9ef0b089e3d6a42d">#REF!</definedName>
    <definedName name="MLNK3c1e11afc513456db8a19962efb24387" hidden="1">#REF!</definedName>
    <definedName name="MLNK3c1f930d3a504b8f88d2e18042fa0999" hidden="1">#REF!</definedName>
    <definedName name="MLNK3c23495a26f142c4b518175c567e45f4" hidden="1">#REF!</definedName>
    <definedName name="MLNK3c2a0aa682524c09909aa9c75c8550cb" hidden="1">#REF!</definedName>
    <definedName name="MLNK3c303bd3bf5f44b896fbf517a9e025f2" hidden="1">#REF!</definedName>
    <definedName name="MLNK3c8885bf92b44db0bc3dbc10b3f9f076" hidden="1">#REF!</definedName>
    <definedName name="MLNK3c9df49b8a624b3482ab8dbd59939f77" hidden="1">#REF!</definedName>
    <definedName name="MLNK3caf93c37cdd4b46a0b1c5fdd43a4036" hidden="1">#REF!</definedName>
    <definedName name="MLNK3cba9f479b4e46cba132ee18ed61c359" hidden="1">#REF!</definedName>
    <definedName name="MLNK3d11101defb149daa9ebf5f33901018c" hidden="1">#REF!</definedName>
    <definedName name="MLNK3d562895cd2b48d3820f4ba072cfff6d">#REF!</definedName>
    <definedName name="MLNK3d76beff5faf4c0e9f8a16842fb59508" hidden="1">#REF!</definedName>
    <definedName name="MLNK3d82d57db3654d138aa4383a75eeef6b" hidden="1">#REF!</definedName>
    <definedName name="MLNK3e133c9bf40b4b40aafc57fc2a2d3192" hidden="1">#REF!</definedName>
    <definedName name="MLNK3e2bb32c7f89445db99808d48d3b9a8a" hidden="1">#REF!</definedName>
    <definedName name="MLNK3e60817100ec4e5798d7395411e75069" hidden="1">#REF!</definedName>
    <definedName name="MLNK3e6519ff296b4acbac82a8842cb91bb8" hidden="1">#REF!</definedName>
    <definedName name="MLNK3e75e0edac4d4711bf68a7c1e1537851" hidden="1">#REF!</definedName>
    <definedName name="MLNK3efb18a1b9ff4f01b3df75d410c82ed0" hidden="1">#REF!</definedName>
    <definedName name="MLNK3f0276b7bc9f4d60b9390a4aad23a822" hidden="1">#REF!</definedName>
    <definedName name="MLNK3f3d52a30c8b4a58adfc9a02d81e4235" hidden="1">#REF!</definedName>
    <definedName name="MLNK3fb98d3af6a74c4a80ee673280e76491" hidden="1">#REF!</definedName>
    <definedName name="MLNK3fd2727b73ef4935857c6c6f2688f6e7">#REF!</definedName>
    <definedName name="MLNK3fd3ff775f6c49d1a609050c1f639cdb" hidden="1">#REF!</definedName>
    <definedName name="MLNK3fdb2b19a7a241e0b1d2e181be09e1c4" hidden="1">#REF!</definedName>
    <definedName name="MLNK4003888ed21f4963a826a4bf3be92bf9" hidden="1">#REF!</definedName>
    <definedName name="MLNK4009342cc02547389dd9360599eec8e3" hidden="1">#REF!</definedName>
    <definedName name="MLNK40134031353d4273b416190a86b209ed" hidden="1">#REF!</definedName>
    <definedName name="MLNK401796dd605a4a34aa63add453a212df" localSheetId="1" hidden="1">#REF!</definedName>
    <definedName name="MLNK401796dd605a4a34aa63add453a212df" localSheetId="10" hidden="1">#REF!</definedName>
    <definedName name="MLNK401796dd605a4a34aa63add453a212df" localSheetId="9" hidden="1">#REF!</definedName>
    <definedName name="MLNK401796dd605a4a34aa63add453a212df" localSheetId="16" hidden="1">#REF!</definedName>
    <definedName name="MLNK401796dd605a4a34aa63add453a212df" hidden="1">#REF!</definedName>
    <definedName name="MLNK40361fbc97664e839b89c71b8ad7f750" hidden="1">#REF!</definedName>
    <definedName name="MLNK4051366c35dd409eb4bf1b6802040b46">#REF!</definedName>
    <definedName name="MLNK40a88410b126480caeb60be92afceb1a" hidden="1">#REF!</definedName>
    <definedName name="MLNK40ac88e1808c40fa80e704258d225a09" hidden="1">#REF!</definedName>
    <definedName name="MLNK40e64cb21e1b41deb2d2eeb6bb55c563" hidden="1">#REF!</definedName>
    <definedName name="MLNK413245b898374266b0c03eb52fb03792">#REF!</definedName>
    <definedName name="MLNK416a6d14cddd40668c30df6bda12fb99" hidden="1">#REF!</definedName>
    <definedName name="MLNK41c5c2030026456596bf4b8013ab44a2" hidden="1">#REF!</definedName>
    <definedName name="MLNK41d65d4db77849fca73d8581b79ef7c9" hidden="1">#REF!</definedName>
    <definedName name="MLNK41e0e3f120cf4ee68d693ce5684a972c" hidden="1">#REF!</definedName>
    <definedName name="MLNK41f655c3311d4abe9300280815768e38" hidden="1">#REF!</definedName>
    <definedName name="MLNK4262444c9cf449a49059974598641d86" hidden="1">#REF!</definedName>
    <definedName name="MLNK4288718f8a79497abde6d5fd21018f8d" hidden="1">#REF!</definedName>
    <definedName name="MLNK429a658fbed1423bb00ff4f03678e604" hidden="1">#REF!</definedName>
    <definedName name="MLNK42bca6dc1a1d4a8c9f4ceefc3e08ab21" hidden="1">#REF!</definedName>
    <definedName name="MLNK42bfd68efaa341cb818ea9a9675a0663" hidden="1">#REF!</definedName>
    <definedName name="MLNK42d7ff510d20447ab417977c86c5f5cc" hidden="1">#REF!</definedName>
    <definedName name="MLNK430fb5467e974d8f96ee00db3247d777" hidden="1">#REF!</definedName>
    <definedName name="MLNK433897b8e52247baa5300d5c9c9a89e2" hidden="1">#REF!</definedName>
    <definedName name="MLNK4359ddb4d4004490ab9d5d712d79d8e3" hidden="1">#REF!</definedName>
    <definedName name="MLNK43ab161c7dbb4c65a05a25aba320ff91" hidden="1">#REF!</definedName>
    <definedName name="MLNK43c87f9b402a4398904977f75b073cf0" hidden="1">#REF!</definedName>
    <definedName name="MLNK44076ce35e8b4ad8a574caa6c7ee081c" hidden="1">#REF!</definedName>
    <definedName name="MLNK441606e8cc034d00a13edbf73de57453" hidden="1">#REF!</definedName>
    <definedName name="MLNK44212f66580d45efae49f9bca9b997ed" hidden="1">#REF!</definedName>
    <definedName name="MLNK442188ccc36f492594f754c2895e8a64" hidden="1">#REF!</definedName>
    <definedName name="MLNK44387f236daf42129f5d350254e912ab" hidden="1">#REF!</definedName>
    <definedName name="MLNK4459cae06296443ab9bd37b62f9a7452" hidden="1">#REF!</definedName>
    <definedName name="MLNK445ac1c67958484cafc685eb29b81af4" hidden="1">#REF!</definedName>
    <definedName name="MLNK446c6bbd6fe14f8c92456a03245c5161" hidden="1">#REF!</definedName>
    <definedName name="MLNK446e3b2a99674236968c2f7d150be789" hidden="1">#REF!</definedName>
    <definedName name="MLNK4478c3d3b194493e934f4941a85012ba" hidden="1">#REF!</definedName>
    <definedName name="MLNK447942e20ad74b548869447c7347d6c3" hidden="1">#REF!</definedName>
    <definedName name="MLNK44a25dbc2aba44c1bad718962f61a057" hidden="1">#REF!</definedName>
    <definedName name="MLNK44c5ab7f04734a60ad2f8ce769b220eb" hidden="1">#REF!</definedName>
    <definedName name="MLNK44d154a7417944d3a0586fc7a21067f0" hidden="1">#REF!</definedName>
    <definedName name="MLNK44dc8b927dd7461d8bc959f6cb966e84" hidden="1">#REF!</definedName>
    <definedName name="MLNK44fcdd990ea547c7a0db9120ce4c129a" hidden="1">#REF!</definedName>
    <definedName name="MLNK450a9affbcd446319f2b3e1b28cf1683" hidden="1">#REF!</definedName>
    <definedName name="MLNK450ca60979e548d99f9d428a2cb9e14f" hidden="1">#REF!</definedName>
    <definedName name="MLNK450e44697373403a917b73991f2211fa" hidden="1">#REF!</definedName>
    <definedName name="MLNK456ce112ff88480fabdb3797a57464c4" hidden="1">#REF!</definedName>
    <definedName name="MLNK456d092102a046f4861b3bc9ab966113" hidden="1">#REF!</definedName>
    <definedName name="MLNK456d8363da7d4f8c8091d147b00fd704" hidden="1">#REF!</definedName>
    <definedName name="MLNK4570d79ca3924acab0a0a792c923be95" hidden="1">#REF!</definedName>
    <definedName name="MLNK4574dd49294b4cbba0e7d382c42413bf" hidden="1">#REF!</definedName>
    <definedName name="MLNK459b803f3a764686878e065f1caa26d4" hidden="1">#REF!</definedName>
    <definedName name="MLNK45ad59771b2542fbbbb7de873bdfd842" hidden="1">#REF!</definedName>
    <definedName name="MLNK45cdd78857a94f3b918086bd89b2f1de" hidden="1">#REF!</definedName>
    <definedName name="MLNK45eb3bca468c4a0c98681f1c3f6c8829" hidden="1">#REF!</definedName>
    <definedName name="MLNK4626d672fda846e4bc471eb3b189c702" hidden="1">#REF!</definedName>
    <definedName name="MLNK468b4667998148908c872c6e2dbeb827" hidden="1">#REF!</definedName>
    <definedName name="MLNK469c8d64fa564cc69022304d4a1d2e6c" localSheetId="1" hidden="1">#REF!</definedName>
    <definedName name="MLNK469c8d64fa564cc69022304d4a1d2e6c" localSheetId="10" hidden="1">#REF!</definedName>
    <definedName name="MLNK469c8d64fa564cc69022304d4a1d2e6c" localSheetId="9" hidden="1">#REF!</definedName>
    <definedName name="MLNK469c8d64fa564cc69022304d4a1d2e6c" localSheetId="16" hidden="1">#REF!</definedName>
    <definedName name="MLNK469c8d64fa564cc69022304d4a1d2e6c" hidden="1">#REF!</definedName>
    <definedName name="MLNK46a1a60f4d6b46f190abbce20afe5377" hidden="1">#REF!</definedName>
    <definedName name="MLNK46bac8dde69d4d678aa1d2beba0c196e" hidden="1">#REF!</definedName>
    <definedName name="MLNK470ee5cecb5848e79d6bdf7f666c5202" hidden="1">#REF!</definedName>
    <definedName name="MLNK4761ea7320e34819a316b75bb161c30d" hidden="1">#REF!</definedName>
    <definedName name="MLNK4767be7c48c0480f9f00d5415aa90b48" hidden="1">#REF!</definedName>
    <definedName name="MLNK47a3d56156214a7cb1b8b78ccc3bd94d" hidden="1">#REF!</definedName>
    <definedName name="MLNK47a5eefebce448488525278db68dcd9e" hidden="1">#REF!</definedName>
    <definedName name="MLNK47ac9d9ab55f4d09ba3b2825a6419e7e" hidden="1">#REF!</definedName>
    <definedName name="MLNK47ef81bdc8414b078ef153ce3b950715" hidden="1">#REF!</definedName>
    <definedName name="MLNK4810df1770d0452ca2eada7d2cfd1f60" hidden="1">#REF!</definedName>
    <definedName name="MLNK48242e73007646e3bd6c09a7eeb3f5fd" hidden="1">#REF!</definedName>
    <definedName name="MLNK4826bbc426b14657a1b7c6b946dff903" hidden="1">#REF!</definedName>
    <definedName name="MLNK482915b6fa774d298469b0418f795bf6" hidden="1">#REF!</definedName>
    <definedName name="MLNK488ee40a83ed4211b571f844e0f4f950" hidden="1">#REF!</definedName>
    <definedName name="MLNK490712e7274c4b99ace12ebb6ec9a079" hidden="1">#REF!</definedName>
    <definedName name="MLNK490f94f3bf63433d8f31a4019527b33e" hidden="1">#REF!</definedName>
    <definedName name="MLNK493dedb159c74321bbc2be93e2f8fa33" hidden="1">#REF!</definedName>
    <definedName name="MLNK497072fd50354cc5aed50c7ded79b597" hidden="1">#REF!</definedName>
    <definedName name="MLNK499dcf0e416d4b3d8c1d9441d42e77df" hidden="1">#REF!</definedName>
    <definedName name="MLNK49a17572343e42c2a0e421cc4bcd94b4" hidden="1">#REF!</definedName>
    <definedName name="MLNK49b19881719a41e6af5e0adea7ef7ddb" hidden="1">#REF!</definedName>
    <definedName name="MLNK49c81f634f7a4b3d9924e88b21402f88" hidden="1">#REF!</definedName>
    <definedName name="MLNK49eb88e865454e82a93da2264b8709b3" hidden="1">#REF!</definedName>
    <definedName name="MLNK4a20f07280154df3b5e85f5e30a0cc09" hidden="1">#REF!</definedName>
    <definedName name="MLNK4a3bc81d8ef4428ba67966aef83e3e8c" hidden="1">#REF!</definedName>
    <definedName name="MLNK4a58fbc4c41440219e2ac12778ebb081" hidden="1">#REF!</definedName>
    <definedName name="MLNK4a727056ff7046ca8b908d88c1a6d03c" hidden="1">#REF!</definedName>
    <definedName name="MLNK4abd80b293ea436d9d57456fcd8311d4" hidden="1">#REF!</definedName>
    <definedName name="MLNK4b0c1d8310df4ad993c997d8e32ef102" hidden="1">#REF!</definedName>
    <definedName name="MLNK4b158799060a4301a1d6a9274a431fc9" hidden="1">#REF!</definedName>
    <definedName name="MLNK4b2988e7bd244028b62066193fdceac1" hidden="1">#REF!</definedName>
    <definedName name="MLNK4b2bc386a9db4f2586911c4525f092de" hidden="1">#REF!</definedName>
    <definedName name="MLNK4b2f943a377c4a23a90f683bb7237966">#REF!</definedName>
    <definedName name="MLNK4b4aaa53a8a74caa95606665479c5205" hidden="1">#REF!</definedName>
    <definedName name="MLNK4b753a5e1a0c4e13b375c360271ac0be" hidden="1">#REF!</definedName>
    <definedName name="MLNK4b7d64d727cb4d299faedb7aa60fede6" hidden="1">#REF!</definedName>
    <definedName name="MLNK4b8f19a88de5417aa7f2529da6857135" hidden="1">#REF!</definedName>
    <definedName name="MLNK4b970bacc1e34275ac82f37812bc9017" hidden="1">#REF!</definedName>
    <definedName name="MLNK4ba5be209d354c7c89d3c27ee857b711" hidden="1">#REF!</definedName>
    <definedName name="MLNK4bc25c7347df43fc876ae2079ebe4046" hidden="1">#REF!</definedName>
    <definedName name="MLNK4bc9ef8e02ef4dc8a22ed00017e8eb2b" hidden="1">#REF!</definedName>
    <definedName name="MLNK4bd2a4adec6b4594b1dca693cc1f1679" hidden="1">#REF!</definedName>
    <definedName name="MLNK4c3a32f5cab4431288e53068538dbf61" hidden="1">#REF!</definedName>
    <definedName name="MLNK4caee3dbea574a008b7127607af1eff0" hidden="1">#REF!</definedName>
    <definedName name="MLNK4ce06a5e3d6c4adab05c01ce74a0625a" hidden="1">#REF!</definedName>
    <definedName name="MLNK4cebb11f60394c6d867cb4fd979e2a2e" hidden="1">#REF!</definedName>
    <definedName name="MLNK4cf62390e5924c65b485155ebb58dd21" hidden="1">#REF!</definedName>
    <definedName name="MLNK4cfd237c5dd74fc2a1414ef605fa949c" hidden="1">#REF!</definedName>
    <definedName name="MLNK4d3e231a58254744b83b2a149bd1d9cd" hidden="1">#REF!</definedName>
    <definedName name="MLNK4d63ade4ac6b408e814fc0c5ab8faa18" hidden="1">#REF!</definedName>
    <definedName name="MLNK4d6f6f4fc28b4bbc8674cae65d335b05" hidden="1">#REF!</definedName>
    <definedName name="MLNK4d9f57306f184723a045b25e5f5752b1" hidden="1">#REF!</definedName>
    <definedName name="MLNK4dc341376b0d45eb8efac354b09610d6" hidden="1">#REF!</definedName>
    <definedName name="MLNK4dc4f5a2a66d4da2aba567afbd53679a" hidden="1">#REF!</definedName>
    <definedName name="MLNK4e3066ea8b964c10a4ec76ed78aa8186" hidden="1">#REF!</definedName>
    <definedName name="MLNK4e6f9cf4231d4bab95f0fee24f2df3f5" hidden="1">#REF!</definedName>
    <definedName name="MLNK4e9ad9582a0e4097bb09e6c31f163e76" hidden="1">#REF!</definedName>
    <definedName name="MLNK4e9fe866805e433cb45d899098419a98" hidden="1">#REF!</definedName>
    <definedName name="MLNK4efc9ff16f504853b12ac6cd532181ee" hidden="1">#REF!</definedName>
    <definedName name="MLNK4f1d719212884a4cbb0b6f15f404a2f2" hidden="1">#REF!</definedName>
    <definedName name="MLNK4f596b9a8d22442db6dfa8a8735be199" hidden="1">#REF!</definedName>
    <definedName name="MLNK4f82f7df63ae470bbbd060617d7532a7" hidden="1">#REF!</definedName>
    <definedName name="MLNK4fb1e2df7c574b14a97d20ed943a899f" hidden="1">#REF!</definedName>
    <definedName name="MLNK4ff00a9638d2470183256671cda3c1f1" hidden="1">#REF!</definedName>
    <definedName name="MLNK4ffb8169eb9c4f11bf455106fbe18aac" hidden="1">#REF!</definedName>
    <definedName name="MLNK5004677a5fb249b78cc93496740fe8ef" hidden="1">#REF!</definedName>
    <definedName name="MLNK501f53515a344b728dd741b488643c55" hidden="1">#REF!</definedName>
    <definedName name="MLNK5029deae023f4211a746b4c7c08b1202" hidden="1">#REF!</definedName>
    <definedName name="MLNK5033d17ae3df47539301dbd58ac2279b" hidden="1">#REF!</definedName>
    <definedName name="MLNK50440b0800ef41abac09352a029d860b" hidden="1">#REF!</definedName>
    <definedName name="MLNK5050450b9c2c40d1bdab7f80d2167cbe" hidden="1">#REF!</definedName>
    <definedName name="MLNK506de52012004e9988d17037cb5a6b9b" hidden="1">#REF!</definedName>
    <definedName name="MLNK506e07de12964696a471a81277cd68ab" hidden="1">#REF!</definedName>
    <definedName name="MLNK5082ed327542417aa1102b7b4300486f" hidden="1">#REF!</definedName>
    <definedName name="MLNK50f507d382d14a738ff9ca2e0bab9f47" hidden="1">#REF!</definedName>
    <definedName name="MLNK5116ffac22214d0d8c76405c0fa04725" hidden="1">#REF!</definedName>
    <definedName name="MLNK512e505233f347e3b159bf5b02c9f04f" hidden="1">#REF!</definedName>
    <definedName name="MLNK51bbe7059d02466686c2c6d26a1241ac" hidden="1">#REF!</definedName>
    <definedName name="MLNK51d1d521159c4869ad88e23211f7a455" hidden="1">#REF!</definedName>
    <definedName name="MLNK5207de28986648c680e0dfb2cae3ceb7" hidden="1">#REF!</definedName>
    <definedName name="MLNK520d70b208e64b5590cc7de9c27397fe" hidden="1">#REF!</definedName>
    <definedName name="MLNK52365e7748d748e9802ac1c9b41fd982" hidden="1">#REF!</definedName>
    <definedName name="MLNK5280d2734dac4381a6c3e55dc689ffbe" hidden="1">#REF!</definedName>
    <definedName name="MLNK52af0d31d69947be92b5bea813a206da" hidden="1">#REF!</definedName>
    <definedName name="MLNK5304ca882fd941b2981c3b53f8f13687" hidden="1">#REF!</definedName>
    <definedName name="MLNK530d747469a14267b25dcc295465deb2" hidden="1">#REF!</definedName>
    <definedName name="MLNK536258af8b294df292db49e1a9e378d4" hidden="1">#REF!</definedName>
    <definedName name="MLNK538af5b00ef24abd9757e826f42f1f7d" hidden="1">#REF!</definedName>
    <definedName name="MLNK53a1a3b49d5f49feb820e79fc25e409c" hidden="1">#REF!</definedName>
    <definedName name="MLNK53becbb084e44289a45765a76d70539b" hidden="1">#REF!</definedName>
    <definedName name="MLNK53bee4775a584b9da79c7bea9c9bfda2" hidden="1">#REF!</definedName>
    <definedName name="MLNK53d39261cc044321b2f025c9fbb462e1" hidden="1">#REF!</definedName>
    <definedName name="MLNK53da22edd1974e5cb0238b8b929cdadd" hidden="1">#REF!</definedName>
    <definedName name="MLNK53e9401a77c24f1e93f6f72d6330a8ce" hidden="1">#REF!</definedName>
    <definedName name="MLNK54098f085568481aaa527704a0c3bbd5" hidden="1">#REF!</definedName>
    <definedName name="MLNK543c126905814648a1a47954ff641cf0" hidden="1">#REF!</definedName>
    <definedName name="MLNK54446a05ed3e4224a91e5f87f46e6682" hidden="1">#REF!</definedName>
    <definedName name="MLNK5483b5ab55224539b7e6775ce5dd2728" hidden="1">#REF!</definedName>
    <definedName name="MLNK549dcba4fc814365baaa7a8a08008825" hidden="1">#REF!</definedName>
    <definedName name="MLNK54cef5d1c9af4b0ea37871f508367949" hidden="1">#REF!</definedName>
    <definedName name="MLNK54ef9a35ec1e48b9afc3803651f08539" hidden="1">#REF!</definedName>
    <definedName name="MLNK55244e24565d4767aa67d3948d76939f" hidden="1">#REF!</definedName>
    <definedName name="MLNK5524cfc1ee1d439f9aedc122a3b3677c" hidden="1">#REF!</definedName>
    <definedName name="MLNK5551728bcc994ab9b853e277ebc305f8" hidden="1">#REF!</definedName>
    <definedName name="MLNK555d572fa37c4b7a9f7e230fdebcd79e" hidden="1">#REF!</definedName>
    <definedName name="MLNK55601216ac584c0da457300afa906b7f" hidden="1">#REF!</definedName>
    <definedName name="MLNK55d2b9cc1443493b9f0f0f332fd4bc4c" hidden="1">#REF!</definedName>
    <definedName name="MLNK55f20cc566f943aeb113957bbfd129f1" hidden="1">#REF!</definedName>
    <definedName name="MLNK560a72e65a9547dbb378addef429e8b2" hidden="1">#REF!</definedName>
    <definedName name="MLNK5644e0827c2e46ce9652846455e96ed8" hidden="1">#REF!</definedName>
    <definedName name="MLNK5646e628673042eeb6fb16be4a9543a2" hidden="1">#REF!</definedName>
    <definedName name="MLNK56499397d49d4c2fb69cb4207d620a36" hidden="1">#REF!</definedName>
    <definedName name="MLNK564dcd2149f742bcac54a9fd41f392ed" hidden="1">#REF!</definedName>
    <definedName name="MLNK5690cdd6caa044cb993fa43cbfc0c3cb" hidden="1">#REF!</definedName>
    <definedName name="MLNK56ddad62068e45e39494d770d0812ffd" hidden="1">#REF!</definedName>
    <definedName name="MLNK5704f7ae79bb4b77a2f3e1a407bf1758" hidden="1">#REF!</definedName>
    <definedName name="MLNK573cfce5b5384118b8515c16dc747c9b" hidden="1">#REF!</definedName>
    <definedName name="MLNK579a038a0ba240fda09b09d767b8f1bb" hidden="1">#REF!</definedName>
    <definedName name="MLNK579a7ca72f154e4887bbcc7953cf8b5e">#REF!</definedName>
    <definedName name="MLNK57a151c9f4de41269dad06bfcd15b2c5" hidden="1">#REF!</definedName>
    <definedName name="MLNK57af305fffe649759fbe2d2468cf586e" hidden="1">#REF!</definedName>
    <definedName name="MLNK57b5a1b3e5334371b904ec2b5a185360" hidden="1">#REF!</definedName>
    <definedName name="MLNK57c3ab29174f4c10b9d897464bc883f7" hidden="1">#REF!</definedName>
    <definedName name="MLNK57cc49cf283443c797709d75891971c6" hidden="1">#REF!</definedName>
    <definedName name="MLNK57de417272c74fc29302ff1989ce10da" hidden="1">#REF!</definedName>
    <definedName name="MLNK57f06012aaa84ed0a2804fd874d90cc8" hidden="1">#REF!</definedName>
    <definedName name="MLNK58214aea9fa64f87910e12872b6337b1" hidden="1">#REF!</definedName>
    <definedName name="MLNK5836f614c03a42ad91793364040f9c2c" hidden="1">#REF!</definedName>
    <definedName name="MLNK587acb5b37b4424490bb71d261988a5f" hidden="1">#REF!</definedName>
    <definedName name="MLNK587c1e0913f24c9f82f8fd27e2a9cb01" hidden="1">#REF!</definedName>
    <definedName name="MLNK588e7bd094b34301973d40fd98510a74" hidden="1">#REF!</definedName>
    <definedName name="MLNK58b64a50fee44358bbcf229b0ef77c7f" hidden="1">#REF!</definedName>
    <definedName name="MLNK58bca00b3e404ed999068d0b98aca390" hidden="1">#REF!</definedName>
    <definedName name="MLNK58c04a9b470547cba781cc5d54ec065b" hidden="1">#REF!</definedName>
    <definedName name="MLNK58ceee5486ab4efe843a5206594b0be5" hidden="1">#REF!</definedName>
    <definedName name="MLNK58d14a223e804d77a7f475c395005b59" hidden="1">#REF!</definedName>
    <definedName name="MLNK58e4c6e0c6f748eda4725a4972e59f52" hidden="1">#REF!</definedName>
    <definedName name="MLNK590ec5e3a7824908a027bacdb4d229a6" hidden="1">#REF!</definedName>
    <definedName name="MLNK5949158e6fb846a5866ea9fb7f257a7e" hidden="1">#REF!</definedName>
    <definedName name="MLNK59a63562117a416eb8e87bb8b5a54463" hidden="1">#REF!</definedName>
    <definedName name="MLNK59ac50a5a4934745855db0d4cf936761" hidden="1">#REF!</definedName>
    <definedName name="MLNK59c50e584ad44a0a95888d8830b56133" hidden="1">#REF!</definedName>
    <definedName name="MLNK59dfb6395f3c4dbaa79950e05124a2d0" hidden="1">#REF!</definedName>
    <definedName name="MLNK59e5ba3050c842dea5e994fbf12e438a" hidden="1">#REF!</definedName>
    <definedName name="MLNK59fdaf7b65d140f6a60b4a50c47cdaf0" hidden="1">#REF!</definedName>
    <definedName name="MLNK5a0982c5d1304009b0b9a5260d3f572e" hidden="1">#REF!</definedName>
    <definedName name="MLNK5a1f9422037f46cb9f9087406c84bee9" hidden="1">#REF!</definedName>
    <definedName name="MLNK5a4be9a96a4645a3ba901b64a6431547">#REF!</definedName>
    <definedName name="MLNK5a92179366844227a64a5d5bcee1f4ed" hidden="1">#REF!</definedName>
    <definedName name="MLNK5ad5bb937e514a76a48789894fb31b1c" hidden="1">#REF!</definedName>
    <definedName name="MLNK5ae01645c6584f44b23a9ab27bd573d6" hidden="1">#REF!</definedName>
    <definedName name="MLNK5af2acf13c684dafacc52ceef9f7a034" hidden="1">#REF!</definedName>
    <definedName name="MLNK5b0bcb4344214b5c95b741683d81956c" hidden="1">#REF!</definedName>
    <definedName name="MLNK5b51dce9b8fa4bc3b03ed7afacd440a6" hidden="1">#REF!</definedName>
    <definedName name="MLNK5b791bad8e564bc1a57b3df75d8a4d01" hidden="1">#REF!</definedName>
    <definedName name="MLNK5b89ac41e39849c6b2642f1be083b6e7" hidden="1">#REF!</definedName>
    <definedName name="MLNK5baeb531267c442f9e906a2b0aa5ebcb" hidden="1">#REF!</definedName>
    <definedName name="MLNK5bdb06577ce94aa087b9b788cc418295" hidden="1">#REF!</definedName>
    <definedName name="MLNK5be00e3d18634da9aa556626703bbb9c" hidden="1">#REF!</definedName>
    <definedName name="MLNK5beea95aa73e410f996ef9d327dcbdf7" hidden="1">#REF!</definedName>
    <definedName name="MLNK5c034859005c40728c4a5d5b899dc9c2" hidden="1">#REF!</definedName>
    <definedName name="MLNK5c2d1a989b184d97878338471d10095b" hidden="1">#REF!</definedName>
    <definedName name="MLNK5cb7751b5f68424a9866ce1e40fb3ebd" hidden="1">#REF!</definedName>
    <definedName name="MLNK5cc166a51390451bbb5ed31b79e35f8c" hidden="1">#REF!</definedName>
    <definedName name="MLNK5cdd91d15caa43bdb7b69760e78a9446" hidden="1">#REF!</definedName>
    <definedName name="MLNK5ce1bf83b9984b3589e6268771811f86" hidden="1">#REF!</definedName>
    <definedName name="MLNK5d3bb7dfe9ac44e3882c55d81633d45e" hidden="1">#REF!</definedName>
    <definedName name="MLNK5d5e19938828409ab5c363fc26397f2c" hidden="1">#REF!</definedName>
    <definedName name="MLNK5d7331e05a544d2ab3ecacc6fdbc17a9" hidden="1">#REF!</definedName>
    <definedName name="MLNK5d974e25d9074a7dab152c001d19931e" hidden="1">#REF!</definedName>
    <definedName name="MLNK5d9cf391a9514f08b9658721e36a84e4" hidden="1">#REF!</definedName>
    <definedName name="MLNK5e21686344254a9782f1efdc890974b1" hidden="1">#REF!</definedName>
    <definedName name="MLNK5e35126b6b564e3cb39b260cd63a8743" hidden="1">#REF!</definedName>
    <definedName name="MLNK5e6dd1b21985429685d6929a58316fe6" hidden="1">#REF!</definedName>
    <definedName name="MLNK5e8d9a9eb56647e1b02341f9e6471912" hidden="1">#REF!</definedName>
    <definedName name="MLNK5ecfda411d894a21bb1f64f7a948a9a5" hidden="1">#REF!</definedName>
    <definedName name="MLNK5f18cd03750040c9825c7b2738ec4241" hidden="1">#REF!</definedName>
    <definedName name="MLNK5f1e5f72165f4a29839c4d75b75182b6" hidden="1">#REF!</definedName>
    <definedName name="MLNK5f2b46fc20914888b1c4faa9cfa5ebb8" hidden="1">#REF!</definedName>
    <definedName name="MLNK5f8ce8464a104085a17eafe72f17d255" hidden="1">#REF!</definedName>
    <definedName name="MLNK602c12a73f55457d818ce190b94e988d" hidden="1">#REF!</definedName>
    <definedName name="MLNK604c813d19964b0a960a40c4b95903d9" hidden="1">#REF!</definedName>
    <definedName name="MLNK607891c6dac14819b98956b3a9900c3e" hidden="1">#REF!</definedName>
    <definedName name="MLNK60e9bfcfb9074dddacdb1e4d989b09d7">#REF!</definedName>
    <definedName name="MLNK61d57342463c46728822e6e2a148d6a9" hidden="1">#REF!</definedName>
    <definedName name="MLNK61dfdd6c4b8b4f5d963a247ff4b898d1" hidden="1">#REF!</definedName>
    <definedName name="MLNK61dfe080c9ad448385efbfb0a690a8b5" hidden="1">#REF!</definedName>
    <definedName name="MLNK620bde097c5a4852bdc9e41872a57329" hidden="1">#REF!</definedName>
    <definedName name="MLNK6219adc258ae4ccc821066dceb3767df" hidden="1">#REF!</definedName>
    <definedName name="MLNK625b5dd5cae748e7b1bd9f09caad7a9f" hidden="1">#REF!</definedName>
    <definedName name="MLNK626ef679a00341308ad5f1f2295eb624" hidden="1">#REF!</definedName>
    <definedName name="MLNK62ad49d0538e49149ae4560e5f57a115" hidden="1">#REF!</definedName>
    <definedName name="MLNK62c32b56f1a344d391b3b14b80f42f98" hidden="1">#REF!</definedName>
    <definedName name="MLNK62f29716dc004bec9e64c7d004d76d91" hidden="1">#REF!</definedName>
    <definedName name="MLNK630e2e7cddc64c519edc321dff43ac2d" hidden="1">#REF!</definedName>
    <definedName name="MLNK631146f2892148b4a34a917253dd39f9" hidden="1">#REF!</definedName>
    <definedName name="MLNK631e8b9fa599432d846da65d17b3d8aa" hidden="1">#REF!</definedName>
    <definedName name="MLNK637be25d311a48b9820f9a6cd7128711" hidden="1">#REF!</definedName>
    <definedName name="MLNK639406f94c9e45fc8f84ce0b6b326731" hidden="1">#REF!</definedName>
    <definedName name="MLNK639e2e5f85884bf39858985381fc3f60" hidden="1">#REF!</definedName>
    <definedName name="MLNK63bd9e0468a0426180b71ad88c16272e" hidden="1">#REF!</definedName>
    <definedName name="MLNK63c6c5dc3b6d4184a23478a625b5242b" hidden="1">#REF!</definedName>
    <definedName name="MLNK63d49f2f43c94a25897787a6d100fef8" hidden="1">#REF!</definedName>
    <definedName name="MLNK63d68c0a3c1d4bb18528d7bcbab87f30" hidden="1">#REF!</definedName>
    <definedName name="MLNK640959d44f8d43db9d77789de0b66083" hidden="1">#REF!</definedName>
    <definedName name="MLNK643e62601f3c46ccbf43c801d285eced" hidden="1">#REF!</definedName>
    <definedName name="MLNK647e9da5cc994c8786b3dd44caad0709" hidden="1">#REF!</definedName>
    <definedName name="MLNK648dbc194ecb472883c82acb1065758c" hidden="1">#REF!</definedName>
    <definedName name="MLNK64a7fdb4af6042b0a2710d6727857d6f" hidden="1">#REF!</definedName>
    <definedName name="MLNK64ae4bd52ea04bfcb5433e9343d9750f" hidden="1">#REF!</definedName>
    <definedName name="MLNK64b6025fa1624193960ff6183898104a" hidden="1">#REF!</definedName>
    <definedName name="MLNK64f59375e03a46acad576c910d112b90" hidden="1">#REF!</definedName>
    <definedName name="MLNK6510aa696f7a4addadb3f9289b78e620" hidden="1">#REF!</definedName>
    <definedName name="MLNK652db140919a49b0a8e2892539023157" hidden="1">#REF!</definedName>
    <definedName name="MLNK65a1aa2a14704f9c8b037e52b2ea3ebc" hidden="1">#REF!</definedName>
    <definedName name="MLNK65a50a33242646449e2996b4d5608857" hidden="1">#REF!</definedName>
    <definedName name="MLNK65b0927dcd154dc99be9125086d87fa4" hidden="1">#REF!</definedName>
    <definedName name="MLNK65c42df3fa1c470da4868ed5c2996ac8" hidden="1">#REF!</definedName>
    <definedName name="MLNK65dac3b8829c4c9fb400d3be45dd3a51" hidden="1">#REF!</definedName>
    <definedName name="MLNK65ee07515b3e44539821247013175d5e" hidden="1">#REF!</definedName>
    <definedName name="MLNK661740a773314051afa1297015d3484d" hidden="1">#REF!</definedName>
    <definedName name="MLNK6640f413183a49e882dd6dc86ebce110" hidden="1">#REF!</definedName>
    <definedName name="MLNK6668eb652c0d49218ad0f2843088eace" hidden="1">#REF!</definedName>
    <definedName name="MLNK66c75c341f03449b84264b64f98b4b52" hidden="1">#REF!</definedName>
    <definedName name="MLNK66ceb698dda14507957a4b7679ae214c" hidden="1">#REF!</definedName>
    <definedName name="MLNK66d67bac57794de190fc84647550b4fd" hidden="1">#REF!</definedName>
    <definedName name="MLNK6756b38cdaf94c89a58d0a6201775f87" hidden="1">#REF!</definedName>
    <definedName name="MLNK67ac2a40ae864e318162ff88550a30f4" hidden="1">#REF!</definedName>
    <definedName name="MLNK67c0f37b6fd9485b9b32998438fb2ff3" hidden="1">#REF!</definedName>
    <definedName name="MLNK67c4e112dac14b52bd219b4b2f1b9021" hidden="1">#REF!</definedName>
    <definedName name="MLNK68a2fd345a014c049fbe5f110270a900" hidden="1">#REF!</definedName>
    <definedName name="MLNK68cb965b07ea4954ac247115d9b7e176" hidden="1">#REF!</definedName>
    <definedName name="MLNK68fa3783e6cb4001b39bc9efc595fae9" hidden="1">#REF!</definedName>
    <definedName name="MLNK69673ece494d495a8d8c74006cee213e" hidden="1">#REF!</definedName>
    <definedName name="MLNK69747e28881b401b8db3863803a4f24c" hidden="1">#REF!</definedName>
    <definedName name="MLNK698073571dca4da086f7f664597a9c3b" hidden="1">#REF!</definedName>
    <definedName name="MLNK699b58a612974b93be5a44ed98ef374c" hidden="1">#REF!</definedName>
    <definedName name="MLNK69fbc2bdd09e4ca8b289891026c5d80f" hidden="1">#REF!</definedName>
    <definedName name="MLNK6a90fea2bfcb4647af0a64b7c0e812dd" hidden="1">#REF!</definedName>
    <definedName name="MLNK6a9ae860d6964b5ea1329d975b3a7408" hidden="1">#REF!</definedName>
    <definedName name="MLNK6a9c225400bd42b583ebb5cd458fc815" hidden="1">#REF!</definedName>
    <definedName name="MLNK6ab65affe456490283813564d5d9c3ac" hidden="1">#REF!</definedName>
    <definedName name="MLNK6abb087ca39d4c41b483c604978851ab" hidden="1">#REF!</definedName>
    <definedName name="MLNK6abc52925ec048ffab993bce79337cf1" hidden="1">#REF!</definedName>
    <definedName name="MLNK6ac88863b8e046e8bdf290eab371f973" hidden="1">#REF!</definedName>
    <definedName name="MLNK6ad3ca8fff464b70adaf6af06d7a2619" hidden="1">#REF!</definedName>
    <definedName name="MLNK6aed28be8ddc4f11a9e7de89eb0c03f7" hidden="1">#REF!</definedName>
    <definedName name="MLNK6aff4d1dd4d3453f93143af4ee65d6ea" hidden="1">#REF!</definedName>
    <definedName name="MLNK6b035f7b2f8947a18892776645df6203" hidden="1">#REF!</definedName>
    <definedName name="MLNK6b2bfc609bc848fcb2a24efaae2a6a1d" hidden="1">#REF!</definedName>
    <definedName name="MLNK6b3a542562c24eb5bd476fe7bc9c1ebe" hidden="1">#REF!</definedName>
    <definedName name="MLNK6b83a58f616f4f7ca503f7291881e7fe" hidden="1">#REF!</definedName>
    <definedName name="MLNK6ba73bc89c0140bfae0656f660c2b9e5" hidden="1">#REF!</definedName>
    <definedName name="MLNK6bcf83af1484453d9e178f7f7cd9f4c8" hidden="1">#REF!</definedName>
    <definedName name="MLNK6bdc1b0534f44e139dcfd0e2e4b4adb0" hidden="1">#REF!</definedName>
    <definedName name="MLNK6c0dcc8b84cf4d49a3fc349422316dcf" hidden="1">#REF!</definedName>
    <definedName name="MLNK6c366c116e384eb5a91f0cfa4851cda4" hidden="1">#REF!</definedName>
    <definedName name="MLNK6c49fc2517324ea6bfe181ffd0c0068d" hidden="1">#REF!</definedName>
    <definedName name="MLNK6ca8982026fb478d90f540d9c4226643" hidden="1">#REF!</definedName>
    <definedName name="MLNK6cb775e7f651480d83787f466cec0500" hidden="1">#REF!</definedName>
    <definedName name="MLNK6cd2ce2ebc884372936e466d1f9615a5" hidden="1">#REF!</definedName>
    <definedName name="MLNK6cf4b641dd3d4cf784b10294d2dfbf8c" hidden="1">#REF!</definedName>
    <definedName name="MLNK6d157d0ea71147dfa63dbeaf53428173" hidden="1">#REF!</definedName>
    <definedName name="MLNK6d2ffabaa8fa44bcb6bf99d337d27bb0" hidden="1">#REF!</definedName>
    <definedName name="MLNK6d3b4f360f204a9e985dbcc67e756a52" hidden="1">#REF!</definedName>
    <definedName name="MLNK6d47d36be8784f7abd35f4239e2c2338" hidden="1">#REF!</definedName>
    <definedName name="MLNK6d937cf4e9f7493798d92bea154507d2" hidden="1">#REF!</definedName>
    <definedName name="MLNK6e4c926ca680471c90f253fe4833c1d2" hidden="1">#REF!</definedName>
    <definedName name="MLNK6e5b94020c5d4355ae966627342c9090" hidden="1">#REF!</definedName>
    <definedName name="MLNK6e972bed02b344689e9d3b44e20417d0" hidden="1">#REF!</definedName>
    <definedName name="MLNK6ec1447db27d43ad84ba0867ac273330" hidden="1">#REF!</definedName>
    <definedName name="MLNK6edefe2739a7403da4352776e17c3bfc" hidden="1">#REF!</definedName>
    <definedName name="MLNK6f1b62179db84640bcd862c3a560ec5e" hidden="1">#REF!</definedName>
    <definedName name="MLNK6f21dc81a1ec454abe6f95938cd9d67a" hidden="1">#REF!</definedName>
    <definedName name="MLNK6f2bb2bc929c403d927622e96a29ab72" hidden="1">#REF!</definedName>
    <definedName name="MLNK6f4a32adc6e147a58d1a2ec83f014408" hidden="1">#REF!</definedName>
    <definedName name="MLNK6f6f0cf1c9fe441c9507b7ab8a7aabb9" hidden="1">#REF!</definedName>
    <definedName name="MLNK6f76922793a349d5af96ee57a380174c" hidden="1">#REF!</definedName>
    <definedName name="MLNK6fed5a70ca9040cda5319a5dde48e3f3" hidden="1">#REF!</definedName>
    <definedName name="MLNK6fefe996e2264f56aa3566206375b593" hidden="1">#REF!</definedName>
    <definedName name="MLNK701692b39053461fbff68618e14ac736" hidden="1">#REF!</definedName>
    <definedName name="MLNK70369f8c249d489bb71fc7756be9f70c" hidden="1">#REF!</definedName>
    <definedName name="MLNK705f056e61b64a219d438ad8fcfbfdc9" hidden="1">#REF!</definedName>
    <definedName name="MLNK70ae4683be854ebab3a71130a801601d" hidden="1">#REF!</definedName>
    <definedName name="MLNK70c450c37227448eb204611ba9483383" hidden="1">#REF!</definedName>
    <definedName name="MLNK71107c28a13d47fa9ea07defcd3a5c7c" hidden="1">#REF!</definedName>
    <definedName name="MLNK715f1a713ec94040b0beee8df96480a8" hidden="1">#REF!</definedName>
    <definedName name="MLNK7185b37e936a423a8fcd2273abf9939b" hidden="1">#REF!</definedName>
    <definedName name="MLNK71af62d8e953490380b2d0062bacd9a1" hidden="1">#REF!</definedName>
    <definedName name="MLNK71e7be680b9a4d789010fa60e2df2be2" hidden="1">#REF!</definedName>
    <definedName name="MLNK721958d6e63e4a56a57758b27fc321a1" hidden="1">#REF!</definedName>
    <definedName name="MLNK7244336f1c0841beba20f2d71524d399" hidden="1">#REF!</definedName>
    <definedName name="MLNK72673c67dffa4484bed3937483bc2951" hidden="1">#REF!</definedName>
    <definedName name="MLNK72ee8f11c16c42be9bf1302265fe08eb" hidden="1">#REF!</definedName>
    <definedName name="MLNK72f89756ca0a417491ed3484ab6cd110" hidden="1">#REF!</definedName>
    <definedName name="MLNK73004a2623af48afad32ba4f15619744" hidden="1">#REF!</definedName>
    <definedName name="MLNK730c0d424e7b4a2d84c0effc0ba2b15b" hidden="1">#REF!</definedName>
    <definedName name="MLNK7326cdaa63034681b6591bc69fd2acc5" hidden="1">#REF!</definedName>
    <definedName name="MLNK735ededb20d24300be137bfa79ca53b4" hidden="1">#REF!</definedName>
    <definedName name="MLNK7379b8a3419548c188a4438f3dc92bff" hidden="1">#REF!</definedName>
    <definedName name="MLNK738eeb7e7965469088cfeb2c63c5c2ca" hidden="1">#REF!</definedName>
    <definedName name="MLNK7393f8478e214fa6bbfb071dc35eea54" hidden="1">#REF!</definedName>
    <definedName name="MLNK739cf1405ed24b118f46e41fa70b6ca1" hidden="1">#REF!</definedName>
    <definedName name="MLNK73a39fbe29a44f7299d6d608c1530a6f" hidden="1">#REF!</definedName>
    <definedName name="MLNK73a882ba0e294ee4b4daa0456b11eddd" hidden="1">#REF!</definedName>
    <definedName name="MLNK73d1cba8939a41e9aa6453f94c052add" hidden="1">#REF!</definedName>
    <definedName name="MLNK73e9e5ecb9f34bb9b4d1ffd09b5785fb" hidden="1">#REF!</definedName>
    <definedName name="MLNK743becbbe33c4a2284d9800d11005f29" hidden="1">#REF!</definedName>
    <definedName name="MLNK7446a4c183b1444d8ba85339e030afd7" hidden="1">#REF!</definedName>
    <definedName name="MLNK744c3539810a4b738455a2b893adb836" hidden="1">#REF!</definedName>
    <definedName name="MLNK7454c729cd374922b8c3856a6046f856" hidden="1">#REF!</definedName>
    <definedName name="MLNK747f27a868304652be470f4e2233354c" hidden="1">#REF!</definedName>
    <definedName name="MLNK74cc568f049f4b189f10694e0b0b949d" hidden="1">#REF!</definedName>
    <definedName name="MLNK74ecf37b5f064cd59433086dd3a560bc" hidden="1">#REF!</definedName>
    <definedName name="MLNK75164716d5ad448bab058ad81d96275d" hidden="1">#REF!</definedName>
    <definedName name="MLNK75495608d93a4b1094dca8b65a64b7e0" hidden="1">#REF!</definedName>
    <definedName name="MLNK7550bd6bb2e04d58ab945d096d32707e" hidden="1">#REF!</definedName>
    <definedName name="MLNK7555b04e2feb49e2ac8a7fd837a8f5da" hidden="1">#REF!</definedName>
    <definedName name="MLNK7572026d3a4b4af98acdc1dbbca35a7b">#REF!</definedName>
    <definedName name="MLNK75aa81d846e34151bb90db591f6a0332" hidden="1">#REF!</definedName>
    <definedName name="MLNK75f44fce7f0742799ab633d1d6efc577" hidden="1">#REF!</definedName>
    <definedName name="MLNK76133a6ab1b547a295603731a20985df" hidden="1">#REF!</definedName>
    <definedName name="MLNK765ccbc18ad7492fa2de444d31f2055b" hidden="1">#REF!</definedName>
    <definedName name="MLNK76980994ee66435c9cb254d103229020" hidden="1">#REF!</definedName>
    <definedName name="MLNK76b0e95162b043779b2a6aff0291fc24" hidden="1">#REF!</definedName>
    <definedName name="MLNK76b3b46b843a43c9a6f0c06a8aae823c" hidden="1">#REF!</definedName>
    <definedName name="MLNK76c33123c1d54c179fa8750e7c03247a" hidden="1">#REF!</definedName>
    <definedName name="MLNK76e167b5c5a141a5968bcc1dcb8e16df" hidden="1">#REF!</definedName>
    <definedName name="MLNK76f3d3da03de4fc7a5ee7430e7b19410" hidden="1">#REF!</definedName>
    <definedName name="MLNK76fbcc93e1b541f79c1b25e343e47662" hidden="1">#REF!</definedName>
    <definedName name="MLNK778ee83b928648f0ae3010091ce6a402" hidden="1">#REF!</definedName>
    <definedName name="MLNK77eec2fa68f041379d8f95cf24e992ea" hidden="1">#REF!</definedName>
    <definedName name="MLNK77fc16cf6cce4dbbbc8798cd88fa3e7d" hidden="1">#REF!</definedName>
    <definedName name="MLNK7803f3f1a695464989163b19cd200480" hidden="1">#REF!</definedName>
    <definedName name="MLNK783c0ae89c3e4a39a8f0761c799cb52d" hidden="1">#REF!</definedName>
    <definedName name="MLNK783fa1f94e564fc3b7649dc86fbaf1bc" hidden="1">#REF!</definedName>
    <definedName name="MLNK7872e33541234bda98b2158e20200632" hidden="1">#REF!</definedName>
    <definedName name="MLNK78762230a62a45348d3fa305f856742d" hidden="1">#REF!</definedName>
    <definedName name="MLNK788577e133dc43a9ad0103c1f0269163" hidden="1">#REF!</definedName>
    <definedName name="MLNK788e08136c184f7a89163c3e97de1828" hidden="1">#REF!</definedName>
    <definedName name="MLNK7896163e15a34aed8eb906866244bdad" hidden="1">#REF!</definedName>
    <definedName name="MLNK78ace84b96dc48a9a17171b665404fb4" hidden="1">#REF!</definedName>
    <definedName name="MLNK78c29e1c475f41f691ca2b58d45cf8de" hidden="1">#REF!</definedName>
    <definedName name="MLNK78ccdc92a70e41ecbdadd19c4551454f" hidden="1">#REF!</definedName>
    <definedName name="MLNK78ce51ded4d241e0a99763043832ed3f" hidden="1">#REF!</definedName>
    <definedName name="MLNK78f278307b4a4974a10d6e8db4190f10" hidden="1">#REF!</definedName>
    <definedName name="MLNK790700df4329489c9260fa78130a6ac4" hidden="1">#REF!</definedName>
    <definedName name="MLNK7907b62cf092482ea5be5e5b10978a27" hidden="1">#REF!</definedName>
    <definedName name="MLNK79c909d2be25423e8a981844bbb6fc04" hidden="1">#REF!</definedName>
    <definedName name="MLNK7a0568345c204ae1965764b21c0b6470" hidden="1">#REF!</definedName>
    <definedName name="MLNK7a19161afef5418fb065f165ea09c9a2" hidden="1">#REF!</definedName>
    <definedName name="MLNK7a1b4667bd734ed88013574e2af6284a" hidden="1">#REF!</definedName>
    <definedName name="MLNK7a4a8be27e3b496ba365bf90958d7dd6" hidden="1">#REF!</definedName>
    <definedName name="MLNK7a4f73db521f45ebb19aaeedbde76b94" hidden="1">#REF!</definedName>
    <definedName name="MLNK7a50714efadf473bb3ca485f53121f6c" hidden="1">#REF!</definedName>
    <definedName name="MLNK7a6a0b819d644356b50cdd683e73dd7c" hidden="1">#REF!</definedName>
    <definedName name="MLNK7ac3088a664d40a2a70908fd4e5d6b2d" hidden="1">#REF!</definedName>
    <definedName name="MLNK7ae09abb225640058ac5d4bfd1094896" hidden="1">#REF!</definedName>
    <definedName name="MLNK7b025baa4215400c90c9310019dd2552" hidden="1">#REF!</definedName>
    <definedName name="MLNK7b152105eecf4c00acc2adf39c87b715" hidden="1">#REF!</definedName>
    <definedName name="MLNK7b47081730454b5e987d17a528477219" hidden="1">#REF!</definedName>
    <definedName name="MLNK7b66f4cc35e945fab1345dddca3e0fe5" hidden="1">#REF!</definedName>
    <definedName name="MLNK7b7bf479478f4c22b4398c3f7c4c2ba6" hidden="1">#REF!</definedName>
    <definedName name="MLNK7b7d4a986d7f4272bf4e04d4b1ea0a3c" hidden="1">#REF!</definedName>
    <definedName name="MLNK7b84d2d48ee044ab8aa4ea13c272ae5e" hidden="1">#REF!</definedName>
    <definedName name="MLNK7bb296cc15394435b304ca36082db38a" hidden="1">#REF!</definedName>
    <definedName name="MLNK7bead524ea84429e9cc809ea6879e985" hidden="1">#REF!</definedName>
    <definedName name="MLNK7c32c4fc136a4145b5e00502b21f97a7" hidden="1">#REF!</definedName>
    <definedName name="MLNK7c3c517c7c2842f1a050675cdd97a98b" hidden="1">#REF!</definedName>
    <definedName name="MLNK7c47c1132f544d41a77ef8ab572c6a27" hidden="1">#REF!</definedName>
    <definedName name="MLNK7c80f2f2d9ca48ab80e08e1089c5c71c" hidden="1">#REF!</definedName>
    <definedName name="MLNK7c8d6fa6220f4f0c80c073a4441cebca" hidden="1">#REF!</definedName>
    <definedName name="MLNK7cadea4fe6234e61a1d4a1f52600d438" hidden="1">#REF!</definedName>
    <definedName name="MLNK7cc708177a614324bdb8027f94bf63a6" hidden="1">#REF!</definedName>
    <definedName name="MLNK7ccb0ccb08a6480889ba35300976bbfb" hidden="1">#REF!</definedName>
    <definedName name="MLNK7cd111b643ef446f83bb357038113215" hidden="1">#REF!</definedName>
    <definedName name="MLNK7d3203b2d28747b69ba277bc2ad895ce" hidden="1">#REF!</definedName>
    <definedName name="MLNK7d824c65cb6f4440a0f6742571415e5e" hidden="1">#REF!</definedName>
    <definedName name="MLNK7dfa514d1acc4b31bcad8bac4e1e314a" hidden="1">#REF!</definedName>
    <definedName name="MLNK7e057bee5f064b0083158461f42b1355" hidden="1">#REF!</definedName>
    <definedName name="MLNK7e178b13490547ae857d8340360293fb" hidden="1">#REF!</definedName>
    <definedName name="MLNK7e2c97d174bd4ed4be203458c82d2615" hidden="1">#REF!</definedName>
    <definedName name="MLNK7e35237642894e869635cb3c8bfc4d5a" hidden="1">#REF!</definedName>
    <definedName name="MLNK7e671d7494524e68940387f02466eb05" hidden="1">#REF!</definedName>
    <definedName name="MLNK7e83364ec892402e860b793a47ed0526" hidden="1">#REF!</definedName>
    <definedName name="MLNK7eea7a9f7fec4c6ea05ecf087c327b4f" hidden="1">#REF!</definedName>
    <definedName name="MLNK7eee76df19dd47999b9883be293fab28" hidden="1">#REF!</definedName>
    <definedName name="MLNK7eef8b1349d143fb8e3351ba9ccfaa8f" hidden="1">#REF!</definedName>
    <definedName name="MLNK7f86d5ee935945b687ccd73aee1f6aa9" hidden="1">#REF!</definedName>
    <definedName name="MLNK803e7ac8aa004242a0d0e9faa219adde" hidden="1">#REF!</definedName>
    <definedName name="MLNK8059a42a33f04126a42197b48b8dbf43" hidden="1">#REF!</definedName>
    <definedName name="MLNK80724fb9c77d4b27b705ce2ff2ec5915" hidden="1">#REF!</definedName>
    <definedName name="MLNK8082c4ea726d4dcb983dbc523da987fe" hidden="1">#REF!</definedName>
    <definedName name="MLNK80b0f5e256004a369ec4a70c87c7e0d9" hidden="1">#REF!</definedName>
    <definedName name="MLNK80dbf4a98e7b4f89bb29a97b86eb89d1" hidden="1">#REF!</definedName>
    <definedName name="MLNK80ee947c43654dc387ec00c89f2d3b07" hidden="1">#REF!</definedName>
    <definedName name="MLNK80ff4ccba1e24744ac9eb4620a57b37e" hidden="1">#REF!</definedName>
    <definedName name="MLNK813bd37338ad455a94fbca42e4789b02" hidden="1">#REF!</definedName>
    <definedName name="MLNK81417b848a9f41f28fdb0244d20c70b6" hidden="1">#REF!</definedName>
    <definedName name="MLNK8161d97591ca46a983285466b48b3255" hidden="1">#REF!</definedName>
    <definedName name="MLNK817b8f5c0f2140bd8f6129bf50ee8e97" hidden="1">#REF!</definedName>
    <definedName name="MLNK81a98061bb254ac1803f65a627616afd" hidden="1">#REF!</definedName>
    <definedName name="MLNK81c8a99fdad040519397be5dbca73502" hidden="1">#REF!</definedName>
    <definedName name="MLNK81cc7b51e59c408c81171697aecca97e" hidden="1">#REF!</definedName>
    <definedName name="MLNK81e9d74381d04601a10c2c152348c289" hidden="1">#REF!</definedName>
    <definedName name="MLNK823f7ca96db4469fb921b6a13d2ca9b4" hidden="1">#REF!</definedName>
    <definedName name="MLNK8251aeda22db42008b15f031d8aca7b5" hidden="1">#REF!</definedName>
    <definedName name="MLNK82548aee3bcf4aa29e9883f1ba7d6ec3">#REF!</definedName>
    <definedName name="MLNK82693073864849c49792bba5154b4cab" hidden="1">#REF!</definedName>
    <definedName name="MLNK82746fc9398142e9be63a7dba0428a67" hidden="1">#REF!</definedName>
    <definedName name="MLNK828e2540f42541b9aa43318c02eb86cc" hidden="1">#REF!</definedName>
    <definedName name="MLNK82bca8a6e2684f42aeca07a6c7e5fb0f" hidden="1">#REF!</definedName>
    <definedName name="MLNK82c1c2455c824d32afd019d765a6f200">#REF!</definedName>
    <definedName name="MLNK82d3c226cc5349b6903d94e9c64890df" hidden="1">#REF!</definedName>
    <definedName name="MLNK82f5dd7e840040eeb80baa11d7c99ccd" hidden="1">#REF!</definedName>
    <definedName name="MLNK8302d05fe40a451aa639fde1a56d8316" hidden="1">#REF!</definedName>
    <definedName name="MLNK83275459db8541e49199341819d709eb" hidden="1">#REF!</definedName>
    <definedName name="MLNK833625ea642742fd9eb10585c83bf12f" hidden="1">#REF!</definedName>
    <definedName name="MLNK8371b0b489244e1a943af72fd4cac3d2" hidden="1">#REF!</definedName>
    <definedName name="MLNK83906e2ceca04dda95c61f2747ae6c49" hidden="1">#REF!</definedName>
    <definedName name="MLNK840b83b2edf448a09abccd51e3d7b118" hidden="1">#REF!</definedName>
    <definedName name="MLNK842e4b8500eb4a8a85ee2228c092df9f" hidden="1">#REF!</definedName>
    <definedName name="MLNK842e7953d6d2448b97336f133e440be7" hidden="1">#REF!</definedName>
    <definedName name="MLNK845060561d8a4e75afed9bdc6dfb0d84" hidden="1">#REF!</definedName>
    <definedName name="MLNK845135416a7047608a67080e6f14583d" hidden="1">#REF!</definedName>
    <definedName name="MLNK84531adda432427a92e7d9db90ba2b07" hidden="1">#REF!</definedName>
    <definedName name="MLNK84737ecdb81541ad8edd08b3d43586d0" hidden="1">#REF!</definedName>
    <definedName name="MLNK84ae5fa7de2743e49b9b58a0a8b35905" hidden="1">#REF!</definedName>
    <definedName name="MLNK84ba7ab1aaf849ca84c1a4a6b4f191e3" hidden="1">#REF!</definedName>
    <definedName name="MLNK84ca996e1059431da55b00271c3dbd01" hidden="1">#REF!</definedName>
    <definedName name="MLNK8500781b31374cb0909730dff5e06d66" hidden="1">#REF!</definedName>
    <definedName name="MLNK8500f264d5134346820a046e784480ad">#REF!</definedName>
    <definedName name="MLNK85125683ed6e4f8da07168024f5ec285" hidden="1">#REF!</definedName>
    <definedName name="MLNK856dd29c4374456394d862173cf12cd2" hidden="1">#REF!</definedName>
    <definedName name="MLNK857504537cd44306bb799f59d37daad3">#REF!</definedName>
    <definedName name="MLNK85dbaf211da142168e981eaddcd64cbf" hidden="1">#REF!</definedName>
    <definedName name="MLNK85e0f698dafc4909910dc2262522a599" hidden="1">#REF!</definedName>
    <definedName name="MLNK85f37e3c66744ba7a226d30ae9be599c" hidden="1">#REF!</definedName>
    <definedName name="MLNK860bf6f4fbea4ce2b1d8f81802324b56" hidden="1">#REF!</definedName>
    <definedName name="MLNK8614d07f52ce4c3095ea1dfe8e98deae" hidden="1">#REF!</definedName>
    <definedName name="MLNK8630ee333d2d406286772220c3866ceb" hidden="1">#REF!</definedName>
    <definedName name="MLNK86678994f13f42feb62f4bcf6d7a90a8" hidden="1">#REF!</definedName>
    <definedName name="MLNK867b2f1b1c3f4e0f84ec678b2bc4fb6a" hidden="1">#REF!</definedName>
    <definedName name="MLNK869139aa02a04d7ea8c9b63f9949f42e" hidden="1">#REF!</definedName>
    <definedName name="MLNK86ee662dd87142c19e998b0d69a1351b" hidden="1">#REF!</definedName>
    <definedName name="MLNK86f4c4520fb7493d81eae003ea614b1c" hidden="1">#REF!</definedName>
    <definedName name="MLNK86f64098c6b4433582db5200b93be844" hidden="1">#REF!</definedName>
    <definedName name="MLNK875125423aca486cbe116ead41356ecd" hidden="1">#REF!</definedName>
    <definedName name="MLNK8756d538d0574afd9d82cd54eced36d1" hidden="1">#REF!</definedName>
    <definedName name="MLNK87e07c9508c148118cb31f278488dc44" hidden="1">#REF!</definedName>
    <definedName name="MLNK882daae9e9e445c7bae898d87a3dd2f2" hidden="1">#REF!</definedName>
    <definedName name="MLNK887387c644c84f9e8a4bcd7b9a99541a" hidden="1">#REF!</definedName>
    <definedName name="MLNK88796cdcdd554d03814113d687bafde1" hidden="1">#REF!</definedName>
    <definedName name="MLNK888033d609cc4e828f6564507b54b468" hidden="1">#REF!</definedName>
    <definedName name="MLNK88ee871956ef45f7a91719c6678cfac5" hidden="1">#REF!</definedName>
    <definedName name="MLNK894c190e7fa04b70b78fcf317c0476b8" hidden="1">#REF!</definedName>
    <definedName name="MLNK897d822610794a8ca0c6a4bafac40974" hidden="1">#REF!</definedName>
    <definedName name="MLNK89be2c5a463d4cc7b078543557d71ab7" hidden="1">#REF!</definedName>
    <definedName name="MLNK89c7edf4e6f343999fa0eb22a85a56a3" hidden="1">#REF!</definedName>
    <definedName name="MLNK8a052f84bf524d3c81494326e49490c0" hidden="1">#REF!</definedName>
    <definedName name="MLNK8a25f9bc39e6427fb627ee9bbd5ea806" hidden="1">#REF!</definedName>
    <definedName name="MLNK8a4ba8413f5042288b3dfe4aede706d6" hidden="1">#REF!</definedName>
    <definedName name="MLNK8a61e4cab482470b964c6f607f977846" hidden="1">#REF!</definedName>
    <definedName name="MLNK8a639d8f00aa4b53a52a38647d92d2af">#REF!</definedName>
    <definedName name="MLNK8a765b596fc6444981617893d87c6ed1" hidden="1">#REF!</definedName>
    <definedName name="MLNK8aa94edea28c4368a22c0b53d77b227b" hidden="1">#REF!</definedName>
    <definedName name="MLNK8acac9a52dc948b6b615646b15f6dad0" hidden="1">#REF!</definedName>
    <definedName name="MLNK8ad2b3480ec44fbd932165c1b73d155e" hidden="1">#REF!</definedName>
    <definedName name="MLNK8add3bbb60b44406a5c3d184c27b735d" hidden="1">#REF!</definedName>
    <definedName name="MLNK8b0d2279c5d340f4be7c64a629de00aa" hidden="1">#REF!</definedName>
    <definedName name="MLNK8b5f0f3d77fd4f2a9fb0a1a58912898a">#REF!</definedName>
    <definedName name="MLNK8b7ed905a642475f91a3993de157e53c" hidden="1">#REF!</definedName>
    <definedName name="MLNK8b91515defd44244b0ec72ca64fae2f5" hidden="1">#REF!</definedName>
    <definedName name="MLNK8b923e9ed21444668ca4ba0823a9a4f1" hidden="1">#REF!</definedName>
    <definedName name="MLNK8b9777e3ed234e6ba2e040297c742f6c" hidden="1">#REF!</definedName>
    <definedName name="MLNK8ba6437322fb4ab9959a03e5201babbf" hidden="1">#REF!</definedName>
    <definedName name="MLNK8bb256ba490349bda592c469e9113219" hidden="1">#REF!</definedName>
    <definedName name="MLNK8bc3481e36de4743959b9588612f0f1b" hidden="1">#REF!</definedName>
    <definedName name="MLNK8be0da7fed484a638b7aefd209a1b7b3" hidden="1">#REF!</definedName>
    <definedName name="MLNK8be99cec7ea74214b768f772922ef7d5" hidden="1">#REF!</definedName>
    <definedName name="MLNK8bfa04a3a7d34b6aa60d3c5a15f90be9" hidden="1">#REF!</definedName>
    <definedName name="MLNK8c6c72b525f3419ab322bd2a3cda5ba1" hidden="1">#REF!</definedName>
    <definedName name="MLNK8c8a7f3bdec5440db9d2fc530247bdfe" hidden="1">#REF!</definedName>
    <definedName name="MLNK8c8e80fd0259401eb245125f8b1a8d5f" hidden="1">#REF!</definedName>
    <definedName name="MLNK8c931c5a7485494eaacdc45f68185621" hidden="1">#REF!</definedName>
    <definedName name="MLNK8cbca4ad43cd4fcb949866a98e93223d" hidden="1">#REF!</definedName>
    <definedName name="MLNK8d318b707a4c4ca1a2ff1d70a2c0d7de" hidden="1">#REF!</definedName>
    <definedName name="MLNK8d3919eef3fe4c1a8cd7626bfd848736" hidden="1">#REF!</definedName>
    <definedName name="MLNK8d846f2f09694c3282cac67cdb0b6e14" hidden="1">#REF!</definedName>
    <definedName name="MLNK8d85350bcdcf4ab38ef652aec1db9969" hidden="1">#REF!</definedName>
    <definedName name="MLNK8daa98da702d44bf998ffe23c44329b8" hidden="1">#REF!</definedName>
    <definedName name="MLNK8dc0fd6a96fa4798bf39bd9b0bb6fa1b" hidden="1">#REF!</definedName>
    <definedName name="MLNK8dd5802f19a240b5a67f3beef816efbb" hidden="1">#REF!</definedName>
    <definedName name="MLNK8dfdd794af59427c855771a98d1472a0" hidden="1">#REF!</definedName>
    <definedName name="MLNK8ecdc46c61f74052a2eb35f52a6f5b10" hidden="1">#REF!</definedName>
    <definedName name="MLNK8ed2ce0598f24f7db7b069ca0e653ba4" hidden="1">#REF!</definedName>
    <definedName name="MLNK8ef9c43692e5405cb5f75b1e86897205" hidden="1">#REF!</definedName>
    <definedName name="MLNK8f271fee8fe041d89a8e555bd04ad7a2" hidden="1">#REF!</definedName>
    <definedName name="MLNK8f5225dfe31b49b6a556d4eacd7085d9" hidden="1">#REF!</definedName>
    <definedName name="MLNK8f5bb96088774403b8a510c5c81d6084" hidden="1">#REF!</definedName>
    <definedName name="MLNK8f75a868a8a34e14950293bfab48ee0b" hidden="1">#REF!</definedName>
    <definedName name="MLNK8f76ae00ab7e454a8655358ab454f205" hidden="1">#REF!</definedName>
    <definedName name="MLNK8f78132ecb55486da10104c781fa8f24" hidden="1">#REF!</definedName>
    <definedName name="MLNK8fdf2c26677c4c1f8bc962f9f25a24ef" hidden="1">#REF!</definedName>
    <definedName name="MLNK9004fb29edc44823b80fe00a0336e457" hidden="1">#REF!</definedName>
    <definedName name="MLNK901d2a8e34cd474aa895cd8240794cca" hidden="1">#REF!</definedName>
    <definedName name="MLNK9039feaf6bb24001b755a96ceebaeebe" hidden="1">#REF!</definedName>
    <definedName name="MLNK9069e717c9c2405aaa1228969bdd7e42" hidden="1">#REF!</definedName>
    <definedName name="MLNK907eb87a8d704c508fe8d3e79e55d042">#REF!</definedName>
    <definedName name="MLNK9101ea8322634c298ec6245ed3971391" hidden="1">#REF!</definedName>
    <definedName name="MLNK9118347bc5744a859f3cfff6aa71f32c" hidden="1">#REF!</definedName>
    <definedName name="MLNK9161123d7f63447cbb13b87c98fca1d6" hidden="1">#REF!</definedName>
    <definedName name="MLNK91803dfd94be458fafdd04cc6790f9e9" hidden="1">#REF!</definedName>
    <definedName name="MLNK919c460f7db349429358e42ea29e1dc9" hidden="1">#REF!</definedName>
    <definedName name="MLNK91bdb51690a342a1ac5638572486f878" hidden="1">#REF!</definedName>
    <definedName name="MLNK91c3e21f96e04b90839b8964f5da1fb6" hidden="1">#REF!</definedName>
    <definedName name="MLNK91e2f49704bb468a928af9af4d52dc16" hidden="1">#REF!</definedName>
    <definedName name="MLNK91fa88a5d52b43ed894b9d37fe689d5e" hidden="1">#REF!</definedName>
    <definedName name="MLNK91fff17b16b74f6685f55ae11c330a55" hidden="1">#REF!</definedName>
    <definedName name="MLNK92383798ae1e4807a3df9a622af00311" hidden="1">#REF!</definedName>
    <definedName name="MLNK927eeea515874a94b7821a2a262091de" hidden="1">#REF!</definedName>
    <definedName name="MLNK9292b719797a4c3c9fc1111050d4695f" hidden="1">#REF!</definedName>
    <definedName name="MLNK92c1646f53734bd2bf43ec7a9bee5310">#REF!</definedName>
    <definedName name="MLNK92c9d22aa95e42e084564919f90c8254" hidden="1">#REF!</definedName>
    <definedName name="MLNK930bad2a78f2491898953403f8acda25" hidden="1">#REF!</definedName>
    <definedName name="MLNK934f48cb6db146edbe54747e859fefa6" hidden="1">#REF!</definedName>
    <definedName name="MLNK935e6909bd4e400b96ab8b3aa4090ff1" hidden="1">#REF!</definedName>
    <definedName name="MLNK93f7db28de00476886e3e40f45543aa1" hidden="1">#REF!</definedName>
    <definedName name="MLNK94386ee4b4b14877b73937cb7597ee5e" hidden="1">#REF!</definedName>
    <definedName name="MLNK9496fb4fbfc74e1a85b4f72bb0fb9dac" hidden="1">#REF!</definedName>
    <definedName name="MLNK94a5e7dcc9d747968b75cb17f2ec869f" hidden="1">#REF!</definedName>
    <definedName name="MLNK956f7bb87b7e49ebaebf0c36cf644d1b">#REF!</definedName>
    <definedName name="MLNK9570fbd587ce42bca24d5d6675e0646c" hidden="1">#REF!</definedName>
    <definedName name="MLNK95a9bf8f58714d20a4e35e53bc0c929d" hidden="1">#REF!</definedName>
    <definedName name="MLNK96387fe7875f4ae08df12ec353e0f7a3" hidden="1">#REF!</definedName>
    <definedName name="MLNK966d41b15418462e9a1d39b2a7a15686" hidden="1">#REF!</definedName>
    <definedName name="MLNK9678822a155f4ad995c0a152466a72ca" hidden="1">#REF!</definedName>
    <definedName name="MLNK968ca0376f9b4dad8c2017db67552279" hidden="1">#REF!</definedName>
    <definedName name="MLNK96e3ed0aa47346e7b398664e3f5431aa" hidden="1">#REF!</definedName>
    <definedName name="MLNK970227a3d1574ff39bfad03ea6166cc1" hidden="1">#REF!</definedName>
    <definedName name="MLNK978b0274fdac43189afebb18b175bbaf" hidden="1">#REF!</definedName>
    <definedName name="MLNK978e515dd4454e4a8e6c8c9f08a15605">#REF!</definedName>
    <definedName name="MLNK9798cd7c2b9d4526995492059cd7578b" hidden="1">#REF!</definedName>
    <definedName name="MLNK97c9824a757d444ab8ccc494de891efd" hidden="1">#REF!</definedName>
    <definedName name="MLNK983337fb67dc40c991a0271e251a07f3" hidden="1">#REF!</definedName>
    <definedName name="MLNK9859c235d63c454baa7cfde8347eeaae" hidden="1">#REF!</definedName>
    <definedName name="MLNK9892f939845f4f7da9c6d865ecd76f56" hidden="1">#REF!</definedName>
    <definedName name="MLNK989fc0ed4e5b4a0c9b23ab92ff734b70" hidden="1">#REF!</definedName>
    <definedName name="MLNK98b43432367b4a839fdeaf638f30d964" hidden="1">#REF!</definedName>
    <definedName name="MLNK98d7eabc3fe5470cabf0636a0156a259" hidden="1">#REF!</definedName>
    <definedName name="MLNK98e3e50fb48c43b784134acb0ad16ad9" hidden="1">#REF!</definedName>
    <definedName name="MLNK990171dd6f224361b5bc6ff71140c07d" hidden="1">#REF!</definedName>
    <definedName name="MLNK9918569bb2bf435d85ab65fe5761d0ca" hidden="1">#REF!</definedName>
    <definedName name="MLNK9930953917ee4e04a9e846bdd6ea591b" hidden="1">#REF!</definedName>
    <definedName name="MLNK99556e0dd8d54389a8aab2b2d47bd986">#REF!</definedName>
    <definedName name="MLNK9958e9152aed46beb1d4433c961c6233" hidden="1">#REF!</definedName>
    <definedName name="MLNK997ac083e80f4d31ad12e500a78f6459" hidden="1">#REF!</definedName>
    <definedName name="MLNK9989b95435a8446f849bfb337488f245" hidden="1">#REF!</definedName>
    <definedName name="MLNK99a3ce42aa1f48f7ad33294b1bb07036" hidden="1">#REF!</definedName>
    <definedName name="MLNK99bb2944be084791969ecd2224715990" hidden="1">#REF!</definedName>
    <definedName name="MLNK99f0f671978041198f545a38fb3a6b4c" hidden="1">#REF!</definedName>
    <definedName name="MLNK9a0b67a40d7f4c8aa7bd8ebe876d0f70" hidden="1">#REF!</definedName>
    <definedName name="MLNK9a17616066fc4158bff745cc53cd033d" hidden="1">#REF!</definedName>
    <definedName name="MLNK9a327a30d2a341c799f9cbbfc1847b61" hidden="1">#REF!</definedName>
    <definedName name="MLNK9a63686cd68a44ffb6e72a13898cee04" hidden="1">#REF!</definedName>
    <definedName name="MLNK9a8a5bd7d4594c0791ac825c5242dbae" hidden="1">#REF!</definedName>
    <definedName name="MLNK9a954474bc8149d2affd1663bea65ef8" hidden="1">#REF!</definedName>
    <definedName name="MLNK9a969fc6e5fa4e0894053c3b4f4b55a7" hidden="1">#REF!</definedName>
    <definedName name="MLNK9ab92938b841493abff02dc7ff9a868f" hidden="1">#REF!</definedName>
    <definedName name="MLNK9aeb78766fa1490fb91b48913b35402c" hidden="1">#REF!</definedName>
    <definedName name="MLNK9aed850c8d0f431f9818dc014e025cef" hidden="1">#REF!</definedName>
    <definedName name="MLNK9afef97b1a46413a88bbdadc0d2a3c41" hidden="1">#REF!</definedName>
    <definedName name="MLNK9b04ac7269ef41daa9abb6e5e222f8dd" hidden="1">#REF!</definedName>
    <definedName name="MLNK9b220b7a074a4cf29f7bd5f47512e0d0" hidden="1">#REF!</definedName>
    <definedName name="MLNK9b525946ca354d119731e3c60a4caccb" hidden="1">#REF!</definedName>
    <definedName name="MLNK9b5c3aae10a8442982b32ed7cf24a32a" hidden="1">#REF!</definedName>
    <definedName name="MLNK9b636e8bfc8643d48dea5f06bc4fcbcc" hidden="1">#REF!</definedName>
    <definedName name="MLNK9b6dad7e5c5c402bb6c8ed8ed49de68f" hidden="1">#REF!</definedName>
    <definedName name="MLNK9b916d8cb1324b7ea85fafccaf3adcc9" hidden="1">#REF!</definedName>
    <definedName name="MLNK9bb481e5f828486a97a15dc677ad5754" hidden="1">#REF!</definedName>
    <definedName name="MLNK9bdcc93175e44b9daf83260d9d03aace" hidden="1">#REF!</definedName>
    <definedName name="MLNK9c0d8e35146b4ffa9753707860d93d65" hidden="1">#REF!</definedName>
    <definedName name="MLNK9c2d218af2854cfbb8b2c705c3ee911d" hidden="1">#REF!</definedName>
    <definedName name="MLNK9c326056369a47b484e127b67dc22cbf" hidden="1">#REF!</definedName>
    <definedName name="MLNK9c4508a65c43413180447eaa227e126e" hidden="1">#REF!</definedName>
    <definedName name="MLNK9c5f14d501ed40238d9ac77089e762f8" hidden="1">#REF!</definedName>
    <definedName name="MLNK9c6406b4551d47c88147e6197f2e6a6a" hidden="1">#REF!</definedName>
    <definedName name="MLNK9c7ebcd980cd4210a52efd47fdebb629" hidden="1">#REF!</definedName>
    <definedName name="MLNK9cc1b3b3613745bea5931616c4d5271d" hidden="1">#REF!</definedName>
    <definedName name="MLNK9cfacfbc7df1466e849054432b1bed37" hidden="1">#REF!</definedName>
    <definedName name="MLNK9d2417a5a6be4e30ac89eb45dbd7cb67" hidden="1">#REF!</definedName>
    <definedName name="MLNK9d30944983294a3f916c89bfc7665ba0" hidden="1">#REF!</definedName>
    <definedName name="MLNK9d35f85ff66f4c42ab18c13c414a81e0" hidden="1">#REF!</definedName>
    <definedName name="MLNK9d73b5289fb843309ffcd5f9d3430a8c" hidden="1">#REF!</definedName>
    <definedName name="MLNK9daf24d72b4b4515a9c5d796ba86b107" hidden="1">#REF!</definedName>
    <definedName name="MLNK9dc13f2a1b7e4099b4fe972339906542" hidden="1">#REF!</definedName>
    <definedName name="MLNK9dcda09534114cdcad948feb078f46bb" hidden="1">#REF!</definedName>
    <definedName name="MLNK9dd4edc8277943a1b736b8c78d873a21" hidden="1">#REF!</definedName>
    <definedName name="MLNK9df9ae8b7909417db14dab0f72b72649" hidden="1">#REF!</definedName>
    <definedName name="MLNK9e157fe999984d20898a60c1187bd669" hidden="1">#REF!</definedName>
    <definedName name="MLNK9e1ca1d1bfd44eb3926c1e0803fcc86c" hidden="1">#REF!</definedName>
    <definedName name="MLNK9e3fcf2b081b4e23aa2aec27d1c7b87e" hidden="1">#REF!</definedName>
    <definedName name="MLNK9e43b026b74c411da8977072fd65ad93" hidden="1">#REF!</definedName>
    <definedName name="MLNK9e4d24b3a6894894ab7dde46a801c531" hidden="1">#REF!</definedName>
    <definedName name="MLNK9e80c9061fe9458db4f3875e9eea1e5e" hidden="1">#REF!</definedName>
    <definedName name="MLNK9e9a507c00564e308dbf40bdb8505a38" hidden="1">#REF!</definedName>
    <definedName name="MLNK9ee1aca892334937a973ba1643a46797" hidden="1">#REF!</definedName>
    <definedName name="MLNK9ef5ba406acf44a99b64b2f0c8e9616c" hidden="1">#REF!</definedName>
    <definedName name="MLNK9f703ff84a0e495a8f561285110391dc" comment="Cash Bridge" hidden="1">#REF!</definedName>
    <definedName name="MLNK9f8c49b04776408aa5f08d92ea843a96" hidden="1">#REF!</definedName>
    <definedName name="MLNK9fd7c531a2ef4755a90dc43559b4b62b" hidden="1">#REF!</definedName>
    <definedName name="MLNKa004b00b76564a40ac1332fbf4a2cea9" hidden="1">#REF!</definedName>
    <definedName name="MLNKa04dcac4b115424b90d247a5fd763c70" hidden="1">#REF!</definedName>
    <definedName name="MLNKa0650bf035a44d3986262c25d3dbc112" hidden="1">#REF!</definedName>
    <definedName name="MLNKa0b9e63e681c48ec9defcb6c2178539d">#REF!</definedName>
    <definedName name="MLNKa0dd547387e54b82b8cb5e41be535ba1" hidden="1">#REF!</definedName>
    <definedName name="MLNKa0fa230d770b4c12b4b5ac68044d1561" hidden="1">#REF!</definedName>
    <definedName name="MLNKa10cee7ac2bc4eadab1a2aded78578b8" hidden="1">#REF!</definedName>
    <definedName name="MLNKa1366d1ec1aa4bcf807d5448f5ba8e94" hidden="1">#REF!</definedName>
    <definedName name="MLNKa140b51bfe3c443e8328321960b789c8" hidden="1">#REF!</definedName>
    <definedName name="MLNKa1508432023b4f8e9eb5b814907cf467" hidden="1">#REF!</definedName>
    <definedName name="MLNKa17c7eb76e904aceb120e23007c27639" hidden="1">#REF!</definedName>
    <definedName name="MLNKa1b2816cca6d402492e19e6627ca9704" hidden="1">#REF!</definedName>
    <definedName name="MLNKa1d055c42ddf487da21cab3b8f053d81" hidden="1">#REF!</definedName>
    <definedName name="MLNKa213f1b297084b44bb5acc9ff6dd5d01" hidden="1">#REF!</definedName>
    <definedName name="MLNKa25501b6ebad4a5cb957d35c431214c6" hidden="1">#REF!</definedName>
    <definedName name="MLNKa2658e83cacb4eb9b733b650245f6084" hidden="1">#REF!</definedName>
    <definedName name="MLNKa2931c6b21144b7c8e08b8ba303765a0" hidden="1">#REF!</definedName>
    <definedName name="MLNKa2ac20744cc949cdbc42b8a8d2f81e3d" hidden="1">#REF!</definedName>
    <definedName name="MLNKa2c856150a0148f5a7a0cdc9f12be154" hidden="1">#REF!</definedName>
    <definedName name="MLNKa2cb501cfd054fd393c42d9a2e8a0eb5" hidden="1">#REF!</definedName>
    <definedName name="MLNKa2d74f49e0764b9ea74a5ac90fcdf907" hidden="1">#REF!</definedName>
    <definedName name="MLNKa2eaff47a5954c06bcde0e7cfe08a8f3" hidden="1">#REF!</definedName>
    <definedName name="MLNKa2fb9246caec45ae80e1344be8d4c93e" hidden="1">#REF!</definedName>
    <definedName name="MLNKa340d703182b447ea3b4b68480d6541a" hidden="1">#REF!</definedName>
    <definedName name="MLNKa34a8d5dd2504c54bdcaad386c1cd281" hidden="1">#REF!</definedName>
    <definedName name="MLNKa35f22c7b250432e8e05b9272170d33d" hidden="1">#REF!</definedName>
    <definedName name="MLNKa39250f716684ad9951733bd03bb8b7e">#REF!</definedName>
    <definedName name="MLNKa396d39d39c141a5b747397e4a8c95ff" hidden="1">#REF!</definedName>
    <definedName name="MLNKa400fdaeaa76403e832428fb06235b24" comment="Consolidated" hidden="1">#REF!</definedName>
    <definedName name="MLNKa42506e07b8f45ce8d6d09b3882784f5" hidden="1">#REF!</definedName>
    <definedName name="MLNKa431ed3b6e324829982ebb69268398f8" hidden="1">#REF!</definedName>
    <definedName name="MLNKa46dc3838ef94449b1cb19ff07a8f91a" hidden="1">#REF!</definedName>
    <definedName name="MLNKa4bb38b5b7b64d43b60a5c780b19bd10" hidden="1">#REF!</definedName>
    <definedName name="MLNKa4cb59eed2ea46c685a44dd2058cda41" hidden="1">#REF!</definedName>
    <definedName name="MLNKa5398c7841df4a039cd87fb1967dc261" hidden="1">#REF!</definedName>
    <definedName name="MLNKa553ef9e166344ac9a9cfeb91fc70cd2" hidden="1">#REF!</definedName>
    <definedName name="MLNKa5666ad698aa4b1bae15a3747d0f9cc5" hidden="1">#REF!</definedName>
    <definedName name="MLNKa58f9aa76bbc480ea0086e8f9dfbd5dc" hidden="1">#REF!</definedName>
    <definedName name="MLNKa5a6b04a5c30410193f2d73fac36bfe2" hidden="1">#REF!</definedName>
    <definedName name="MLNKa5cf965f96504519b08d6d0cd9e3ee05" hidden="1">#REF!</definedName>
    <definedName name="MLNKa5f1f4db369748978cfad73bd933c4a6" hidden="1">#REF!</definedName>
    <definedName name="MLNKa625f93ee86a4264a4124725b6b1270d" hidden="1">#REF!</definedName>
    <definedName name="MLNKa636f5873fb84d6da8b09d6ae32ffd72" hidden="1">#REF!</definedName>
    <definedName name="MLNKa63f79e0226449ce900830ae1e80563f" hidden="1">#REF!</definedName>
    <definedName name="MLNKa63fb70cc098411298e2cc2710ce1308" hidden="1">#REF!</definedName>
    <definedName name="MLNKa68b08e71b024f84826c9054ad279790" hidden="1">#REF!</definedName>
    <definedName name="MLNKa69ea73c4ab5472e92d45c9b65feda76" hidden="1">#REF!</definedName>
    <definedName name="MLNKa6c148eee0c641d8b488e65af5766208" hidden="1">#REF!</definedName>
    <definedName name="MLNKa6cab9cca1c94d82b4539efb08a61f26" hidden="1">#REF!</definedName>
    <definedName name="MLNKa7bc8bc320c847d0833fdb21578bfc4b">#REF!</definedName>
    <definedName name="MLNKa7e901b0081c4cc689ff68d060b1d1fb" hidden="1">#REF!</definedName>
    <definedName name="MLNKa80c6d91507e40e38a703c57270e8cef" hidden="1">#REF!</definedName>
    <definedName name="MLNKa81f24c641ef466296cbf0ba01a1b57e" hidden="1">#REF!</definedName>
    <definedName name="MLNKa8481901c3fd479596286186a1c88843" hidden="1">#REF!</definedName>
    <definedName name="MLNKa848cfc813344462b40d703972f46dc7" hidden="1">#REF!</definedName>
    <definedName name="MLNKa871f0a901444e05b6d78baadba14118" hidden="1">#REF!</definedName>
    <definedName name="MLNKa8e9ac1fb9524075aefcde29b4703e8b" hidden="1">#REF!</definedName>
    <definedName name="MLNKa91c853777294bc89bd556dc37dd381a" hidden="1">#REF!</definedName>
    <definedName name="MLNKa9216ef91c1f4de29d2314f4f2532bf1" hidden="1">#REF!</definedName>
    <definedName name="MLNKa922b30924dc4191b3170181f0409c68" hidden="1">#REF!</definedName>
    <definedName name="MLNKa93431c76a4d4a10881a0025e2b59105" hidden="1">#REF!</definedName>
    <definedName name="MLNKa95590d5453b483bacf3669c360641b4" hidden="1">#REF!</definedName>
    <definedName name="MLNKa9634625a49643e590f2bfc2092b37ea" hidden="1">#REF!</definedName>
    <definedName name="MLNKa9641739c9ac4182ba95d731f4b59372" hidden="1">#REF!</definedName>
    <definedName name="MLNKa984b4787dc9483390127686e98b1af5" hidden="1">#REF!</definedName>
    <definedName name="MLNKa9981940363b47ecba66e96bc4a7ec51" hidden="1">#REF!</definedName>
    <definedName name="MLNKa9b07f36471e4d31853b04c771cc13e6" hidden="1">#REF!</definedName>
    <definedName name="MLNKa9bc6f834ce940f39470c89668ece488" hidden="1">#REF!</definedName>
    <definedName name="MLNKa9c1d0e698a0488e94603bf4d6f4e201" hidden="1">#REF!</definedName>
    <definedName name="MLNKa9d36e9c1aac4119adc9ae35b6ed1208" hidden="1">#REF!</definedName>
    <definedName name="MLNKa9e2c1fe8c154ee8a4d800dfa6983967" hidden="1">#REF!</definedName>
    <definedName name="MLNKa9e876d347fd4da9a2272e0f53b6c70f" hidden="1">#REF!</definedName>
    <definedName name="MLNKa9f8a09b5a7f41b59146dfae62ec9cb1" hidden="1">#REF!</definedName>
    <definedName name="MLNKaa1f6bbcff8e410db2ab4063c5189503" hidden="1">#REF!</definedName>
    <definedName name="MLNKaa5348b420b2419eaa42ce014245437c" hidden="1">#REF!</definedName>
    <definedName name="MLNKaa6d5335f3e74e7ca2ba1e3f71c72002">#REF!</definedName>
    <definedName name="MLNKaa86f3664ecb4a38a501b157837b6ed8" hidden="1">#REF!</definedName>
    <definedName name="MLNKaac7833ff50945f293482128dc8bfe57" hidden="1">#REF!</definedName>
    <definedName name="MLNKab4b58c233df40d1a880b426f8f3cd8b" hidden="1">#REF!</definedName>
    <definedName name="MLNKab50376a841d4a3ca06ae7ad51ac860d" hidden="1">#REF!</definedName>
    <definedName name="MLNKab681300834b40129c387924a6cfbbac" hidden="1">#REF!</definedName>
    <definedName name="MLNKab73585f5a4545f2a135693408bf018c" hidden="1">#REF!</definedName>
    <definedName name="MLNKabbbc6e822c94f10b70dbba06bca7bff" hidden="1">#REF!</definedName>
    <definedName name="MLNKabe189311e47488c856050487410bb19">#REF!</definedName>
    <definedName name="MLNKac4b655ac9c74966b20e0791bdbbbe77" hidden="1">#REF!</definedName>
    <definedName name="MLNKac68e0d13c4c40f49ea5a7e954450ae3" hidden="1">#REF!</definedName>
    <definedName name="MLNKacd304287f1940148a4b52975ce503c9" hidden="1">#REF!</definedName>
    <definedName name="MLNKacd57dde132c4a639b2b22c23ff64004" hidden="1">#REF!</definedName>
    <definedName name="MLNKace5e500e4cb4882a0bac95a282b1bc7" hidden="1">#REF!</definedName>
    <definedName name="MLNKad2061ded3b74ff7a59a5515dabce017" hidden="1">#REF!</definedName>
    <definedName name="MLNKad40f6a010e1464a9e731151010f5843" hidden="1">#REF!</definedName>
    <definedName name="MLNKad8bd234677d4fd7a7a9e33d8ced84fd" hidden="1">#REF!</definedName>
    <definedName name="MLNKadb708fee11e437eaeac1d203e361a16" hidden="1">#REF!</definedName>
    <definedName name="MLNKaddba4f25d9e485e833e8e851c033f44" hidden="1">#REF!</definedName>
    <definedName name="MLNKae086df40a144e27a4144f80c76ac4ee" hidden="1">#REF!</definedName>
    <definedName name="MLNKaea1b0d480ad437aa28e084d9f495c94" hidden="1">#REF!</definedName>
    <definedName name="MLNKaea6fb9b64ec401cbd8ed6ff5627fc06" hidden="1">#REF!</definedName>
    <definedName name="MLNKaec9b2dca96749cc9c2d5c5e16d2600a" hidden="1">#REF!</definedName>
    <definedName name="MLNKaee8b52182e7424ca0f5b37f9e40c9a3" hidden="1">#REF!</definedName>
    <definedName name="MLNKaef132fc864e4b5ab5c35864099ce8ed" hidden="1">#REF!</definedName>
    <definedName name="MLNKaf596cb31641413489e940122525a541" hidden="1">#REF!</definedName>
    <definedName name="MLNKafaba7301206404c95475f1f01c6566d">#REF!</definedName>
    <definedName name="MLNKafc230248b2846ce9de8ecf5333af7b8" hidden="1">#REF!</definedName>
    <definedName name="MLNKafdfca69974d4ccd9dc55680ceba7d7c" hidden="1">#REF!</definedName>
    <definedName name="MLNKb02cb6f6f5e646d983bb5b6071a4b864" hidden="1">#REF!</definedName>
    <definedName name="MLNKb03ccb1533434341903873bcdbdd7e7e" hidden="1">#REF!</definedName>
    <definedName name="MLNKb046357b9d324da292ac6b37ca14d27e" hidden="1">#REF!</definedName>
    <definedName name="MLNKb0481204c7a54c699affdc79afb3cc23" hidden="1">#REF!</definedName>
    <definedName name="MLNKb0564caaa334469e8c9895b98e27b24c">#REF!</definedName>
    <definedName name="MLNKb07321d554d74ce9959f105937b060db" hidden="1">#REF!</definedName>
    <definedName name="MLNKb0732e0e6d1646aa8e2a3da23b5d53d1" hidden="1">#REF!</definedName>
    <definedName name="MLNKb0a1140fbd2f4af6a9cf90d50a645f3a" hidden="1">#REF!</definedName>
    <definedName name="MLNKb0b32029463549dfa7b3f3c26f58ad82" hidden="1">#REF!</definedName>
    <definedName name="MLNKb0e3f566c39c4800827f83f6b3eaa956" hidden="1">#REF!</definedName>
    <definedName name="MLNKb13c687ecd3a42c8b8969b873fb8640c" hidden="1">#REF!</definedName>
    <definedName name="MLNKb15ab96b88e94e6bb8c31e37f7e5f8a6" hidden="1">#REF!</definedName>
    <definedName name="MLNKb16e7a38cf964c878bf04a68baaba8dd" hidden="1">#REF!</definedName>
    <definedName name="MLNKb190b965481c403ebadcf5434d93c96e" hidden="1">#REF!</definedName>
    <definedName name="MLNKb19763bde39d47b58fab7d8a7162a25a" hidden="1">#REF!</definedName>
    <definedName name="MLNKb1992108460d44a5b7784bae89bde19f" hidden="1">#REF!</definedName>
    <definedName name="MLNKb2085f885a994a529da87642931adf3f" hidden="1">#REF!</definedName>
    <definedName name="MLNKb212045ceb7e4f2e93288d56d3e45952" hidden="1">#REF!</definedName>
    <definedName name="MLNKb22ab1bb697741aa9181af8949de9e10" hidden="1">#REF!</definedName>
    <definedName name="MLNKb23b02f3319047b4aece4d26b08a6bc2">#REF!</definedName>
    <definedName name="MLNKb23f7b5541254055b147c2ed7cd89326" hidden="1">#REF!</definedName>
    <definedName name="MLNKb2778c8068a64327a340b47fee00cd9c" hidden="1">#REF!</definedName>
    <definedName name="MLNKb2bfbcf3198947d6a85c91a38e045049" hidden="1">#REF!</definedName>
    <definedName name="MLNKb2ce0d38f0c842a3a05198e1150c7595">#REF!</definedName>
    <definedName name="MLNKb2ef0b2afa9c42ce9ec988fd5f1fc787" hidden="1">#REF!</definedName>
    <definedName name="MLNKb2f879e7effd4261a55600b2b75a0405" hidden="1">#REF!</definedName>
    <definedName name="MLNKb311c33b9ae44e7f9243125d88d0c205" hidden="1">#REF!</definedName>
    <definedName name="MLNKb34155f138cc4dee8f0aa006f6c39f92" hidden="1">#REF!</definedName>
    <definedName name="MLNKb34c708a2cbc41b9b95400c142ebb966" hidden="1">#REF!</definedName>
    <definedName name="MLNKb35ae81d8d0649d697bf11beeef8809c" hidden="1">#REF!</definedName>
    <definedName name="MLNKb3f81b55c9db4bd5befc7b17eff508f1" hidden="1">#REF!</definedName>
    <definedName name="MLNKb40d9400216b4d28a220bdbaefef655d" hidden="1">#REF!</definedName>
    <definedName name="MLNKb41e0c828daa4a92a89b3fde0b2cb832" hidden="1">#REF!</definedName>
    <definedName name="MLNKb42b39ccc09044cc9c00d946eefc03dc" hidden="1">#REF!</definedName>
    <definedName name="MLNKb43855f365f34e40b3e5b80e0fb6fd6e" hidden="1">#REF!</definedName>
    <definedName name="MLNKb44aa170421e459398914d0d72d1ae3f" hidden="1">#REF!</definedName>
    <definedName name="MLNKb45ad1d294534cccb37b8b61c11bec65" hidden="1">#REF!</definedName>
    <definedName name="MLNKb468f247a92e431a96a02cee129d2005" hidden="1">#REF!</definedName>
    <definedName name="MLNKb47b2c1759fd4deb85a7bc113c9250fc" hidden="1">#REF!</definedName>
    <definedName name="MLNKb4d08128a57d414bbbf4bb4714fa6a1e" hidden="1">#REF!</definedName>
    <definedName name="MLNKb4dda03335104f4faf72b35cb8ed7d6a" hidden="1">#REF!</definedName>
    <definedName name="MLNKb4f63892c133460e86df645209a50aec" hidden="1">#REF!</definedName>
    <definedName name="MLNKb51a60d9849c4daa89cd23773ff823d3" hidden="1">#REF!</definedName>
    <definedName name="MLNKb522bac373ac4002889939d35a1220c0" hidden="1">#REF!</definedName>
    <definedName name="MLNKb53d176fb2cc45959779d69dc85c4102" hidden="1">#REF!</definedName>
    <definedName name="MLNKb589891036ba4e6681b0147c405b5e66" hidden="1">#REF!</definedName>
    <definedName name="MLNKb5a027a36c584315bf342061bcd8df74" hidden="1">#REF!</definedName>
    <definedName name="MLNKb5ee0eff2552408bae83ac00ff77b3b9" hidden="1">#REF!</definedName>
    <definedName name="MLNKb604632c7d2f4b6e80931dd880e37572" hidden="1">#REF!</definedName>
    <definedName name="MLNKb62f4be064fd4a8b95ff92431f50ee7c" hidden="1">#REF!</definedName>
    <definedName name="MLNKb672c85692414b85899cc1bde171ce17" hidden="1">#REF!</definedName>
    <definedName name="MLNKb6866111b74746cbb497d1b902ed3f3b" hidden="1">#REF!</definedName>
    <definedName name="MLNKb6f8a5776c654b63a7e8cd154928efe8" hidden="1">#REF!</definedName>
    <definedName name="MLNKb706b3e1c44b4a7f8dfe095d9b0938fa" hidden="1">#REF!</definedName>
    <definedName name="MLNKb731f6ecabc94b6ba1a8473abcec5f6e" hidden="1">#REF!</definedName>
    <definedName name="MLNKb769b698566c498bb39f7bfdc445acec" hidden="1">#REF!</definedName>
    <definedName name="MLNKb78c6be74ac44045a3a6c46e054138b4" hidden="1">#REF!</definedName>
    <definedName name="MLNKb7b495854e76411fa96f53c71309aebd" hidden="1">#REF!</definedName>
    <definedName name="MLNKb7b91c6640f84cd0a8ac3810941d5bf9" hidden="1">#REF!</definedName>
    <definedName name="MLNKb7efd235300b45669cf985ba002fef42" hidden="1">#REF!</definedName>
    <definedName name="MLNKb803ddfdafb14aeaa78e22de173d9cce" hidden="1">#REF!</definedName>
    <definedName name="MLNKb82727791b354b28a854967ad1eea19f" hidden="1">#REF!</definedName>
    <definedName name="MLNKb8903a8eb9724245a8ec0f80133fbafc" hidden="1">#REF!</definedName>
    <definedName name="MLNKb8ffa6b46ea9482889cff9e9f0ab9d6f" hidden="1">#REF!</definedName>
    <definedName name="MLNKb95919f336c4457cb4d926acd031e80c" hidden="1">#REF!</definedName>
    <definedName name="MLNKb975fa346ec24a6185b70e9a6bfa8ccb" hidden="1">#REF!</definedName>
    <definedName name="MLNKb97b5c40caae4b7287b7c8aeff8df149" hidden="1">#REF!</definedName>
    <definedName name="MLNKb9a30db204b347ab8b942391198215fd" hidden="1">#REF!</definedName>
    <definedName name="MLNKb9c7f6db92a44ee6b3669f95d95c7cd7" hidden="1">#REF!</definedName>
    <definedName name="MLNKb9cd6a5ce35c421d927dee4b709f993f" hidden="1">#REF!</definedName>
    <definedName name="MLNKb9d962c8f3e443e1b8f027224c2a9404" hidden="1">#REF!</definedName>
    <definedName name="MLNKb9f0db4055ac4916b6cd91d96153e60a" hidden="1">#REF!</definedName>
    <definedName name="MLNKba0516c61dc349c3bbc70f0f71d08644" hidden="1">#REF!</definedName>
    <definedName name="MLNKba0aa3e712ca481f8b7a6c7abb578bc3" hidden="1">#REF!</definedName>
    <definedName name="MLNKba43b2ed1b1c46be8644faf0068f9f9a" hidden="1">#REF!</definedName>
    <definedName name="MLNKbb4812cefc6e45c29d279ef2da0a5298" hidden="1">#REF!</definedName>
    <definedName name="MLNKbb49c17d65f8467cbfe5d39ce36206aa" hidden="1">#REF!</definedName>
    <definedName name="MLNKbb6a3af70f2c4ef19c2479768bffb907" hidden="1">#REF!</definedName>
    <definedName name="MLNKbb733a29b2e04fa187db0add14f401d5" hidden="1">#REF!</definedName>
    <definedName name="MLNKbb838d3f6e774542ae377816341f2e51" hidden="1">#REF!</definedName>
    <definedName name="MLNKbb8dda512779425cad00d11e7f8c85eb" localSheetId="1" hidden="1">#REF!</definedName>
    <definedName name="MLNKbb8dda512779425cad00d11e7f8c85eb" localSheetId="10" hidden="1">#REF!</definedName>
    <definedName name="MLNKbb8dda512779425cad00d11e7f8c85eb" localSheetId="9" hidden="1">#REF!</definedName>
    <definedName name="MLNKbb8dda512779425cad00d11e7f8c85eb" localSheetId="16" hidden="1">#REF!</definedName>
    <definedName name="MLNKbb8dda512779425cad00d11e7f8c85eb" hidden="1">#REF!</definedName>
    <definedName name="MLNKbbd61ee9aa9148f1ae6fb35c342ebb5f" hidden="1">#REF!</definedName>
    <definedName name="MLNKbbf82c826c1c4d33b4c999fb1d9bdefc" hidden="1">#REF!</definedName>
    <definedName name="MLNKbc08bb7133f2491cb75ece79b862ebfe" hidden="1">#REF!</definedName>
    <definedName name="MLNKbc0fe94765014c31b53cd46cd80a72fa" hidden="1">#REF!</definedName>
    <definedName name="MLNKbc46fa63aaa6451f8575a0272f2b43f1" comment="Bridge" hidden="1">#REF!</definedName>
    <definedName name="MLNKbc5e36ed40244e8c8692954d162adcfe" hidden="1">#REF!</definedName>
    <definedName name="MLNKbca0d93207494ed08c0833dec7868609" hidden="1">#REF!</definedName>
    <definedName name="MLNKbca378e312d4484bbab58b1847aee1d7" hidden="1">#REF!</definedName>
    <definedName name="MLNKbccda8090e044607b354d156bb0c92fd" hidden="1">#REF!</definedName>
    <definedName name="MLNKbcea699396724fedb1a52aca596a380c" hidden="1">#REF!</definedName>
    <definedName name="MLNKbd4e05c9260e4ed0905591715851fe56" hidden="1">#REF!</definedName>
    <definedName name="MLNKbdc51dbeae5f4b16a846a6efd5e73af7" hidden="1">#REF!</definedName>
    <definedName name="MLNKbdc8702cd6534e28b7c3f64c145b5dc2" hidden="1">#REF!</definedName>
    <definedName name="MLNKbdcb86c4fbbe479f8bc8b12f3a7bb0ba" hidden="1">#REF!</definedName>
    <definedName name="MLNKbe1ff8ca3acc4187877d46be1185bf61" hidden="1">#REF!</definedName>
    <definedName name="MLNKbe287d33aaf646519d3c8d073d356c71" hidden="1">#REF!</definedName>
    <definedName name="MLNKbe2ed088757144f792c40ebbf4f81332" hidden="1">#REF!</definedName>
    <definedName name="MLNKbe4a720aab0d403389b806a596f7a774" hidden="1">#REF!</definedName>
    <definedName name="MLNKbedabda07a54442c9420845d0c2a08d8" hidden="1">#REF!</definedName>
    <definedName name="MLNKbf0ef48d55f44fb8b0ee990caab90966" hidden="1">#REF!</definedName>
    <definedName name="MLNKbfabd7247deb4ba980e0352eb521e729" hidden="1">#REF!</definedName>
    <definedName name="MLNKbfd9e2b15eb14eafad64f7889b16f74e" hidden="1">#REF!</definedName>
    <definedName name="MLNKbfe307b855134e618d1189263200fb87" hidden="1">#REF!</definedName>
    <definedName name="MLNKbff9cbc43043452384223db7bf78adde" hidden="1">#REF!</definedName>
    <definedName name="MLNKbffc3f88581c41f38bbd617ef691d8f1" hidden="1">#REF!</definedName>
    <definedName name="MLNKc001d631d0a1430bb51c24ecd445be42" hidden="1">#REF!</definedName>
    <definedName name="MLNKc01f264fc14c48c2a37b15328608d7b7" hidden="1">#REF!</definedName>
    <definedName name="MLNKc020b0f25fcc401688f92abb2a536c1e" hidden="1">#REF!</definedName>
    <definedName name="MLNKc0406c240b514f089567a12a3008e50d" hidden="1">#REF!</definedName>
    <definedName name="MLNKc0b74ed8af044b6e870615b7fe5f59c5" hidden="1">#REF!</definedName>
    <definedName name="MLNKc0b88ca7ef904580a4d922866d66d39d" hidden="1">#REF!</definedName>
    <definedName name="MLNKc0bb72b623a6474b999258a7f6000d22" hidden="1">#REF!</definedName>
    <definedName name="MLNKc1186dbe03eb4fb1ba1bdab9943eb28f" hidden="1">#REF!</definedName>
    <definedName name="MLNKc1a832d91b624978ae1042cb1d458f82" hidden="1">#REF!</definedName>
    <definedName name="MLNKc1ea0fd2bda0435abb7bc0e36bc2d40b" hidden="1">#REF!</definedName>
    <definedName name="MLNKc1ea34a74830478c94320cce93354869" hidden="1">#REF!</definedName>
    <definedName name="MLNKc1f11c8ac69041a28e3b0acba155c208" hidden="1">#REF!</definedName>
    <definedName name="MLNKc2087dccab7d4e3cbd72027abe68e06f" hidden="1">#REF!</definedName>
    <definedName name="MLNKc25332e9cb794d5f80c01914368e6e20" hidden="1">#REF!</definedName>
    <definedName name="MLNKc26890122ee142049a91866243be1368" hidden="1">#REF!</definedName>
    <definedName name="MLNKc27b7ec67c984e4caf145364721ae18f" hidden="1">#REF!</definedName>
    <definedName name="MLNKc28ab9b70c914132b567840d3f08783f" hidden="1">#REF!</definedName>
    <definedName name="MLNKc28c890f86b4449b8e58b89c513990ae" hidden="1">#REF!</definedName>
    <definedName name="MLNKc2b012ea93a94f1b800d8305402696b7" comment="Retail" hidden="1">#REF!</definedName>
    <definedName name="MLNKc322b102db64483da43bc04996c0c6d4" hidden="1">#REF!</definedName>
    <definedName name="MLNKc333937c930c4c169df7097183baeb39" hidden="1">#REF!</definedName>
    <definedName name="MLNKc3594633f3de40d6a127a777a00f34b2" hidden="1">#REF!</definedName>
    <definedName name="MLNKc370ec18681c46ae88e9afbdca67d3de" hidden="1">#REF!</definedName>
    <definedName name="MLNKc38e7ef7d55c4bff8627d761f85bb9cc" hidden="1">#REF!</definedName>
    <definedName name="MLNKc38fb1ca8dd9467fb6e68f554f75cc58" hidden="1">#REF!</definedName>
    <definedName name="MLNKc3af74fad9594e51b071e3dafbe52401" hidden="1">#REF!</definedName>
    <definedName name="MLNKc3c513b6854c4201b576ce1e545a52bf" hidden="1">#REF!</definedName>
    <definedName name="MLNKc3fc548eff7b40b99717c51c10cbf39e" hidden="1">#REF!</definedName>
    <definedName name="MLNKc41bd1a16aec42ada9fb7d407cbb12c1" hidden="1">#REF!</definedName>
    <definedName name="MLNKc437984862134daa8cdb91d418b85dad" hidden="1">#REF!</definedName>
    <definedName name="MLNKc467c9a342c84412875c4e0bae90b488" hidden="1">#REF!</definedName>
    <definedName name="MLNKc4723801c64e4c03a1f19b47a0e61cce" hidden="1">#REF!</definedName>
    <definedName name="MLNKc478e4c24d5045699e19dc5e34bec9db" hidden="1">#REF!</definedName>
    <definedName name="MLNKc4a06e9360d14b28ae9bb2473ae1b1fc" hidden="1">#REF!</definedName>
    <definedName name="MLNKc4a44322397745da8e5cf95be8c75b03">#REF!</definedName>
    <definedName name="MLNKc4df62ae2aef44d0b330e24cbe6cccf9" hidden="1">#REF!</definedName>
    <definedName name="MLNKc4f572c600b847108edcb068c6638558" hidden="1">#REF!</definedName>
    <definedName name="MLNKc5199f1b0b1f4d2e90146d54a31b8d0f" hidden="1">#REF!</definedName>
    <definedName name="MLNKc52a1789e65d4a23854bcba23f18ff9e" hidden="1">#REF!</definedName>
    <definedName name="MLNKc532dc96487a47e3b337e2bfddbabca9" hidden="1">#REF!</definedName>
    <definedName name="MLNKc54e126b349e4b31802a5ada23e02dc1" hidden="1">#REF!</definedName>
    <definedName name="MLNKc564138f08bc406595029a4dd484d3e3" hidden="1">#REF!</definedName>
    <definedName name="MLNKc57677472d094c849e849cd80922a219" hidden="1">#REF!</definedName>
    <definedName name="MLNKc578174957504424baead604907676fc" hidden="1">#REF!</definedName>
    <definedName name="MLNKc58f1547fa7b4b76b31db98959926c38" hidden="1">#REF!</definedName>
    <definedName name="MLNKc5a5633d90b340f9be68d82bda2850f5" hidden="1">#REF!</definedName>
    <definedName name="MLNKc5aa0ff8ecf04f42bb50646f5cf61714" hidden="1">#REF!</definedName>
    <definedName name="MLNKc5bf41af2985449f82dd6dc2c608e90d" hidden="1">#REF!</definedName>
    <definedName name="MLNKc6168fc096974a0baf8c739cab02b607" hidden="1">#REF!</definedName>
    <definedName name="MLNKc6955e3017b449fe90ff1a77628df14d" hidden="1">#REF!</definedName>
    <definedName name="MLNKc6a6a51b71044755be79a6aec754631c" hidden="1">#REF!</definedName>
    <definedName name="MLNKc6ccb21e18494d34905edcf3cb98804a" hidden="1">#REF!</definedName>
    <definedName name="MLNKc6ff392d6e9640fc88d86ade9e2fc135" hidden="1">#REF!</definedName>
    <definedName name="MLNKc7460ba368b04d86b66bf6ea536b3b20" hidden="1">#REF!</definedName>
    <definedName name="MLNKc7aa3dad1e694170a19989992b616b1c" hidden="1">#REF!</definedName>
    <definedName name="MLNKc7e51d48759c4b989e9a7187d060bd66" hidden="1">#REF!</definedName>
    <definedName name="MLNKc81a67da9e594a70805ef35e6ba57539" hidden="1">#REF!</definedName>
    <definedName name="MLNKc8407985d52041d0b0d4b2203c978f92" hidden="1">#REF!</definedName>
    <definedName name="MLNKc84a40e578664848bc7bbff07e2238d8" hidden="1">#REF!</definedName>
    <definedName name="MLNKc8a5d776e09f460e97b02e06fab64afc" hidden="1">#REF!</definedName>
    <definedName name="MLNKc8cb4668afc54cfda4e903b3421c3b99" hidden="1">#REF!</definedName>
    <definedName name="MLNKc9361a899fd54e899ceb311534f31928" hidden="1">#REF!</definedName>
    <definedName name="MLNKc943c1c386ea4325b2441c50a000529b" hidden="1">#REF!</definedName>
    <definedName name="MLNKc947d5929ec6489fb8e198ea4ab6e7d4" hidden="1">#REF!</definedName>
    <definedName name="MLNKc95c8522adfe4d68b0a600161b60f352" hidden="1">#REF!</definedName>
    <definedName name="MLNKc9cceec8e0294da889691be5ff4c760b" hidden="1">#REF!</definedName>
    <definedName name="MLNKca1c68e7caf34b8483b31703b5413381" hidden="1">#REF!</definedName>
    <definedName name="MLNKca6edab085504e529780a1e2ba31bbe5" hidden="1">#REF!</definedName>
    <definedName name="MLNKcb01fbf8ab854e6cb824f49f2d154b3c" hidden="1">#REF!</definedName>
    <definedName name="MLNKcb6d60a911fa478ea4050358ee929ad9" hidden="1">#REF!</definedName>
    <definedName name="MLNKcb84a63f1f7742fd94be479eb9b5edac" hidden="1">#REF!</definedName>
    <definedName name="MLNKcbbd2f17b7a54131a69a354d98dc8faa" hidden="1">#REF!</definedName>
    <definedName name="MLNKcbbf4c7d14014cdfb3734740a54e70fd" hidden="1">#REF!</definedName>
    <definedName name="MLNKcc3a5cbb8beb4c58a8a6d3ded3808815" hidden="1">#REF!</definedName>
    <definedName name="MLNKcc595460753941459b6379fe33222d9e" hidden="1">#REF!</definedName>
    <definedName name="MLNKcc59c56d5b8445fda3a7112277156f69" hidden="1">#REF!</definedName>
    <definedName name="MLNKcc71d092209f4ab3a3b0013f2e77c4e3" hidden="1">#REF!</definedName>
    <definedName name="MLNKcc7f03c56b8843e8b1afafbe60ed4e59" hidden="1">#REF!</definedName>
    <definedName name="MLNKcc861b0c7fe94725bc62a8143fde611e" hidden="1">#REF!</definedName>
    <definedName name="MLNKcca0524731cf480082a0dee66bb776b0" hidden="1">#REF!</definedName>
    <definedName name="MLNKccc18aa3c8554711a06cb873e6edec0e" hidden="1">#REF!</definedName>
    <definedName name="MLNKccdb75be16cd40d6a3d522cbf8bcbfb8" hidden="1">#REF!</definedName>
    <definedName name="MLNKccfe0983af304156b4f18e505dda8d6b" hidden="1">#REF!</definedName>
    <definedName name="MLNKcd2fb19b23bf4a2a9d0f5b0fa12500b9" hidden="1">#REF!</definedName>
    <definedName name="MLNKcd7bd7c2bdd342dbbf9a4fd66fd51374" hidden="1">#REF!</definedName>
    <definedName name="MLNKcdcadb4bbf7541dd85558d37abe27144" hidden="1">#REF!</definedName>
    <definedName name="MLNKcde1e86b632b4a008450d956f91bc44b" hidden="1">#REF!</definedName>
    <definedName name="MLNKce2d2502d5f14668aa4b6a392d39a1e2" hidden="1">#REF!</definedName>
    <definedName name="MLNKce4ec135e05241d3a18e1bc1173b8dc9" hidden="1">#REF!</definedName>
    <definedName name="MLNKce54f2678e56408eafb8517c355e18e8" hidden="1">#REF!</definedName>
    <definedName name="MLNKce747cc7563e402687db1fc86d117e68" hidden="1">#REF!</definedName>
    <definedName name="MLNKcea3b452076d4b7da034e544e6c73158" hidden="1">#REF!</definedName>
    <definedName name="MLNKceaa752019da436e8142b7cd8a704c5c" hidden="1">#REF!</definedName>
    <definedName name="MLNKcec3cfe8346e4f3aa025d346407e41cf" hidden="1">#REF!</definedName>
    <definedName name="MLNKceeaf14dec264da3a3ec9b2d56db11af" hidden="1">#REF!</definedName>
    <definedName name="MLNKcf310cd9a5f14c78a589881e26d2801b" hidden="1">#REF!</definedName>
    <definedName name="MLNKcf38a18e13254d4b8b20c5ccbac90ec3" hidden="1">#REF!</definedName>
    <definedName name="MLNKcf52891f7baf49dc808dc74f243d598d" hidden="1">#REF!</definedName>
    <definedName name="MLNKcf57b9282bb1464db8cfaf255b1ac8e1" hidden="1">#REF!</definedName>
    <definedName name="MLNKcf5c7166136a40a89ffd73b1da980ca1" hidden="1">#REF!</definedName>
    <definedName name="MLNKcf63280cb82046f6b8bb7b05aabc2316" hidden="1">#REF!</definedName>
    <definedName name="MLNKcf8351168042420bb0cda65361ee36bf" hidden="1">#REF!</definedName>
    <definedName name="MLNKcf9bbd23f9314d6bbd172d2bfc607a61" localSheetId="1" hidden="1">#REF!</definedName>
    <definedName name="MLNKcf9bbd23f9314d6bbd172d2bfc607a61" localSheetId="10" hidden="1">#REF!</definedName>
    <definedName name="MLNKcf9bbd23f9314d6bbd172d2bfc607a61" localSheetId="9" hidden="1">#REF!</definedName>
    <definedName name="MLNKcf9bbd23f9314d6bbd172d2bfc607a61" localSheetId="16" hidden="1">#REF!</definedName>
    <definedName name="MLNKcf9bbd23f9314d6bbd172d2bfc607a61" hidden="1">#REF!</definedName>
    <definedName name="MLNKcff5f3ae523c4c13b3bc1cde22121e03" hidden="1">#REF!</definedName>
    <definedName name="MLNKd04cecb7f68e473e9ab3b0f04766b451" hidden="1">#REF!</definedName>
    <definedName name="MLNKd07414702264473eb3f7e2cc98eb1bf2" hidden="1">#REF!</definedName>
    <definedName name="MLNKd0a0671f0d00432ea9db9ad664740b18" hidden="1">#REF!</definedName>
    <definedName name="MLNKd104d975a11f4d2594868ce27a116b4e" hidden="1">#REF!</definedName>
    <definedName name="MLNKd10eb46a523e44cfae49fbc90377b11c" hidden="1">#REF!</definedName>
    <definedName name="MLNKd10fb12ef9b24bed9558690e7adb298a" hidden="1">#REF!</definedName>
    <definedName name="MLNKd11283051d5949cdaeeb0d40c6cf142f" hidden="1">#REF!</definedName>
    <definedName name="MLNKd11619b7a37342a1b3052aa0566ab290" hidden="1">#REF!</definedName>
    <definedName name="MLNKd117e01c19254ac693078e2728110d16" hidden="1">#REF!</definedName>
    <definedName name="MLNKd11b900212c3455fb4fef7d38fac5850" hidden="1">#REF!</definedName>
    <definedName name="MLNKd1546cffe7d74de0b8ac42c156608ee7" hidden="1">#REF!</definedName>
    <definedName name="MLNKd15634a5e7eb45e7aa54ad3cb71d8ae3" hidden="1">#REF!</definedName>
    <definedName name="MLNKd1759dc5b2ab42228fe5ca24f9b633a5" hidden="1">#REF!</definedName>
    <definedName name="MLNKd178c731fd21480183c901b74a51a9fe" hidden="1">#REF!</definedName>
    <definedName name="MLNKd1af14a942674626bfb2b6dc1914540a" hidden="1">#REF!</definedName>
    <definedName name="MLNKd1e30e482cd541c5b4df93a4d7cc3324">#REF!</definedName>
    <definedName name="MLNKd1e8d1ea98c8450fa273d5bc2aa96810" hidden="1">#REF!</definedName>
    <definedName name="MLNKd20b11263d4d4d4393f23131922bf133" hidden="1">#REF!</definedName>
    <definedName name="MLNKd2125b07d36640f49fb5da45e0d6a6eb" hidden="1">#REF!</definedName>
    <definedName name="MLNKd243f74ec9e6412580dfa0061b5b271f" hidden="1">#REF!</definedName>
    <definedName name="MLNKd26a0b211bf34894875524d9d5d270e7" hidden="1">#REF!</definedName>
    <definedName name="MLNKd2ba843aa2904005ae9f2b43dc005a91" hidden="1">#REF!</definedName>
    <definedName name="MLNKd2c9e2355b0a441788ff86a8babad238" hidden="1">#REF!</definedName>
    <definedName name="MLNKd2e27c3aa02c4bdf897c0578a3247ea4" hidden="1">#REF!</definedName>
    <definedName name="MLNKd300b19482654e7fa399f5f9bb77018e" hidden="1">#REF!</definedName>
    <definedName name="MLNKd34e89830eed48a49d8618eb4ec9a1d5" hidden="1">#REF!</definedName>
    <definedName name="MLNKd3790e6593eb4c0da0f9be712f0cdb5a" hidden="1">#REF!</definedName>
    <definedName name="MLNKd38c63ab3d7d4be5b029792ac2642451" hidden="1">#REF!</definedName>
    <definedName name="MLNKd3e14705915247b0907486339fcc68bd" hidden="1">#REF!</definedName>
    <definedName name="MLNKd4141c8d79b24b9880eb7f106e8bda48" hidden="1">#REF!</definedName>
    <definedName name="MLNKd42f84fb097d4bb0ad32da23986953c9" hidden="1">#REF!</definedName>
    <definedName name="MLNKd438b88273d14adf9570e30ed171c187" hidden="1">#REF!</definedName>
    <definedName name="MLNKd44cc7ca36954a568a3a002265043754" hidden="1">#REF!</definedName>
    <definedName name="MLNKd4bdff4f3d0d45aeb6b8dc7878c72dc3" hidden="1">#REF!</definedName>
    <definedName name="MLNKd4e7c648b41e445db12ee1d681013ac1" hidden="1">#REF!</definedName>
    <definedName name="MLNKd5155d8f82924c7da53b159ca3378cef" hidden="1">#REF!</definedName>
    <definedName name="MLNKd51ce6c94d664906984ec9d7964ae57e" hidden="1">#REF!</definedName>
    <definedName name="MLNKd5547e2aac2f4889b8e032205937d7af" hidden="1">#REF!</definedName>
    <definedName name="MLNKd561783c56e34fc3aaae23992d175150" hidden="1">#REF!</definedName>
    <definedName name="MLNKd59f48f90f6142b083019fe59e8a23de" hidden="1">#REF!</definedName>
    <definedName name="MLNKd5d14af59cbb46c496f29cbe8e501f44" hidden="1">#REF!</definedName>
    <definedName name="MLNKd5de46edfa7743eba7e173799e410bfe" hidden="1">#REF!</definedName>
    <definedName name="MLNKd600f5082a5e4734bed6cd7284e38b28" hidden="1">#REF!</definedName>
    <definedName name="MLNKd6134f1b82ff4471a8cd950d96772b30" hidden="1">#REF!</definedName>
    <definedName name="MLNKd650a5ef2a0645fb87b294556ce55a49" hidden="1">#REF!</definedName>
    <definedName name="MLNKd6756e677215469fa5448a38b891c3d6" hidden="1">#REF!</definedName>
    <definedName name="MLNKd696e8ddb7dd4190b0e7cd8251ebde4d" hidden="1">#REF!</definedName>
    <definedName name="MLNKd70d654a32114a43b97e6b3572b2b5ba" hidden="1">#REF!</definedName>
    <definedName name="MLNKd717baf7ed374b59a9d23a9927791d08" hidden="1">#REF!</definedName>
    <definedName name="MLNKd74b702f710b4577a3e3c4b1d34a9080" hidden="1">#REF!</definedName>
    <definedName name="MLNKd79ea6ce2d1843289bfae4f7a48b49b7" hidden="1">#REF!</definedName>
    <definedName name="MLNKd7b770a83e844f49a03ac847fcfa8a7c" hidden="1">#REF!</definedName>
    <definedName name="MLNKd7b829a0060941fd90af499e3c743bd2">#REF!</definedName>
    <definedName name="MLNKd84144423fc04a938cb629b090f8a188" hidden="1">#REF!</definedName>
    <definedName name="MLNKd84ec9a30a284189a2f692a2e9a1f75c" hidden="1">#REF!</definedName>
    <definedName name="MLNKd8d16dbbde7544ce9a3e25237f3a12e4" hidden="1">#REF!</definedName>
    <definedName name="MLNKd8d471579a174be79909a19ab94c9c3e" hidden="1">#REF!</definedName>
    <definedName name="MLNKd8fc6dab8f3e4dcc928c36d485ee4346" hidden="1">#REF!</definedName>
    <definedName name="MLNKd917ebca4fea4eda8c8e91027fbed07d" hidden="1">#REF!</definedName>
    <definedName name="MLNKd91b2bcc9afd415a9adaaeb3777904ba" hidden="1">#REF!</definedName>
    <definedName name="MLNKd91efea801a944ca82db1012b0fe1f4a" hidden="1">#REF!</definedName>
    <definedName name="MLNKd95d5979a7df4a08a37949a16a86182a" hidden="1">#REF!</definedName>
    <definedName name="MLNKd975477d31ba463bad2ac542b8ef1244" hidden="1">#REF!</definedName>
    <definedName name="MLNKd9787e5d9fd3406c93b934b9b7735e6f" hidden="1">#REF!</definedName>
    <definedName name="MLNKd9c639b3766142d58b3ac4c090277c8b">#REF!</definedName>
    <definedName name="MLNKd9e4d161abb0411998296783a629e6b0" hidden="1">#REF!</definedName>
    <definedName name="MLNKd9f33fe4a3a74fd699d4f1da946074d0">#REF!</definedName>
    <definedName name="MLNKda3c1ae182034d25a8c15774a4bc752b" hidden="1">#REF!</definedName>
    <definedName name="MLNKda6042d6c7094fffbd89f58416cd46f4" hidden="1">#REF!</definedName>
    <definedName name="MLNKda72ac23e49a42f19a921c171719c8aa" hidden="1">#REF!</definedName>
    <definedName name="MLNKdac6aa247506485e9e5eb479d5c7c9c0" hidden="1">#REF!</definedName>
    <definedName name="MLNKdb173bea7ddb4bd9826fac7bc7ead0db" hidden="1">#REF!</definedName>
    <definedName name="MLNKdb17c16f3dee4f3287ba4754204c6856" hidden="1">#REF!</definedName>
    <definedName name="MLNKdb33b870e0884d3ea5b43aab0c7eb730" hidden="1">#REF!</definedName>
    <definedName name="MLNKdb535d7226154dafaf1d427e524f457d" hidden="1">#REF!</definedName>
    <definedName name="MLNKdb7fc0de2db048be987cc251a6717f42" hidden="1">#REF!</definedName>
    <definedName name="MLNKdbcb783cbc694b5a8c494eda6cd2e8c8" hidden="1">#REF!</definedName>
    <definedName name="MLNKdbec271354604b40a5512bbb8d9281c9" hidden="1">#REF!</definedName>
    <definedName name="MLNKdbf57f21656c4634b17f57d577465b2e" hidden="1">#REF!</definedName>
    <definedName name="MLNKdbfcf626faf6453b8d7ecb8cb9becf45" hidden="1">#REF!</definedName>
    <definedName name="MLNKdc5b2b0a5496485c95222b63f4b775d6" hidden="1">#REF!</definedName>
    <definedName name="MLNKdc63efc61be84ba1b73fb4f049b61b30" hidden="1">#REF!</definedName>
    <definedName name="MLNKdd04c4509a844637a554221d9bbd2bb0" localSheetId="1" hidden="1">#REF!</definedName>
    <definedName name="MLNKdd04c4509a844637a554221d9bbd2bb0" localSheetId="10" hidden="1">#REF!</definedName>
    <definedName name="MLNKdd04c4509a844637a554221d9bbd2bb0" localSheetId="9" hidden="1">#REF!</definedName>
    <definedName name="MLNKdd04c4509a844637a554221d9bbd2bb0" localSheetId="16" hidden="1">#REF!</definedName>
    <definedName name="MLNKdd04c4509a844637a554221d9bbd2bb0" hidden="1">#REF!</definedName>
    <definedName name="MLNKdd57a07c3d8a4595a752e1497d4db822" hidden="1">#REF!</definedName>
    <definedName name="MLNKdd8ff85e168144a2ba653d5c9aed4a2b" hidden="1">#REF!</definedName>
    <definedName name="MLNKdddda4cd98784efeaa7adf45e235c70b" hidden="1">#REF!</definedName>
    <definedName name="MLNKdde05dbab2fd47d4ad0fe7d02e4e4890" hidden="1">#REF!</definedName>
    <definedName name="MLNKddede84b61e646a3976d45a00508dc21" hidden="1">#REF!</definedName>
    <definedName name="MLNKddfb6336ddd0429997b30c0e7f3ac2e8" hidden="1">#REF!</definedName>
    <definedName name="MLNKde1f7c34ba5547a7b80af0f918789c46" hidden="1">#REF!</definedName>
    <definedName name="MLNKde58d5d574154203924e3515cbbd58c0" hidden="1">#REF!</definedName>
    <definedName name="MLNKdf0a73f8da7e48d5b5c7e84d4c19ef39" hidden="1">#REF!</definedName>
    <definedName name="MLNKdf6078f26f7e46d8b97fa11e973063d9" hidden="1">#REF!</definedName>
    <definedName name="MLNKdf8c34c0d5844e5eb46b29b301824657">#REF!</definedName>
    <definedName name="MLNKdfb12eb3a7ef444f8a96c5d1b229dd5e" hidden="1">#REF!</definedName>
    <definedName name="MLNKdfcc164926f64e4fb8af718c44687048" hidden="1">#REF!</definedName>
    <definedName name="MLNKdfd09f603c5549d09d2f7cf13693a7c6" hidden="1">#REF!</definedName>
    <definedName name="MLNKdfde921049564eed9c2e6bb1d3e67204" hidden="1">#REF!</definedName>
    <definedName name="MLNKdffb0dba84164e6fa1c7e829e04f67f7" hidden="1">#REF!</definedName>
    <definedName name="MLNKe00e33b3f0a84a3d876a1aea3bb9e4ff" hidden="1">#REF!</definedName>
    <definedName name="MLNKe03d5db8052346b7aada3197b4058f8d" hidden="1">#REF!</definedName>
    <definedName name="MLNKe0a7d0dcc7bf4aafadcfc166916aafd0" hidden="1">#REF!</definedName>
    <definedName name="MLNKe0d46415ae564202b826b9eb4b9d2b90" hidden="1">#REF!</definedName>
    <definedName name="MLNKe0d63ee8711641838e0b3352afe035c6" hidden="1">#REF!</definedName>
    <definedName name="MLNKe145dc671d454402a3bf9e03efe6ea63" hidden="1">#REF!</definedName>
    <definedName name="MLNKe1595035bbb741369ca0976983351f23" hidden="1">#REF!</definedName>
    <definedName name="MLNKe1fdca4c4b0d4d0180a0614196537a8a" hidden="1">#REF!</definedName>
    <definedName name="MLNKe1fe15499f504200b7c150da064f7784" hidden="1">#REF!</definedName>
    <definedName name="MLNKe21b628da0474cc2a0eb8e66133a97b9" hidden="1">#REF!</definedName>
    <definedName name="MLNKe22aa71cc68e48d2972551bf7b414b80" hidden="1">#REF!</definedName>
    <definedName name="MLNKe24e2e192bb14d75af4c4c6ba7aaea9b" hidden="1">#REF!</definedName>
    <definedName name="MLNKe25c92f959b844d5835285ae0be4d8a8" hidden="1">#REF!</definedName>
    <definedName name="MLNKe28170b27e6848289047be6df89470a3" hidden="1">#REF!</definedName>
    <definedName name="MLNKe287d48ac5ea4d8c94216410b4afd998" hidden="1">#REF!</definedName>
    <definedName name="MLNKe28bc3244c3646948c7da7fe3118785b" hidden="1">#REF!</definedName>
    <definedName name="MLNKe28fde53df564ddbb410626455bc8279" hidden="1">#REF!</definedName>
    <definedName name="MLNKe2c7a98802464175bd29ef2e24520991" hidden="1">#REF!</definedName>
    <definedName name="MLNKe326beaa330c41caa299541a0c639d4a" hidden="1">#REF!</definedName>
    <definedName name="MLNKe335a7703d1d47598408c34e79454f05" hidden="1">#REF!</definedName>
    <definedName name="MLNKe368e197c3d948f9a8d4b6fb75d4543b" hidden="1">#REF!</definedName>
    <definedName name="MLNKe3693beb6861478ba88e9c1fa1eb1f8e">#REF!</definedName>
    <definedName name="MLNKe38f523ea9de4ce39f7000570d6aead2" hidden="1">#REF!</definedName>
    <definedName name="MLNKe3d319a4d80c4b5585e77f3518961164" hidden="1">#REF!</definedName>
    <definedName name="MLNKe3e9be801c4f4802ad7ee5ad7dfd4bad" hidden="1">#REF!</definedName>
    <definedName name="MLNKe3f142bc90084d63b44827c5913db4de" hidden="1">#REF!</definedName>
    <definedName name="MLNKe4480865556b4dc9856c6e6459a9ac95" hidden="1">#REF!</definedName>
    <definedName name="MLNKe44dd8311c25473d85f962e84034a555" hidden="1">#REF!</definedName>
    <definedName name="MLNKe4896f23897d4ac0979e390b695b1013" hidden="1">#REF!</definedName>
    <definedName name="MLNKe4c02170146d4ae7911a7a886de4e577" hidden="1">#REF!</definedName>
    <definedName name="MLNKe532291ac339467da13a9f3477a82121" hidden="1">#REF!</definedName>
    <definedName name="MLNKe55204b750e14a73acff9db3ee2341b7" hidden="1">#REF!</definedName>
    <definedName name="MLNKe552e691dfa84d6ebf54fb70587abe78" hidden="1">#REF!</definedName>
    <definedName name="MLNKe577b66c0c8f4480b7452f24cd5051f0" hidden="1">#REF!</definedName>
    <definedName name="MLNKe57a2e7b1c3a492899d6d65d6989bbd8" hidden="1">#REF!</definedName>
    <definedName name="MLNKe5aa1234a3dd474f93c35919ff0a9516" hidden="1">#REF!</definedName>
    <definedName name="MLNKe5b3da660a974bcd8a1cc3a16bb537c8" hidden="1">#REF!</definedName>
    <definedName name="MLNKe5f7af82bada46ffbd4a9cc81ba28dc5" hidden="1">#REF!</definedName>
    <definedName name="MLNKe61cfc9704e548d8add2e22b86bfa763" hidden="1">#REF!</definedName>
    <definedName name="MLNKe628e933e2894ce98c5adc5fc550c1c2" hidden="1">#REF!</definedName>
    <definedName name="MLNKe63eb090a7224161852d954e5e4a0425" hidden="1">#REF!</definedName>
    <definedName name="MLNKe63f075587ae417b9e07b49588d8538b" hidden="1">#REF!</definedName>
    <definedName name="MLNKe6543b5deb2449bead333d5011ac39fa" hidden="1">#REF!</definedName>
    <definedName name="MLNKe67c128fbad44e09bfb52c11669588cc" hidden="1">#REF!</definedName>
    <definedName name="MLNKe67dcce4580646cdbba383b90dacd9c5" hidden="1">#REF!</definedName>
    <definedName name="MLNKe6921e82964d47a2af09cfa87cf06005" hidden="1">#REF!</definedName>
    <definedName name="MLNKe6a3ea3e016a4077ae54c97996461a6c" hidden="1">#REF!</definedName>
    <definedName name="MLNKe6ed2d24baf34539906a5eb812c78200" hidden="1">#REF!</definedName>
    <definedName name="MLNKe75a84d90ee444f38aa4072f89cffdc0" hidden="1">#REF!</definedName>
    <definedName name="MLNKe76de9706f6f4e01938b903d25c41696" hidden="1">#REF!</definedName>
    <definedName name="MLNKe77a651804d84ae8a725a6df4be76667" hidden="1">#REF!</definedName>
    <definedName name="MLNKe78976babbef42bb817e4f8ab8f65b7c" hidden="1">#REF!</definedName>
    <definedName name="MLNKe78b8d79183146b79ef4939e418a058a" hidden="1">#REF!</definedName>
    <definedName name="MLNKe7ebc8e7a9ea4432a5d32d1237546a4b" hidden="1">#REF!</definedName>
    <definedName name="MLNKe7ec15379e064e36977b9129a5bf2c8c" hidden="1">#REF!</definedName>
    <definedName name="MLNKe7fc81c438f4435ab146f0db032f4947" hidden="1">#REF!</definedName>
    <definedName name="MLNKe82bbaafd15d42ec87adff3cfd5d8f78" hidden="1">#REF!</definedName>
    <definedName name="MLNKe88157b8967b4e1587bc24aa336e4b26" hidden="1">#REF!</definedName>
    <definedName name="MLNKe8b0b27d4ae64393bc5fd1bbd71558c7" hidden="1">#REF!</definedName>
    <definedName name="MLNKe8d841acde6c4eb69049b5dad898d6cd" hidden="1">#REF!</definedName>
    <definedName name="MLNKe8dec3cac13c4c108ec5449919bbf06c" hidden="1">#REF!</definedName>
    <definedName name="MLNKe9b004909822408b8a1b815177f5ef5f" hidden="1">#REF!</definedName>
    <definedName name="MLNKe9da1a1aa6c24f7da3a9ffb639d402e9" hidden="1">#REF!</definedName>
    <definedName name="MLNKe9db4a9a0eb64dabb1b3e73480cfa4a1" hidden="1">#REF!</definedName>
    <definedName name="MLNKea26850d72be43738f0303ea9ef000c2" hidden="1">#REF!</definedName>
    <definedName name="MLNKea37c23d8385484c855c4de3de550c58" hidden="1">#REF!</definedName>
    <definedName name="MLNKea3a2ba33dff4503b4a6f63bb90080d0" hidden="1">#REF!</definedName>
    <definedName name="MLNKea74a82d01ac4638be5485305ed28f3a" hidden="1">#REF!</definedName>
    <definedName name="MLNKea8a2839930944099119355d8450ee60" hidden="1">#REF!</definedName>
    <definedName name="MLNKea90bc3e69934360a6377e3321168585" hidden="1">#REF!</definedName>
    <definedName name="MLNKea9de423419c4331bfd143d98cbcf735" hidden="1">#REF!</definedName>
    <definedName name="MLNKeac0558c77334c95af0b506af4d2e63b" hidden="1">#REF!</definedName>
    <definedName name="MLNKeac6295c4ef7402f9037735eaa111731" hidden="1">#REF!</definedName>
    <definedName name="MLNKeb0ed18780454227b5b0fdb2de3a27ff" hidden="1">#REF!</definedName>
    <definedName name="MLNKeb402926259d4753871761d796a2e544" hidden="1">#REF!</definedName>
    <definedName name="MLNKeb76d31cd53c48cea0c664822e20f9b9" hidden="1">#REF!</definedName>
    <definedName name="MLNKeb950f2d828b4b1cbaaa1965c8a6d469" hidden="1">#REF!</definedName>
    <definedName name="MLNKeba0da3ce85e422699f1b2b087c969a4">#REF!</definedName>
    <definedName name="MLNKebcbd92c4aae450cb54fdec8f6e63aad" hidden="1">#REF!</definedName>
    <definedName name="MLNKebd44a03644a4c52a9f0150bd266557a" hidden="1">#REF!</definedName>
    <definedName name="MLNKebefeb8105534d978090cada9d181b7c" hidden="1">#REF!</definedName>
    <definedName name="MLNKec09b4184ee246229817e170c840ddaa" hidden="1">#REF!</definedName>
    <definedName name="MLNKec3cf51b7a6c4f2ea9dc4494fe341593" hidden="1">#REF!</definedName>
    <definedName name="MLNKec47b6c889fb4ba7945acb5ebe3af020" hidden="1">#REF!</definedName>
    <definedName name="MLNKec742f99b42d4b318aeac60713442b75" hidden="1">#REF!</definedName>
    <definedName name="MLNKece405760e304809b0a7b7a925867180" hidden="1">#REF!</definedName>
    <definedName name="MLNKed1c90bd8c36447bb69ad5f8c1dabf4f" hidden="1">#REF!</definedName>
    <definedName name="MLNKed33f47b7e294c0686ad45b6070fd1ef" hidden="1">#REF!</definedName>
    <definedName name="MLNKed616eb3f28b4245ab497deae5d63c54" hidden="1">#REF!</definedName>
    <definedName name="MLNKed917be43cc147cc942e3a21612c8925" hidden="1">#REF!</definedName>
    <definedName name="MLNKeda231a3dcee4174a805b13dd97d03c8" hidden="1">#REF!</definedName>
    <definedName name="MLNKeda79177faef4802a7da1780ee5c1e50" hidden="1">#REF!</definedName>
    <definedName name="MLNKee0a37fedb8b4099a7dcc4f7dfe8a436" hidden="1">#REF!</definedName>
    <definedName name="MLNKee2ba5bcf3d0445ebc9d34c2c178412f" hidden="1">#REF!</definedName>
    <definedName name="MLNKee37a07d0fd8406dbd171cc8a3b68961" hidden="1">#REF!</definedName>
    <definedName name="MLNKee4d0782fd6948a2a259d4186c2b5827" hidden="1">#REF!</definedName>
    <definedName name="MLNKee5716a93a8b4230aa5cf2bc569b23b7" hidden="1">#REF!</definedName>
    <definedName name="MLNKee6ef6f58c5b4d7bad0a8c7f9fc756f1" hidden="1">#REF!</definedName>
    <definedName name="MLNKee855c5cec2445ff93511f264b991d0f" hidden="1">#REF!</definedName>
    <definedName name="MLNKee9c45b0099b48b489f343c7bbc48d5c" hidden="1">#REF!</definedName>
    <definedName name="MLNKeea4dd1d4c8e4b839f4df5f01094e23a" hidden="1">#REF!</definedName>
    <definedName name="MLNKeeca6d9be08e47e78c8a4c1157b27b9e" hidden="1">#REF!</definedName>
    <definedName name="MLNKeed1e5a82252438e87752d1198416b1b" hidden="1">#REF!</definedName>
    <definedName name="MLNKef1a9461992b4ddcb397c738318ff954" hidden="1">#REF!</definedName>
    <definedName name="MLNKef47bf51dd4744239b7a7862bc92ef8f" hidden="1">#REF!</definedName>
    <definedName name="MLNKef5d9aa92ffe41cfb1d41e66a03c596a" hidden="1">#REF!</definedName>
    <definedName name="MLNKef91e4c6171345cea67919bd25241de9" hidden="1">#REF!</definedName>
    <definedName name="MLNKefb4950e96084240b4674744b1c7dc19" hidden="1">#REF!</definedName>
    <definedName name="MLNKefb703253f7d4ba78604a5d4c45c82bb" hidden="1">#REF!</definedName>
    <definedName name="MLNKf019b4def58f4d86b942572e0712d5a2" hidden="1">#REF!</definedName>
    <definedName name="MLNKf01c7fc7c400409ca665e829c586516e" hidden="1">#REF!</definedName>
    <definedName name="MLNKf058f5f8aa0d47718c38666a05dbda2a" hidden="1">#REF!</definedName>
    <definedName name="MLNKf0646eb10b1e4f1a95d70cce3274c4eb" hidden="1">#REF!</definedName>
    <definedName name="MLNKf06732f7c1ec4e0d9e4e842a954cb2d2" hidden="1">#REF!</definedName>
    <definedName name="MLNKf0685321dfe040aaacd7dddb57224da9" hidden="1">#REF!</definedName>
    <definedName name="MLNKf094329c60894a7db7b0427a0f5b6be3" hidden="1">#REF!</definedName>
    <definedName name="MLNKf0b59666ee4c4e1daf609621c179ee33" hidden="1">#REF!</definedName>
    <definedName name="MLNKf157fd9b318242918c6972d9244c5356" hidden="1">#REF!</definedName>
    <definedName name="MLNKf184f698a0f7470b800d3cfc397a20aa" hidden="1">#REF!</definedName>
    <definedName name="MLNKf198e578fecc4455aefa17f0eac56999" hidden="1">#REF!</definedName>
    <definedName name="MLNKf1afe0facf0d46aaa193893a56155a7f" hidden="1">#REF!</definedName>
    <definedName name="MLNKf20b2ec8126c4e24bedc96d70c68c953" hidden="1">#REF!</definedName>
    <definedName name="MLNKf21c08c2459743a79f5883cc8a7615e9" hidden="1">#REF!</definedName>
    <definedName name="MLNKf21e9736e2144f0192b13e5ff98464c9" hidden="1">#REF!</definedName>
    <definedName name="MLNKf221a34271a0483794b639ad963d02f7" hidden="1">#REF!</definedName>
    <definedName name="MLNKf22b7897d3a7451891ed3b5ab3d008c4" hidden="1">#REF!</definedName>
    <definedName name="MLNKf2538e96fa2040f79c25f27c1f914c31" hidden="1">#REF!</definedName>
    <definedName name="MLNKf27650155d354b2498dacedc2248f55d">#REF!</definedName>
    <definedName name="MLNKf2b580ed3d57420aab4c2b53d7fb61ea" hidden="1">#REF!</definedName>
    <definedName name="MLNKf2b5b7d954364467b3c8d07d74e1f083" hidden="1">#REF!</definedName>
    <definedName name="MLNKf2c31e689fbd4be08e622418ae129658" hidden="1">#REF!</definedName>
    <definedName name="MLNKf2d0c06b820f45faaf7f9c259c538501" hidden="1">#REF!</definedName>
    <definedName name="MLNKf3063c345c9e48a3837106fbea7fcf45" hidden="1">#REF!</definedName>
    <definedName name="MLNKf30a9a581dca4dd68e39bba8deacfff7" hidden="1">#REF!</definedName>
    <definedName name="MLNKf346fc094e43477fbaeac80d447eb056" hidden="1">#REF!</definedName>
    <definedName name="MLNKf3644c4da12045b3940ac586c15a7da2">#REF!</definedName>
    <definedName name="MLNKf3ae1aa223f344c19e9908868eb7b889" hidden="1">#REF!</definedName>
    <definedName name="MLNKf4157f8916fd4d28b2935e72b585c1d2" hidden="1">#REF!</definedName>
    <definedName name="MLNKf4477d3f713b4789b97146192cfd79d3" hidden="1">#REF!</definedName>
    <definedName name="MLNKf4556ae94dbc4e05870bc880136ae8ed" hidden="1">#REF!</definedName>
    <definedName name="MLNKf45df37b500f45fbbdf959e185563c2c" hidden="1">#REF!</definedName>
    <definedName name="MLNKf4a5f8b53980469fa85e7d1729a3b96e" hidden="1">#REF!</definedName>
    <definedName name="MLNKf521638048c6451ab9f01853197e144c" hidden="1">#REF!</definedName>
    <definedName name="MLNKf5944a31aac1437bb51d7df51fda44b5" hidden="1">#REF!</definedName>
    <definedName name="MLNKf634326ef5fd4d1fbb50a3fb3838773e" hidden="1">#REF!</definedName>
    <definedName name="MLNKf6349a025fcd442fa45c517d6e81e019" hidden="1">#REF!</definedName>
    <definedName name="MLNKf67ed144958943fe81efa8dac4dd16da" hidden="1">#REF!</definedName>
    <definedName name="MLNKf68b0f6b1a534fba8c3e58e94c5c3bd6" hidden="1">#REF!</definedName>
    <definedName name="MLNKf699fbea87644e4a83849c08fcf9fc25" hidden="1">#REF!</definedName>
    <definedName name="MLNKf6b7a8902b2b4484bf33ba4e09fda6b3" hidden="1">#REF!</definedName>
    <definedName name="MLNKf6dc1eb22a5f495e9d744bbdd23ad1ad" hidden="1">#REF!</definedName>
    <definedName name="MLNKf6ec977db8624d8e8ed9d8524cde0dd5" hidden="1">#REF!</definedName>
    <definedName name="MLNKf70a4ddee5f84778852edcbc7db94bec" hidden="1">#REF!</definedName>
    <definedName name="MLNKf72ec3c0a42645589d0b36c4b4da7d58" hidden="1">#REF!</definedName>
    <definedName name="MLNKf73115baae56488882dd6021733f9e0d" hidden="1">#REF!</definedName>
    <definedName name="MLNKf76fe3971cbb482bb816703b4cc6cdb5" hidden="1">#REF!</definedName>
    <definedName name="MLNKf77a91279be449398f2357d5d79f3641" hidden="1">#REF!</definedName>
    <definedName name="MLNKf78df2304a704c4ea6002304ecc09981" hidden="1">#REF!</definedName>
    <definedName name="MLNKf79f60ebad084beb86f4f4ae230f7235" hidden="1">#REF!</definedName>
    <definedName name="MLNKf7c16397594e447c99e98fad814b0189" hidden="1">#REF!</definedName>
    <definedName name="MLNKf7d686ae08ac435a81552c339386a1c2" hidden="1">#REF!</definedName>
    <definedName name="MLNKf7f20578913d47f7942b460d74027f78" hidden="1">#REF!</definedName>
    <definedName name="MLNKf7f3a461fb0a4938a42f60c0061d09d2" hidden="1">#REF!</definedName>
    <definedName name="MLNKf807d2a0685d4d0a9e33edcec511602a" hidden="1">#REF!</definedName>
    <definedName name="MLNKf82722e52e354aa29a755dad07f9bde7" hidden="1">#REF!</definedName>
    <definedName name="MLNKf862b6c08bc54b25b0872bbfaaad9187" hidden="1">#REF!</definedName>
    <definedName name="MLNKf877cd6ce7a245e89d1c66ab892966dd" hidden="1">#REF!</definedName>
    <definedName name="MLNKf878b07da05f4ca19e945fe828731da7" hidden="1">#REF!</definedName>
    <definedName name="MLNKf88a6e3bd2614edeb7dd6cd487be82f9" hidden="1">#REF!</definedName>
    <definedName name="MLNKf8a46b2dfc10435b8ebadfa95a2d991b" hidden="1">#REF!</definedName>
    <definedName name="MLNKf9354b04ff9145a2a8b9d63f9870b1af" hidden="1">#REF!</definedName>
    <definedName name="MLNKf969ce0c36334381a09eae26c92a278a" hidden="1">#REF!</definedName>
    <definedName name="MLNKf97c9049c45847a191a7b680302b04b1" hidden="1">#REF!</definedName>
    <definedName name="MLNKf99422ad4cdc433cb0677699531b3386" hidden="1">#REF!</definedName>
    <definedName name="MLNKf99b655e7ff242698acd449142bb5a02" hidden="1">#REF!</definedName>
    <definedName name="MLNKf9c4c665ff694c86b8df36408a27d673" hidden="1">#REF!</definedName>
    <definedName name="MLNKf9d908ce62f840a9999676287194c3cf">#REF!</definedName>
    <definedName name="MLNKf9f65e67994b4022ae6139b351b97636" hidden="1">#REF!</definedName>
    <definedName name="MLNKfa68bda933744c96a4d356620ce58107" hidden="1">#REF!</definedName>
    <definedName name="MLNKfa6c3995af43455299cef4daaac09484" hidden="1">#REF!</definedName>
    <definedName name="MLNKfa9ede9d4bfb4b46962a91457b2bdb4d" hidden="1">#REF!</definedName>
    <definedName name="MLNKfac1652c6ca8472b8e7471848e57e8dc" hidden="1">#REF!</definedName>
    <definedName name="MLNKfac53b013e244447acef4145c07e5a06" hidden="1">#REF!</definedName>
    <definedName name="MLNKfaec8bf1cd774b819d3e9ea66ebf8b50" hidden="1">#REF!</definedName>
    <definedName name="MLNKfaf6b470e6904fb7964672adefed65ef" hidden="1">#REF!</definedName>
    <definedName name="MLNKfaf868ec6e18421aa34e334c38f5cfad" hidden="1">#REF!</definedName>
    <definedName name="MLNKfb2823c0db674aecafee50286d8c7d4c">#REF!</definedName>
    <definedName name="MLNKfb28fcd1fd3b4ebda7c543bab2f7a79d" hidden="1">#REF!</definedName>
    <definedName name="MLNKfb41f537f0d44b9299eb141858e24ee6" hidden="1">#REF!</definedName>
    <definedName name="MLNKfb51c49881894af1b4802234cb7bb9a1" hidden="1">#REF!</definedName>
    <definedName name="MLNKfb82656831d645ae8b75b43e251b6108" hidden="1">#REF!</definedName>
    <definedName name="MLNKfbadf0c6de8d441cb75bf155c41b7367" hidden="1">#REF!</definedName>
    <definedName name="MLNKfbe1a1d1d1f24e66876c4da742f70f37" hidden="1">#REF!</definedName>
    <definedName name="MLNKfbeda07e6e09487fb89c690d0fe56eb0" hidden="1">#REF!</definedName>
    <definedName name="MLNKfc2f6910ba954b51a287531e715933eb" hidden="1">#REF!</definedName>
    <definedName name="MLNKfc642d13e92246cfba4822e2c61109bb" hidden="1">#REF!</definedName>
    <definedName name="MLNKfc65654e363f45669cc9b9bd108f83c2" hidden="1">#REF!</definedName>
    <definedName name="MLNKfc6b4845f0324b12a4f5977702e10f95" hidden="1">#REF!</definedName>
    <definedName name="MLNKfc86946d26a943d685ad793ef5756028" hidden="1">#REF!</definedName>
    <definedName name="MLNKfc8f0563edb94c96bf8d74b34ee0695b" hidden="1">#REF!</definedName>
    <definedName name="MLNKfc946069e44c4086bd5ef7aa8ba8c095" hidden="1">#REF!</definedName>
    <definedName name="MLNKfcfda14e30a34dabb3f4a435a255bdf7" hidden="1">#REF!</definedName>
    <definedName name="MLNKfd1730e45dba478fac77c7bc8d2a2c33" hidden="1">#REF!</definedName>
    <definedName name="MLNKfd47c908f9fe4d1b9a407882f682d9f6" hidden="1">#REF!</definedName>
    <definedName name="MLNKfd5779f7ddf9406bb836d7b38f06b833" hidden="1">#REF!</definedName>
    <definedName name="MLNKfd5c1aa4fddf4f01a8525f8d401e3866" hidden="1">#REF!</definedName>
    <definedName name="MLNKfd824754de974ba8b5fb7e589745524b" hidden="1">#REF!</definedName>
    <definedName name="MLNKfd9740aedc8c4211b1e5caf70b49a3d1" hidden="1">#REF!</definedName>
    <definedName name="MLNKfdc3fedd61184ab8adc3e3ba849dd6ee" hidden="1">#REF!</definedName>
    <definedName name="MLNKfe0190d5120945f3be28a04c966ca936" hidden="1">#REF!</definedName>
    <definedName name="MLNKfe2007355b224cad8e8a80df08c3c80a" hidden="1">#REF!</definedName>
    <definedName name="MLNKfe2e65372d4a4581a5566363f48d06f8" hidden="1">#REF!</definedName>
    <definedName name="MLNKfe5b6e99fec14d8ca5c903f3b62a0a7b" hidden="1">#REF!</definedName>
    <definedName name="MLNKfe63345465fa48dcae36c64938886dd2" hidden="1">#REF!</definedName>
    <definedName name="MLNKfe7331b0526b428ea831626817695584" hidden="1">#REF!</definedName>
    <definedName name="MLNKfe838d404e814343b6f12ff0bf5b9930" hidden="1">#REF!</definedName>
    <definedName name="MLNKfe8e81a7b57747e79d765979729f4305" hidden="1">#REF!</definedName>
    <definedName name="MLNKfe93c85357854ad49c265d60ae5096a0" hidden="1">#REF!</definedName>
    <definedName name="MLNKff42ab289dc64f7e932f01ef714d1d79" hidden="1">#REF!</definedName>
    <definedName name="MLNKff613f71cd2142e9b311563e5da94e4b" hidden="1">#REF!</definedName>
    <definedName name="MLNKff67e4e93afa45f29cb4e84a2136c45c" hidden="1">#REF!</definedName>
    <definedName name="MLNKff9fcbe6a0ad437498f2da224a97b3db" hidden="1">#REF!</definedName>
    <definedName name="mlw" localSheetId="10">{#N/A,#N/A,FALSE,"Pharm";#N/A,#N/A,FALSE,"WWCM"}</definedName>
    <definedName name="mlw">{#N/A,#N/A,FALSE,"Pharm";#N/A,#N/A,FALSE,"WWCM"}</definedName>
    <definedName name="mm" localSheetId="10" hidden="1">{"vol data",#N/A,FALSE,"Datasheet";"vol graph",#N/A,FALSE,"Volume";"price data",#N/A,FALSE,"Datasheet";"price graph",#N/A,FALSE,"Price";"dp data",#N/A,FALSE,"Datasheet";"dp graph",#N/A,FALSE,"DirectProfit"}</definedName>
    <definedName name="mm" hidden="1">{"vol data",#N/A,FALSE,"Datasheet";"vol graph",#N/A,FALSE,"Volume";"price data",#N/A,FALSE,"Datasheet";"price graph",#N/A,FALSE,"Price";"dp data",#N/A,FALSE,"Datasheet";"dp graph",#N/A,FALSE,"DirectProfit"}</definedName>
    <definedName name="mmjj"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localSheetId="10" hidden="1">{"Pg1",#N/A,FALSE,"OpExYTDvsBud";"Pg2",#N/A,FALSE,"OpExYTDvsBud"}</definedName>
    <definedName name="mmk" hidden="1">{"Pg1",#N/A,FALSE,"OpExYTDvsBud";"Pg2",#N/A,FALSE,"OpExYTDvsBud"}</definedName>
    <definedName name="mmm" localSheetId="10" hidden="1">{"'Form'!$A$2:$J$81"}</definedName>
    <definedName name="mmm" localSheetId="15" hidden="1">{"'Form'!$A$2:$J$81"}</definedName>
    <definedName name="mmm" hidden="1">{"'Form'!$A$2:$J$81"}</definedName>
    <definedName name="mmmm" localSheetId="10" hidden="1">{#N/A,#N/A,FALSE,"Hoja10";#N/A,#N/A,FALSE,"Hoja9";#N/A,#N/A,FALSE,"Hoja8";#N/A,#N/A,FALSE,"Hoja7";#N/A,#N/A,FALSE,"Hoja6";#N/A,#N/A,FALSE,"Hoja5";#N/A,#N/A,FALSE,"Hoja4";#N/A,#N/A,FALSE,"Hoja2";#N/A,#N/A,FALSE,"Hoja3";#N/A,#N/A,FALSE,"HOJA1";#N/A,#N/A,FALSE,"CashFlow";#N/A,#N/A,FALSE,"FinStmts"}</definedName>
    <definedName name="mmmm" localSheetId="15" hidden="1">{#N/A,#N/A,FALSE,"Hoja10";#N/A,#N/A,FALSE,"Hoja9";#N/A,#N/A,FALSE,"Hoja8";#N/A,#N/A,FALSE,"Hoja7";#N/A,#N/A,FALSE,"Hoja6";#N/A,#N/A,FALSE,"Hoja5";#N/A,#N/A,FALSE,"Hoja4";#N/A,#N/A,FALSE,"Hoja2";#N/A,#N/A,FALSE,"Hoja3";#N/A,#N/A,FALSE,"HOJA1";#N/A,#N/A,FALSE,"CashFlow";#N/A,#N/A,FALSE,"FinStmts"}</definedName>
    <definedName name="mmmm" hidden="1">{#N/A,#N/A,FALSE,"Hoja10";#N/A,#N/A,FALSE,"Hoja9";#N/A,#N/A,FALSE,"Hoja8";#N/A,#N/A,FALSE,"Hoja7";#N/A,#N/A,FALSE,"Hoja6";#N/A,#N/A,FALSE,"Hoja5";#N/A,#N/A,FALSE,"Hoja4";#N/A,#N/A,FALSE,"Hoja2";#N/A,#N/A,FALSE,"Hoja3";#N/A,#N/A,FALSE,"HOJA1";#N/A,#N/A,FALSE,"CashFlow";#N/A,#N/A,FALSE,"FinStmts"}</definedName>
    <definedName name="mmmmm" localSheetId="10" hidden="1">{#N/A,#N/A,FALSE,"Calc";#N/A,#N/A,FALSE,"Sensitivity";#N/A,#N/A,FALSE,"LT Earn.Dil.";#N/A,#N/A,FALSE,"Dil. AVP"}</definedName>
    <definedName name="mmmmm" localSheetId="15" hidden="1">{#N/A,#N/A,FALSE,"Calc";#N/A,#N/A,FALSE,"Sensitivity";#N/A,#N/A,FALSE,"LT Earn.Dil.";#N/A,#N/A,FALSE,"Dil. AVP"}</definedName>
    <definedName name="mmmmm" hidden="1">{#N/A,#N/A,FALSE,"Calc";#N/A,#N/A,FALSE,"Sensitivity";#N/A,#N/A,FALSE,"LT Earn.Dil.";#N/A,#N/A,FALSE,"Dil. AVP"}</definedName>
    <definedName name="MMMMMM" localSheetId="10" hidden="1">{"FCB_ALL",#N/A,FALSE,"FCB";"GREY_ALL",#N/A,FALSE,"GREY"}</definedName>
    <definedName name="MMMMMM" hidden="1">{"FCB_ALL",#N/A,FALSE,"FCB";"GREY_ALL",#N/A,FALSE,"GREY"}</definedName>
    <definedName name="mmmmmmmhm" localSheetId="10" hidden="1">{"mgmt forecast",#N/A,FALSE,"Mgmt Forecast";"dcf table",#N/A,FALSE,"Mgmt Forecast";"sensitivity",#N/A,FALSE,"Mgmt Forecast";"table inputs",#N/A,FALSE,"Mgmt Forecast";"calculations",#N/A,FALSE,"Mgmt Forecast"}</definedName>
    <definedName name="mmmmmmmhm" hidden="1">{"mgmt forecast",#N/A,FALSE,"Mgmt Forecast";"dcf table",#N/A,FALSE,"Mgmt Forecast";"sensitivity",#N/A,FALSE,"Mgmt Forecast";"table inputs",#N/A,FALSE,"Mgmt Forecast";"calculations",#N/A,FALSE,"Mgmt Forecast"}</definedName>
    <definedName name="mmmmmmmm" localSheetId="10" hidden="1">{#N/A,#N/A,FALSE,"ORIX CSC"}</definedName>
    <definedName name="mmmmmmmm" hidden="1">{#N/A,#N/A,FALSE,"ORIX CSC"}</definedName>
    <definedName name="MMMMMMMMM"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MMMMMMMMM" hidden="1">{TRUE,TRUE,-1.25,-15.5,604.5,369,FALSE,FALSE,TRUE,TRUE,0,1,83,1,38,4,5,4,TRUE,TRUE,3,TRUE,1,TRUE,75,"Swvu.inputs._.raw._.data.","ACwvu.inputs._.raw._.data.",#N/A,FALSE,FALSE,0.5,0.5,0.5,0.5,2,"&amp;F","&amp;A&amp;RPage &amp;P",FALSE,FALSE,FALSE,FALSE,1,60,#N/A,#N/A,"=R1C61:R53C89","=C1:C5",#N/A,#N/A,FALSE,FALSE,FALSE,1,600,600,FALSE,FALSE,TRUE,TRUE,TRUE}</definedName>
    <definedName name="mmmmmmmmmmmm" localSheetId="10" hidden="1">{"Headcount Worksheet",#N/A,FALSE,"HEADCOUNT"}</definedName>
    <definedName name="mmmmmmmmmmmm" hidden="1">{"Headcount Worksheet",#N/A,FALSE,"HEADCOUNT"}</definedName>
    <definedName name="MMNDF" localSheetId="10" hidden="1">{#N/A,#N/A,FALSE,"COP CONS SK";#N/A,#N/A,FALSE,"COP CONS RG";#N/A,#N/A,FALSE,"COP CONS SK BC";#N/A,#N/A,FALSE,"COP CONS RG BC";#N/A,#N/A,FALSE,"ALLIANCE SK";#N/A,#N/A,FALSE,"ALLIANCE RG";#N/A,#N/A,FALSE,"CPC SK";#N/A,#N/A,FALSE,"CPC RG"}</definedName>
    <definedName name="MMNDF" hidden="1">{#N/A,#N/A,FALSE,"COP CONS SK";#N/A,#N/A,FALSE,"COP CONS RG";#N/A,#N/A,FALSE,"COP CONS SK BC";#N/A,#N/A,FALSE,"COP CONS RG BC";#N/A,#N/A,FALSE,"ALLIANCE SK";#N/A,#N/A,FALSE,"ALLIANCE RG";#N/A,#N/A,FALSE,"CPC SK";#N/A,#N/A,FALSE,"CPC RG"}</definedName>
    <definedName name="mmp" localSheetId="10" hidden="1">{"detail",#N/A,FALSE,"mfg";"summary",#N/A,FALSE,"mfg"}</definedName>
    <definedName name="mmp" hidden="1">{"detail",#N/A,FALSE,"mfg";"summary",#N/A,FALSE,"mfg"}</definedName>
    <definedName name="mn" localSheetId="10" hidden="1">{#N/A,#N/A,FALSE,"TS";#N/A,#N/A,FALSE,"Combo";#N/A,#N/A,FALSE,"FAIR";#N/A,#N/A,FALSE,"RBC";#N/A,#N/A,FALSE,"xxxx";#N/A,#N/A,FALSE,"A_D";#N/A,#N/A,FALSE,"WACC";#N/A,#N/A,FALSE,"DCF";#N/A,#N/A,FALSE,"LBO";#N/A,#N/A,FALSE,"AcqMults";#N/A,#N/A,FALSE,"CompMults"}</definedName>
    <definedName name="mn" hidden="1">{#N/A,#N/A,FALSE,"TS";#N/A,#N/A,FALSE,"Combo";#N/A,#N/A,FALSE,"FAIR";#N/A,#N/A,FALSE,"RBC";#N/A,#N/A,FALSE,"xxxx";#N/A,#N/A,FALSE,"A_D";#N/A,#N/A,FALSE,"WACC";#N/A,#N/A,FALSE,"DCF";#N/A,#N/A,FALSE,"LBO";#N/A,#N/A,FALSE,"AcqMults";#N/A,#N/A,FALSE,"CompMults"}</definedName>
    <definedName name="mn_1" localSheetId="10" hidden="1">{#N/A,#N/A,FALSE,"TS";#N/A,#N/A,FALSE,"Combo";#N/A,#N/A,FALSE,"FAIR";#N/A,#N/A,FALSE,"RBC";#N/A,#N/A,FALSE,"xxxx";#N/A,#N/A,FALSE,"A_D";#N/A,#N/A,FALSE,"WACC";#N/A,#N/A,FALSE,"DCF";#N/A,#N/A,FALSE,"LBO";#N/A,#N/A,FALSE,"AcqMults";#N/A,#N/A,FALSE,"CompMults"}</definedName>
    <definedName name="mn_1" hidden="1">{#N/A,#N/A,FALSE,"TS";#N/A,#N/A,FALSE,"Combo";#N/A,#N/A,FALSE,"FAIR";#N/A,#N/A,FALSE,"RBC";#N/A,#N/A,FALSE,"xxxx";#N/A,#N/A,FALSE,"A_D";#N/A,#N/A,FALSE,"WACC";#N/A,#N/A,FALSE,"DCF";#N/A,#N/A,FALSE,"LBO";#N/A,#N/A,FALSE,"AcqMults";#N/A,#N/A,FALSE,"CompMults"}</definedName>
    <definedName name="mnbv" localSheetId="10" hidden="1">{"Month Summary",#N/A,FALSE,"Summary";"Total Details",#N/A,FALSE,"Current Yr";"Polymers Details",#N/A,FALSE,"Current Yr";"Performance Details",#N/A,FALSE,"Current Yr";"ICD Details",#N/A,FALSE,"Current Yr"}</definedName>
    <definedName name="mnbv" hidden="1">{"Month Summary",#N/A,FALSE,"Summary";"Total Details",#N/A,FALSE,"Current Yr";"Polymers Details",#N/A,FALSE,"Current Yr";"Performance Details",#N/A,FALSE,"Current Yr";"ICD Details",#N/A,FALSE,"Current Yr"}</definedName>
    <definedName name="MNE" localSheetId="10" hidden="1">{#N/A,#N/A,FALSE,"EHMD SK";#N/A,#N/A,FALSE,"EHMD RG"}</definedName>
    <definedName name="MNE" hidden="1">{#N/A,#N/A,FALSE,"EHMD SK";#N/A,#N/A,FALSE,"EHMD RG"}</definedName>
    <definedName name="mnmn" localSheetId="10" hidden="1">{"detail",#N/A,FALSE,"mfg";"summary",#N/A,FALSE,"mfg"}</definedName>
    <definedName name="mnmn" hidden="1">{"detail",#N/A,FALSE,"mfg";"summary",#N/A,FALSE,"mfg"}</definedName>
    <definedName name="mnnb" localSheetId="10"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O" localSheetId="10">#REF!</definedName>
    <definedName name="MO">#REF!</definedName>
    <definedName name="model" localSheetId="10" hidden="1">{#N/A,#N/A,FALSE,"Rev Grwth";#N/A,#N/A,FALSE,"Op Inc Grwth";#N/A,#N/A,FALSE,"Net Grwth";#N/A,#N/A,FALSE,"EPS Growth"}</definedName>
    <definedName name="model" hidden="1">{#N/A,#N/A,FALSE,"Rev Grwth";#N/A,#N/A,FALSE,"Op Inc Grwth";#N/A,#N/A,FALSE,"Net Grwth";#N/A,#N/A,FALSE,"EPS Growth"}</definedName>
    <definedName name="model2" localSheetId="10" hidden="1">{#N/A,#N/A,FALSE,"Rev Grwth";#N/A,#N/A,FALSE,"Op Inc Grwth";#N/A,#N/A,FALSE,"Net Grwth";#N/A,#N/A,FALSE,"EPS Growth"}</definedName>
    <definedName name="model2" hidden="1">{#N/A,#N/A,FALSE,"Rev Grwth";#N/A,#N/A,FALSE,"Op Inc Grwth";#N/A,#N/A,FALSE,"Net Grwth";#N/A,#N/A,FALSE,"EPS Growth"}</definedName>
    <definedName name="ModelNames">#REF!</definedName>
    <definedName name="ModelStatusIn" hidden="1">#REF!</definedName>
    <definedName name="mokp" localSheetId="10" hidden="1">{"QTD_LPO2N2",#N/A,FALSE,"QTD"}</definedName>
    <definedName name="mokp" hidden="1">{"QTD_LPO2N2",#N/A,FALSE,"QTD"}</definedName>
    <definedName name="MOLDING"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MOLDING">{#N/A,#N/A,TRUE,"Trend";#N/A,#N/A,TRUE,"Employee Statistics";#N/A,#N/A,TRUE,"Overhead Analysis";#N/A,#N/A,TRUE,"Activity Analysis";#N/A,#N/A,TRUE,"Market Sector Analysis";#N/A,#N/A,TRUE,"Customer Analysis";#N/A,#N/A,TRUE,"Divisional Customers";#N/A,#N/A,TRUE,"Capex";#N/A,#N/A,TRUE,"Bridge 1";#N/A,#N/A,TRUE,"Bridge 2";#N/A,#N/A,TRUE,"Bridge 3";#N/A,#N/A,TRUE,"Bridge 4"}</definedName>
    <definedName name="momo" localSheetId="10" hidden="1">{"Data Worksheet",#N/A,FALSE,"CAREY97"}</definedName>
    <definedName name="momo" hidden="1">{"Data Worksheet",#N/A,FALSE,"CAREY97"}</definedName>
    <definedName name="momom" localSheetId="10" hidden="1">{"Headcount Worksheet",#N/A,FALSE,"HEADCOUNT"}</definedName>
    <definedName name="momom" hidden="1">{"Headcount Worksheet",#N/A,FALSE,"HEADCOUNT"}</definedName>
    <definedName name="mon" localSheetId="10" hidden="1">{"Results Worksheets",#N/A,FALSE,"RESULTS"}</definedName>
    <definedName name="mon" hidden="1">{"Results Worksheets",#N/A,FALSE,"RESULTS"}</definedName>
    <definedName name="Monetary_Precision" localSheetId="10">#REF!</definedName>
    <definedName name="Monetary_Precision">#REF!</definedName>
    <definedName name="MonitorCol">1</definedName>
    <definedName name="MonitorRow">1</definedName>
    <definedName name="Month" localSheetId="10">#REF!</definedName>
    <definedName name="Month">#REF!</definedName>
    <definedName name="Months" localSheetId="10">#REF!</definedName>
    <definedName name="Months">#REF!</definedName>
    <definedName name="MoreThanOne" localSheetId="10">#REF!</definedName>
    <definedName name="MoreThanOne">#REF!</definedName>
    <definedName name="Moses" localSheetId="10" hidden="1">{"FCB_ALL",#N/A,FALSE,"FCB"}</definedName>
    <definedName name="Moses" localSheetId="15" hidden="1">{"FCB_ALL",#N/A,FALSE,"FCB"}</definedName>
    <definedName name="Moses" hidden="1">{"FCB_ALL",#N/A,FALSE,"FCB"}</definedName>
    <definedName name="MOSOPR" localSheetId="10" hidden="1">{#N/A,#N/A,FALSE,"SUMMTH"}</definedName>
    <definedName name="MOSOPR" hidden="1">{#N/A,#N/A,FALSE,"SUMMTH"}</definedName>
    <definedName name="Motar_Car">#REF!</definedName>
    <definedName name="mow" hidden="1">OFFSET(#REF!,1,0)</definedName>
    <definedName name="MP">#REF!</definedName>
    <definedName name="MPO" localSheetId="10" hidden="1">{#N/A,#N/A,TRUE,"BS_A";#N/A,#N/A,TRUE,"BS_L";#N/A,#N/A,TRUE,"PL";#N/A,#N/A,TRUE,"NET";#N/A,#N/A,TRUE,"MAR_2";#N/A,#N/A,TRUE,"MAR";#N/A,#N/A,TRUE,"NII";#N/A,#N/A,TRUE,"NIE";#N/A,#N/A,TRUE,"FS_BS";#N/A,#N/A,TRUE,"FS_PL";#N/A,#N/A,TRUE,"HEA"}</definedName>
    <definedName name="MPO" localSheetId="15"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PS_EBITDA">#REF!</definedName>
    <definedName name="mstart">#REF!</definedName>
    <definedName name="MTCReconciliation" hidden="1">#REF!</definedName>
    <definedName name="MTDBudget">#REF!</definedName>
    <definedName name="mty" localSheetId="10">{#N/A,#N/A,TRUE,"2432"}</definedName>
    <definedName name="mty">{#N/A,#N/A,TRUE,"2432"}</definedName>
    <definedName name="mugra" localSheetId="10" hidden="1">{"Vol Qtr 1",#N/A,TRUE,"Wk-CV";"Vol Qtr 2",#N/A,TRUE,"Wk-CV";"Vol Qtr 3",#N/A,TRUE,"Wk-CV";"Vol Qtr 4",#N/A,TRUE,"Wk-CV"}</definedName>
    <definedName name="mugra" hidden="1">{"Vol Qtr 1",#N/A,TRUE,"Wk-CV";"Vol Qtr 2",#N/A,TRUE,"Wk-CV";"Vol Qtr 3",#N/A,TRUE,"Wk-CV";"Vol Qtr 4",#N/A,TRUE,"Wk-CV"}</definedName>
    <definedName name="mult" localSheetId="10">#REF!</definedName>
    <definedName name="mult">#REF!</definedName>
    <definedName name="Mults02" localSheetId="10">{#N/A,#N/A,FALSE,"Projections";#N/A,#N/A,FALSE,"Multiples Valuation";#N/A,#N/A,FALSE,"LBO";#N/A,#N/A,FALSE,"Multiples_Sensitivity";#N/A,#N/A,FALSE,"Summary"}</definedName>
    <definedName name="Mults02">{#N/A,#N/A,FALSE,"Projections";#N/A,#N/A,FALSE,"Multiples Valuation";#N/A,#N/A,FALSE,"LBO";#N/A,#N/A,FALSE,"Multiples_Sensitivity";#N/A,#N/A,FALSE,"Summary"}</definedName>
    <definedName name="mw" localSheetId="10">{#N/A,#N/A,FALSE,"Pharm";#N/A,#N/A,FALSE,"WWCM"}</definedName>
    <definedName name="mw">{#N/A,#N/A,FALSE,"Pharm";#N/A,#N/A,FALSE,"WWCM"}</definedName>
    <definedName name="my_sql_date_format_2"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y_sql_date_format_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 localSheetId="10" hidden="1">{"by departments",#N/A,TRUE,"FORECAST";"cap_headcount",#N/A,TRUE,"FORECAST";"summary",#N/A,TRUE,"FORECAST"}</definedName>
    <definedName name="N" localSheetId="15" hidden="1">{"by departments",#N/A,TRUE,"FORECAST";"cap_headcount",#N/A,TRUE,"FORECAST";"summary",#N/A,TRUE,"FORECAST"}</definedName>
    <definedName name="N" hidden="1">{"by departments",#N/A,TRUE,"FORECAST";"cap_headcount",#N/A,TRUE,"FORECAST";"summary",#N/A,TRUE,"FORECAST"}</definedName>
    <definedName name="n\" localSheetId="10"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10" hidden="1">{#N/A,#N/A,FALSE,"Projections";#N/A,#N/A,FALSE,"Multiples Valuation";#N/A,#N/A,FALSE,"LBO";#N/A,#N/A,FALSE,"Multiples_Sensitivity";#N/A,#N/A,FALSE,"Summary"}</definedName>
    <definedName name="n\_1" hidden="1">{#N/A,#N/A,FALSE,"Projections";#N/A,#N/A,FALSE,"Multiples Valuation";#N/A,#N/A,FALSE,"LBO";#N/A,#N/A,FALSE,"Multiples_Sensitivity";#N/A,#N/A,FALSE,"Summary"}</definedName>
    <definedName name="n_1" localSheetId="10" hidden="1">{#N/A,#N/A,TRUE,"BusPlan Indx";#N/A,#N/A,TRUE,"P&amp;L BusPl";"CF BusPlan",#N/A,TRUE,"FCashflow";"BS QU&amp;Yr Overview",#N/A,TRUE,"BS";"CapEx Yearly",#N/A,TRUE,"CapEx";#N/A,#N/A,TRUE,"BusPlan Info"}</definedName>
    <definedName name="n_1" hidden="1">{#N/A,#N/A,TRUE,"BusPlan Indx";#N/A,#N/A,TRUE,"P&amp;L BusPl";"CF BusPlan",#N/A,TRUE,"FCashflow";"BS QU&amp;Yr Overview",#N/A,TRUE,"BS";"CapEx Yearly",#N/A,TRUE,"CapEx";#N/A,#N/A,TRUE,"BusPlan Info"}</definedName>
    <definedName name="n_2" localSheetId="10" hidden="1">{#N/A,#N/A,TRUE,"BusPlan Indx";#N/A,#N/A,TRUE,"P&amp;L BusPl";"CF BusPlan",#N/A,TRUE,"FCashflow";"BS QU&amp;Yr Overview",#N/A,TRUE,"BS";"CapEx Yearly",#N/A,TRUE,"CapEx";#N/A,#N/A,TRUE,"BusPlan Info"}</definedName>
    <definedName name="n_2" hidden="1">{#N/A,#N/A,TRUE,"BusPlan Indx";#N/A,#N/A,TRUE,"P&amp;L BusPl";"CF BusPlan",#N/A,TRUE,"FCashflow";"BS QU&amp;Yr Overview",#N/A,TRUE,"BS";"CapEx Yearly",#N/A,TRUE,"CapEx";#N/A,#N/A,TRUE,"BusPlan Info"}</definedName>
    <definedName name="n_3" localSheetId="10" hidden="1">{#N/A,#N/A,TRUE,"BusPlan Indx";#N/A,#N/A,TRUE,"P&amp;L BusPl";"CF BusPlan",#N/A,TRUE,"FCashflow";"BS QU&amp;Yr Overview",#N/A,TRUE,"BS";"CapEx Yearly",#N/A,TRUE,"CapEx";#N/A,#N/A,TRUE,"BusPlan Info"}</definedName>
    <definedName name="n_3" hidden="1">{#N/A,#N/A,TRUE,"BusPlan Indx";#N/A,#N/A,TRUE,"P&amp;L BusPl";"CF BusPlan",#N/A,TRUE,"FCashflow";"BS QU&amp;Yr Overview",#N/A,TRUE,"BS";"CapEx Yearly",#N/A,TRUE,"CapEx";#N/A,#N/A,TRUE,"BusPlan Info"}</definedName>
    <definedName name="n_4" localSheetId="10" hidden="1">{#N/A,#N/A,TRUE,"BusPlan Indx";#N/A,#N/A,TRUE,"P&amp;L BusPl";"CF BusPlan",#N/A,TRUE,"FCashflow";"BS QU&amp;Yr Overview",#N/A,TRUE,"BS";"CapEx Yearly",#N/A,TRUE,"CapEx";#N/A,#N/A,TRUE,"BusPlan Info"}</definedName>
    <definedName name="n_4" hidden="1">{#N/A,#N/A,TRUE,"BusPlan Indx";#N/A,#N/A,TRUE,"P&amp;L BusPl";"CF BusPlan",#N/A,TRUE,"FCashflow";"BS QU&amp;Yr Overview",#N/A,TRUE,"BS";"CapEx Yearly",#N/A,TRUE,"CapEx";#N/A,#N/A,TRUE,"BusPlan Info"}</definedName>
    <definedName name="n_5" localSheetId="10" hidden="1">{#N/A,#N/A,TRUE,"BusPlan Indx";#N/A,#N/A,TRUE,"P&amp;L BusPl";"CF BusPlan",#N/A,TRUE,"FCashflow";"BS QU&amp;Yr Overview",#N/A,TRUE,"BS";"CapEx Yearly",#N/A,TRUE,"CapEx";#N/A,#N/A,TRUE,"BusPlan Info"}</definedName>
    <definedName name="n_5" hidden="1">{#N/A,#N/A,TRUE,"BusPlan Indx";#N/A,#N/A,TRUE,"P&amp;L BusPl";"CF BusPlan",#N/A,TRUE,"FCashflow";"BS QU&amp;Yr Overview",#N/A,TRUE,"BS";"CapEx Yearly",#N/A,TRUE,"CapEx";#N/A,#N/A,TRUE,"BusPlan Info"}</definedName>
    <definedName name="na" hidden="1">"IQ_FY_DATE"</definedName>
    <definedName name="nam90ng" localSheetId="10" hidden="1">{"detail",#N/A,FALSE,"mfg";"summary",#N/A,FALSE,"mfg"}</definedName>
    <definedName name="nam90ng" hidden="1">{"detail",#N/A,FALSE,"mfg";"summary",#N/A,FALSE,"mfg"}</definedName>
    <definedName name="nam9njk" localSheetId="10" hidden="1">{"detail",#N/A,FALSE,"mfg";"summary",#N/A,FALSE,"mfg"}</definedName>
    <definedName name="nam9njk" hidden="1">{"detail",#N/A,FALSE,"mfg";"summary",#N/A,FALSE,"mfg"}</definedName>
    <definedName name="Name" localSheetId="10">#REF!</definedName>
    <definedName name="Name">#REF!</definedName>
    <definedName name="Name_of_the_reviewer" localSheetId="10">#REF!</definedName>
    <definedName name="Name_of_the_reviewer">#REF!</definedName>
    <definedName name="name_tot" localSheetId="10">OFFSET(#REF!,0,0,COUNTA(#REF!),2)</definedName>
    <definedName name="name_tot">OFFSET(#REF!,0,0,COUNTA(#REF!),2)</definedName>
    <definedName name="name1" localSheetId="10">{"detail",#N/A,FALSE,"mfg";"summary",#N/A,FALSE,"mfg"}</definedName>
    <definedName name="name1">{"detail",#N/A,FALSE,"mfg";"summary",#N/A,FALSE,"mfg"}</definedName>
    <definedName name="name10" localSheetId="10" hidden="1">{"detail",#N/A,FALSE,"mfg";"summary",#N/A,FALSE,"mfg"}</definedName>
    <definedName name="name10" hidden="1">{"detail",#N/A,FALSE,"mfg";"summary",#N/A,FALSE,"mfg"}</definedName>
    <definedName name="name101" localSheetId="10" hidden="1">{"detail",#N/A,FALSE,"mfg";"summary",#N/A,FALSE,"mfg"}</definedName>
    <definedName name="name101" hidden="1">{"detail",#N/A,FALSE,"mfg";"summary",#N/A,FALSE,"mfg"}</definedName>
    <definedName name="name102" localSheetId="10" hidden="1">{"detail",#N/A,FALSE,"mfg";"summary",#N/A,FALSE,"mfg"}</definedName>
    <definedName name="name102" hidden="1">{"detail",#N/A,FALSE,"mfg";"summary",#N/A,FALSE,"mfg"}</definedName>
    <definedName name="name11" localSheetId="10" hidden="1">{"detail",#N/A,FALSE,"mfg";"summary",#N/A,FALSE,"mfg"}</definedName>
    <definedName name="name11" hidden="1">{"detail",#N/A,FALSE,"mfg";"summary",#N/A,FALSE,"mfg"}</definedName>
    <definedName name="name12" localSheetId="10" hidden="1">{"detail",#N/A,FALSE,"mfg";"summary",#N/A,FALSE,"mfg"}</definedName>
    <definedName name="name12" hidden="1">{"detail",#N/A,FALSE,"mfg";"summary",#N/A,FALSE,"mfg"}</definedName>
    <definedName name="name2" localSheetId="10">{"detail",#N/A,FALSE,"mfg";"summary",#N/A,FALSE,"mfg"}</definedName>
    <definedName name="name2">{"detail",#N/A,FALSE,"mfg";"summary",#N/A,FALSE,"mfg"}</definedName>
    <definedName name="name202" localSheetId="10" hidden="1">{"detail",#N/A,FALSE,"mfg";"summary",#N/A,FALSE,"mfg"}</definedName>
    <definedName name="name202" hidden="1">{"detail",#N/A,FALSE,"mfg";"summary",#N/A,FALSE,"mfg"}</definedName>
    <definedName name="name203" localSheetId="10" hidden="1">{"detail",#N/A,FALSE,"mfg";"summary",#N/A,FALSE,"mfg"}</definedName>
    <definedName name="name203" hidden="1">{"detail",#N/A,FALSE,"mfg";"summary",#N/A,FALSE,"mfg"}</definedName>
    <definedName name="name212" localSheetId="10" hidden="1">{"detail",#N/A,FALSE,"mfg";"summary",#N/A,FALSE,"mfg"}</definedName>
    <definedName name="name212" hidden="1">{"detail",#N/A,FALSE,"mfg";"summary",#N/A,FALSE,"mfg"}</definedName>
    <definedName name="name213" localSheetId="10" hidden="1">{"detail",#N/A,FALSE,"mfg";"summary",#N/A,FALSE,"mfg"}</definedName>
    <definedName name="name213" hidden="1">{"detail",#N/A,FALSE,"mfg";"summary",#N/A,FALSE,"mfg"}</definedName>
    <definedName name="name31" localSheetId="10" hidden="1">{"detail",#N/A,FALSE,"mfg";"summary",#N/A,FALSE,"mfg"}</definedName>
    <definedName name="name31" hidden="1">{"detail",#N/A,FALSE,"mfg";"summary",#N/A,FALSE,"mfg"}</definedName>
    <definedName name="name32" localSheetId="10" hidden="1">{"detail",#N/A,FALSE,"mfg";"summary",#N/A,FALSE,"mfg"}</definedName>
    <definedName name="name32" hidden="1">{"detail",#N/A,FALSE,"mfg";"summary",#N/A,FALSE,"mfg"}</definedName>
    <definedName name="name34" localSheetId="10" hidden="1">{"detail",#N/A,FALSE,"mfg";"summary",#N/A,FALSE,"mfg"}</definedName>
    <definedName name="name34" hidden="1">{"detail",#N/A,FALSE,"mfg";"summary",#N/A,FALSE,"mfg"}</definedName>
    <definedName name="name35" localSheetId="10" hidden="1">{"detail",#N/A,FALSE,"mfg";"summary",#N/A,FALSE,"mfg"}</definedName>
    <definedName name="name35" hidden="1">{"detail",#N/A,FALSE,"mfg";"summary",#N/A,FALSE,"mfg"}</definedName>
    <definedName name="NAME41" localSheetId="10" hidden="1">{"detail",#N/A,FALSE,"mfg";"summary",#N/A,FALSE,"mfg"}</definedName>
    <definedName name="NAME41" hidden="1">{"detail",#N/A,FALSE,"mfg";"summary",#N/A,FALSE,"mfg"}</definedName>
    <definedName name="name412" localSheetId="10" hidden="1">{"detail",#N/A,FALSE,"mfg";"summary",#N/A,FALSE,"mfg"}</definedName>
    <definedName name="name412" hidden="1">{"detail",#N/A,FALSE,"mfg";"summary",#N/A,FALSE,"mfg"}</definedName>
    <definedName name="name413" localSheetId="10" hidden="1">{"detail",#N/A,FALSE,"mfg";"summary",#N/A,FALSE,"mfg"}</definedName>
    <definedName name="name413" hidden="1">{"detail",#N/A,FALSE,"mfg";"summary",#N/A,FALSE,"mfg"}</definedName>
    <definedName name="name42" localSheetId="10" hidden="1">{"detail",#N/A,FALSE,"mfg";"summary",#N/A,FALSE,"mfg"}</definedName>
    <definedName name="name42" hidden="1">{"detail",#N/A,FALSE,"mfg";"summary",#N/A,FALSE,"mfg"}</definedName>
    <definedName name="name45" localSheetId="10" hidden="1">{"detail",#N/A,FALSE,"mfg";"summary",#N/A,FALSE,"mfg"}</definedName>
    <definedName name="name45" hidden="1">{"detail",#N/A,FALSE,"mfg";"summary",#N/A,FALSE,"mfg"}</definedName>
    <definedName name="name51" localSheetId="10" hidden="1">{"detail",#N/A,FALSE,"mfg";"summary",#N/A,FALSE,"mfg"}</definedName>
    <definedName name="name51" hidden="1">{"detail",#N/A,FALSE,"mfg";"summary",#N/A,FALSE,"mfg"}</definedName>
    <definedName name="name54ghs" localSheetId="10" hidden="1">{"detail",#N/A,FALSE,"mfg";"summary",#N/A,FALSE,"mfg"}</definedName>
    <definedName name="name54ghs" hidden="1">{"detail",#N/A,FALSE,"mfg";"summary",#N/A,FALSE,"mfg"}</definedName>
    <definedName name="name56a" localSheetId="10" hidden="1">{"detail",#N/A,FALSE,"mfg";"summary",#N/A,FALSE,"mfg"}</definedName>
    <definedName name="name56a" hidden="1">{"detail",#N/A,FALSE,"mfg";"summary",#N/A,FALSE,"mfg"}</definedName>
    <definedName name="name56a56" localSheetId="10" hidden="1">{"detail",#N/A,FALSE,"mfg";"summary",#N/A,FALSE,"mfg"}</definedName>
    <definedName name="name56a56" hidden="1">{"detail",#N/A,FALSE,"mfg";"summary",#N/A,FALSE,"mfg"}</definedName>
    <definedName name="name61" localSheetId="10" hidden="1">{"detail",#N/A,FALSE,"mfg";"summary",#N/A,FALSE,"mfg"}</definedName>
    <definedName name="name61" hidden="1">{"detail",#N/A,FALSE,"mfg";"summary",#N/A,FALSE,"mfg"}</definedName>
    <definedName name="name71" localSheetId="10" hidden="1">{"detail",#N/A,FALSE,"mfg";"summary",#N/A,FALSE,"mfg"}</definedName>
    <definedName name="name71" hidden="1">{"detail",#N/A,FALSE,"mfg";"summary",#N/A,FALSE,"mfg"}</definedName>
    <definedName name="name89shj" localSheetId="10" hidden="1">{"detail",#N/A,FALSE,"mfg";"summary",#N/A,FALSE,"mfg"}</definedName>
    <definedName name="name89shj" hidden="1">{"detail",#N/A,FALSE,"mfg";"summary",#N/A,FALSE,"mfg"}</definedName>
    <definedName name="namea101" localSheetId="10" hidden="1">{"detail",#N/A,FALSE,"mfg";"summary",#N/A,FALSE,"mfg"}</definedName>
    <definedName name="namea101" hidden="1">{"detail",#N/A,FALSE,"mfg";"summary",#N/A,FALSE,"mfg"}</definedName>
    <definedName name="nameb45" localSheetId="10" hidden="1">{"detail",#N/A,FALSE,"mfg";"summary",#N/A,FALSE,"mfg"}</definedName>
    <definedName name="nameb45" hidden="1">{"detail",#N/A,FALSE,"mfg";"summary",#N/A,FALSE,"mfg"}</definedName>
    <definedName name="nameconf1" localSheetId="10" hidden="1">{#N/A,#N/A,TRUE,"Sch-1a";#N/A,#N/A,TRUE,"Sch-1b";#N/A,#N/A,TRUE,"Sch-1c";#N/A,#N/A,TRUE,"Sch-1d";#N/A,#N/A,TRUE,"Sch-2a";#N/A,#N/A,TRUE,"Sch-2b";#N/A,#N/A,TRUE,"Sch-2c";#N/A,#N/A,TRUE,"Sch-3a";#N/A,#N/A,TRUE,"Sch-3b";#N/A,#N/A,TRUE,"Sch-3c";#N/A,#N/A,TRUE,"Sch-3d";#N/A,#N/A,TRUE,"Sch-3e"}</definedName>
    <definedName name="nameconf1" hidden="1">{#N/A,#N/A,TRUE,"Sch-1a";#N/A,#N/A,TRUE,"Sch-1b";#N/A,#N/A,TRUE,"Sch-1c";#N/A,#N/A,TRUE,"Sch-1d";#N/A,#N/A,TRUE,"Sch-2a";#N/A,#N/A,TRUE,"Sch-2b";#N/A,#N/A,TRUE,"Sch-2c";#N/A,#N/A,TRUE,"Sch-3a";#N/A,#N/A,TRUE,"Sch-3b";#N/A,#N/A,TRUE,"Sch-3c";#N/A,#N/A,TRUE,"Sch-3d";#N/A,#N/A,TRUE,"Sch-3e"}</definedName>
    <definedName name="nameiges" localSheetId="10" hidden="1">{"detail",#N/A,FALSE,"mfg";"summary",#N/A,FALSE,"mfg"}</definedName>
    <definedName name="nameiges" hidden="1">{"detail",#N/A,FALSE,"mfg";"summary",#N/A,FALSE,"mfg"}</definedName>
    <definedName name="nbhj" localSheetId="10"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v" localSheetId="10" hidden="1">{"Polymers Details",#N/A,FALSE,"Current Yr";"Polymer Details",#N/A,FALSE,"Budget";"Polymer Details",#N/A,FALSE,"Prior Year"}</definedName>
    <definedName name="nbv" hidden="1">{"Polymers Details",#N/A,FALSE,"Current Yr";"Polymer Details",#N/A,FALSE,"Budget";"Polymer Details",#N/A,FALSE,"Prior Year"}</definedName>
    <definedName name="nbvc"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s" localSheetId="10" hidden="1">{"NOPCAPEVA",#N/A,FALSE,"Nopat";"FCFCSTAR",#N/A,FALSE,"FCFVAL";"EVAVL",#N/A,FALSE,"EVAVAL";"LEASE",#N/A,FALSE,"OpLease"}</definedName>
    <definedName name="nbvs" hidden="1">{"NOPCAPEVA",#N/A,FALSE,"Nopat";"FCFCSTAR",#N/A,FALSE,"FCFVAL";"EVAVL",#N/A,FALSE,"EVAVAL";"LEASE",#N/A,FALSE,"OpLease"}</definedName>
    <definedName name="nbvxg" localSheetId="10" hidden="1">{"AnnInc",#N/A,TRUE,"Inc";"QtrInc1",#N/A,TRUE,"Inc";"Balance",#N/A,TRUE,"Bal";"Cflow",#N/A,TRUE,"Cash"}</definedName>
    <definedName name="nbvxg" hidden="1">{"AnnInc",#N/A,TRUE,"Inc";"QtrInc1",#N/A,TRUE,"Inc";"Balance",#N/A,TRUE,"Bal";"Cflow",#N/A,TRUE,"Cash"}</definedName>
    <definedName name="ncas" localSheetId="10" hidden="1">{"FCB_ALL",#N/A,FALSE,"FCB";"GREY_ALL",#N/A,FALSE,"GREY"}</definedName>
    <definedName name="ncas" localSheetId="15" hidden="1">{"FCB_ALL",#N/A,FALSE,"FCB";"GREY_ALL",#N/A,FALSE,"GREY"}</definedName>
    <definedName name="ncas" hidden="1">{"FCB_ALL",#N/A,FALSE,"FCB";"GREY_ALL",#N/A,FALSE,"GREY"}</definedName>
    <definedName name="NCBN"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P" localSheetId="10">{#N/A,#N/A,FALSE,"Consolidated E&amp;Y Format ";#N/A,#N/A,FALSE,"E&amp;Y Format ";#N/A,#N/A,FALSE,"ATH Side by Side ";#N/A,#N/A,FALSE,"AT Side by Side";#N/A,#N/A,FALSE,"Hemco Side by Side";#N/A,#N/A,FALSE,"AT&amp; Hemco YTD side by side";#N/A,#N/A,FALSE,"AT YTD Side by Side"}</definedName>
    <definedName name="NEP">{#N/A,#N/A,FALSE,"Consolidated E&amp;Y Format ";#N/A,#N/A,FALSE,"E&amp;Y Format ";#N/A,#N/A,FALSE,"ATH Side by Side ";#N/A,#N/A,FALSE,"AT Side by Side";#N/A,#N/A,FALSE,"Hemco Side by Side";#N/A,#N/A,FALSE,"AT&amp; Hemco YTD side by side";#N/A,#N/A,FALSE,"AT YTD Side by Side"}</definedName>
    <definedName name="Net_Debt">#REF!</definedName>
    <definedName name="Net_Heat_Rate">#REF!</definedName>
    <definedName name="Net_Income">#REF!</definedName>
    <definedName name="Net_Income_Margin">#REF!</definedName>
    <definedName name="Net_profit">#REF!</definedName>
    <definedName name="NetIncomeGraph" hidden="1">#REF!</definedName>
    <definedName name="NetIncomeYear1">#REF!</definedName>
    <definedName name="NetIncomeYear3">#REF!</definedName>
    <definedName name="New" localSheetId="10" hidden="1">{"TOTAL",#N/A,FALSE,"A";"FISCAL94",#N/A,FALSE,"A";"FISCAL95",#N/A,FALSE,"A";"FISCAL96",#N/A,FALSE,"A";"misc page",#N/A,FALSE,"A"}</definedName>
    <definedName name="New" localSheetId="15" hidden="1">{"TOTAL",#N/A,FALSE,"A";"FISCAL94",#N/A,FALSE,"A";"FISCAL95",#N/A,FALSE,"A";"FISCAL96",#N/A,FALSE,"A";"misc page",#N/A,FALSE,"A"}</definedName>
    <definedName name="New" hidden="1">{"TOTAL",#N/A,FALSE,"A";"FISCAL94",#N/A,FALSE,"A";"FISCAL95",#N/A,FALSE,"A";"FISCAL96",#N/A,FALSE,"A";"misc page",#N/A,FALSE,"A"}</definedName>
    <definedName name="new.summary" localSheetId="10" hidden="1">{#N/A,#N/A,TRUE,"Notes";#N/A,#N/A,TRUE,"Cap Struct";#N/A,#N/A,TRUE,"OBS";#N/A,#N/A,TRUE,"bal Sheet";#N/A,#N/A,TRUE,"Inc stmt";#N/A,#N/A,TRUE,"csh flw";#N/A,#N/A,TRUE,"debt";#N/A,#N/A,TRUE,"detail 96,97";#N/A,#N/A,TRUE,"Covenants"}</definedName>
    <definedName name="new.summary" localSheetId="15" hidden="1">{#N/A,#N/A,TRUE,"Notes";#N/A,#N/A,TRUE,"Cap Struct";#N/A,#N/A,TRUE,"OBS";#N/A,#N/A,TRUE,"bal Sheet";#N/A,#N/A,TRUE,"Inc stmt";#N/A,#N/A,TRUE,"csh flw";#N/A,#N/A,TRUE,"debt";#N/A,#N/A,TRUE,"detail 96,97";#N/A,#N/A,TRUE,"Covenants"}</definedName>
    <definedName name="new.summary" hidden="1">{#N/A,#N/A,TRUE,"Notes";#N/A,#N/A,TRUE,"Cap Struct";#N/A,#N/A,TRUE,"OBS";#N/A,#N/A,TRUE,"bal Sheet";#N/A,#N/A,TRUE,"Inc stmt";#N/A,#N/A,TRUE,"csh flw";#N/A,#N/A,TRUE,"debt";#N/A,#N/A,TRUE,"detail 96,97";#N/A,#N/A,TRUE,"Covenants"}</definedName>
    <definedName name="new_name" localSheetId="10"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10"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1.summary" localSheetId="10" hidden="1">{#N/A,#N/A,TRUE,"Notes";#N/A,#N/A,TRUE,"Cap Struct";#N/A,#N/A,TRUE,"OBS";#N/A,#N/A,TRUE,"bal Sheet";#N/A,#N/A,TRUE,"Inc stmt";#N/A,#N/A,TRUE,"csh flw";#N/A,#N/A,TRUE,"debt";#N/A,#N/A,TRUE,"detail 96,97";#N/A,#N/A,TRUE,"Covenants"}</definedName>
    <definedName name="new1.summary" localSheetId="15" hidden="1">{#N/A,#N/A,TRUE,"Notes";#N/A,#N/A,TRUE,"Cap Struct";#N/A,#N/A,TRUE,"OBS";#N/A,#N/A,TRUE,"bal Sheet";#N/A,#N/A,TRUE,"Inc stmt";#N/A,#N/A,TRUE,"csh flw";#N/A,#N/A,TRUE,"debt";#N/A,#N/A,TRUE,"detail 96,97";#N/A,#N/A,TRUE,"Covenants"}</definedName>
    <definedName name="new1.summary" hidden="1">{#N/A,#N/A,TRUE,"Notes";#N/A,#N/A,TRUE,"Cap Struct";#N/A,#N/A,TRUE,"OBS";#N/A,#N/A,TRUE,"bal Sheet";#N/A,#N/A,TRUE,"Inc stmt";#N/A,#N/A,TRUE,"csh flw";#N/A,#N/A,TRUE,"debt";#N/A,#N/A,TRUE,"detail 96,97";#N/A,#N/A,TRUE,"Covenants"}</definedName>
    <definedName name="NewCellName">#REF!</definedName>
    <definedName name="NEWCS" localSheetId="10" hidden="1">{#N/A,#N/A,FALSE,"YTD"}</definedName>
    <definedName name="NEWCS" hidden="1">{#N/A,#N/A,FALSE,"YTD"}</definedName>
    <definedName name="NEWCS10" localSheetId="10" hidden="1">{#N/A,#N/A,FALSE,"YTD"}</definedName>
    <definedName name="NEWCS10" hidden="1">{#N/A,#N/A,FALSE,"YTD"}</definedName>
    <definedName name="NEWCS6" localSheetId="10" hidden="1">{#N/A,#N/A,FALSE,"YTD"}</definedName>
    <definedName name="NEWCS6" hidden="1">{#N/A,#N/A,FALSE,"YTD"}</definedName>
    <definedName name="NEWCS9" localSheetId="10" hidden="1">{#N/A,#N/A,FALSE,"YTD"}</definedName>
    <definedName name="NEWCS9" hidden="1">{#N/A,#N/A,FALSE,"YTD"}</definedName>
    <definedName name="newdata" localSheetId="10">{"PAGE 1",#N/A,FALSE,"WEST_OT"}</definedName>
    <definedName name="newdata">{"PAGE 1",#N/A,FALSE,"WEST_OT"}</definedName>
    <definedName name="newdata2" localSheetId="10">{"PAGE 1",#N/A,FALSE,"WEST_OT"}</definedName>
    <definedName name="newdata2">{"PAGE 1",#N/A,FALSE,"WEST_OT"}</definedName>
    <definedName name="newnewnew" localSheetId="10">{#N/A,#N/A,FALSE,"Pharm";#N/A,#N/A,FALSE,"WWCM"}</definedName>
    <definedName name="newnewnew">{#N/A,#N/A,FALSE,"Pharm";#N/A,#N/A,FALSE,"WWCM"}</definedName>
    <definedName name="NewRange" localSheetId="10" hidden="1">#REF!</definedName>
    <definedName name="NewRange" localSheetId="9" hidden="1">#REF!</definedName>
    <definedName name="NewRange" localSheetId="8" hidden="1">#REF!</definedName>
    <definedName name="NewRange" localSheetId="11" hidden="1">#REF!</definedName>
    <definedName name="NewRange" localSheetId="16" hidden="1">#REF!</definedName>
    <definedName name="NewRange" hidden="1">#REF!</definedName>
    <definedName name="newtest2"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xt_Step">"To_Do"</definedName>
    <definedName name="ngfd" localSheetId="10" hidden="1">{"AnnInc",#N/A,TRUE,"Inc";"QtrInc1",#N/A,TRUE,"Inc";"Balance",#N/A,TRUE,"Bal";"Cflow",#N/A,TRUE,"Cash"}</definedName>
    <definedName name="ngfd" hidden="1">{"AnnInc",#N/A,TRUE,"Inc";"QtrInc1",#N/A,TRUE,"Inc";"Balance",#N/A,TRUE,"Bal";"Cflow",#N/A,TRUE,"Cash"}</definedName>
    <definedName name="nh" localSheetId="10" hidden="1">{"AS REP",#N/A,FALSE,"EEFSNAP2";"PROP",#N/A,FALSE,"EEFSNAP2";"RISKS",#N/A,FALSE,"EEFSNAP2";"VIEW ALL",#N/A,FALSE,"EEFSNAP2"}</definedName>
    <definedName name="nh" hidden="1">{"AS REP",#N/A,FALSE,"EEFSNAP2";"PROP",#N/A,FALSE,"EEFSNAP2";"RISKS",#N/A,FALSE,"EEFSNAP2";"VIEW ALL",#N/A,FALSE,"EEFSNAP2"}</definedName>
    <definedName name="NHHBB"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NHHBB"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nhmyt" hidden="1">#REF!</definedName>
    <definedName name="nhu" localSheetId="10"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ee" localSheetId="10" hidden="1">{"Vol Qtr 1",#N/A,TRUE,"Wk-CV";"Vol Qtr 2",#N/A,TRUE,"Wk-CV";"Vol Qtr 3",#N/A,TRUE,"Wk-CV";"Vol Qtr 4",#N/A,TRUE,"Wk-CV"}</definedName>
    <definedName name="niee" hidden="1">{"Vol Qtr 1",#N/A,TRUE,"Wk-CV";"Vol Qtr 2",#N/A,TRUE,"Wk-CV";"Vol Qtr 3",#N/A,TRUE,"Wk-CV";"Vol Qtr 4",#N/A,TRUE,"Wk-CV"}</definedName>
    <definedName name="nijnsh" localSheetId="10" hidden="1">{"detail",#N/A,FALSE,"mfg";"summary",#N/A,FALSE,"mfg"}</definedName>
    <definedName name="nijnsh" hidden="1">{"detail",#N/A,FALSE,"mfg";"summary",#N/A,FALSE,"mfg"}</definedName>
    <definedName name="nj9km" localSheetId="10" hidden="1">{"detail",#N/A,FALSE,"mfg";"summary",#N/A,FALSE,"mfg"}</definedName>
    <definedName name="nj9km" hidden="1">{"detail",#N/A,FALSE,"mfg";"summary",#N/A,FALSE,"mfg"}</definedName>
    <definedName name="njhfds" localSheetId="10" hidden="1">{#N/A,"PURCHM",FALSE,"Business Analysis";#N/A,"SPADD",FALSE,"Business Analysis"}</definedName>
    <definedName name="njhfds" hidden="1">{#N/A,"PURCHM",FALSE,"Business Analysis";#N/A,"SPADD",FALSE,"Business Analysis"}</definedName>
    <definedName name="njis76" localSheetId="10" hidden="1">{"detail",#N/A,FALSE,"mfg";"summary",#N/A,FALSE,"mfg"}</definedName>
    <definedName name="njis76" hidden="1">{"detail",#N/A,FALSE,"mfg";"summary",#N/A,FALSE,"mfg"}</definedName>
    <definedName name="njkjsh" localSheetId="10" hidden="1">{"detail",#N/A,FALSE,"mfg";"summary",#N/A,FALSE,"mfg"}</definedName>
    <definedName name="njkjsh" hidden="1">{"detail",#N/A,FALSE,"mfg";"summary",#N/A,FALSE,"mfg"}</definedName>
    <definedName name="nkmi9c" localSheetId="10" hidden="1">{#N/A,"PURCHM",FALSE,"Business Analysis";#N/A,"SPADD",FALSE,"Business Analysis"}</definedName>
    <definedName name="nkmi9c" hidden="1">{#N/A,"PURCHM",FALSE,"Business Analysis";#N/A,"SPADD",FALSE,"Business Analysis"}</definedName>
    <definedName name="ñlkj"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10" hidden="1">{"pro_view",#N/A,FALSE,"EEFSNAP2";"rep_view",#N/A,FALSE,"EEFSNAP2"}</definedName>
    <definedName name="ñlñl" hidden="1">{"pro_view",#N/A,FALSE,"EEFSNAP2";"rep_view",#N/A,FALSE,"EEFSNAP2"}</definedName>
    <definedName name="NMCVM" localSheetId="10" hidden="1">{#N/A,#N/A,FALSE,"TABLE_1 YTD- VALUES LAST YR(2)"}</definedName>
    <definedName name="NMCVM" localSheetId="15" hidden="1">{#N/A,#N/A,FALSE,"TABLE_1 YTD- VALUES LAST YR(2)"}</definedName>
    <definedName name="NMCVM" hidden="1">{#N/A,#N/A,FALSE,"TABLE_1 YTD- VALUES LAST YR(2)"}</definedName>
    <definedName name="nmnm" localSheetId="10"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 localSheetId="10" hidden="1">{#N/A,#N/A,FALSE,"Bakersfield PCs";#N/A,#N/A,FALSE,"Bremer PCs";#N/A,#N/A,FALSE,"Bakersfield Notebooks"}</definedName>
    <definedName name="nn" hidden="1">{#N/A,#N/A,FALSE,"Bakersfield PCs";#N/A,#N/A,FALSE,"Bremer PCs";#N/A,#N/A,FALSE,"Bakersfield Notebooks"}</definedName>
    <definedName name="nname" hidden="1">38743.7825231481</definedName>
    <definedName name="nnh" localSheetId="10" hidden="1">{"Pa1",#N/A,FALSE,"OpExYTDvsPY";"Pa2",#N/A,FALSE,"OpExYTDvsPY"}</definedName>
    <definedName name="nnh" hidden="1">{"Pa1",#N/A,FALSE,"OpExYTDvsPY";"Pa2",#N/A,FALSE,"OpExYTDvsPY"}</definedName>
    <definedName name="nnn" localSheetId="10" hidden="1">{"FCB_ALL",#N/A,FALSE,"FCB";"GREY_ALL",#N/A,FALSE,"GREY"}</definedName>
    <definedName name="nnn" localSheetId="15" hidden="1">{"FCB_ALL",#N/A,FALSE,"FCB";"GREY_ALL",#N/A,FALSE,"GREY"}</definedName>
    <definedName name="nnn" hidden="1">{"FCB_ALL",#N/A,FALSE,"FCB";"GREY_ALL",#N/A,FALSE,"GREY"}</definedName>
    <definedName name="nnn_1" localSheetId="10" hidden="1">{#N/A,#N/A,FALSE,"Assessment";#N/A,#N/A,FALSE,"Staffing";#N/A,#N/A,FALSE,"Hires";#N/A,#N/A,FALSE,"Assumptions"}</definedName>
    <definedName name="nnn_1" hidden="1">{#N/A,#N/A,FALSE,"Assessment";#N/A,#N/A,FALSE,"Staffing";#N/A,#N/A,FALSE,"Hires";#N/A,#N/A,FALSE,"Assumptions"}</definedName>
    <definedName name="nnnb" localSheetId="10" hidden="1">{"consolidated",#N/A,FALSE,"Sheet1";"cms",#N/A,FALSE,"Sheet1";"fse",#N/A,FALSE,"Sheet1"}</definedName>
    <definedName name="nnnb" localSheetId="15" hidden="1">{"consolidated",#N/A,FALSE,"Sheet1";"cms",#N/A,FALSE,"Sheet1";"fse",#N/A,FALSE,"Sheet1"}</definedName>
    <definedName name="nnnb" hidden="1">{"consolidated",#N/A,FALSE,"Sheet1";"cms",#N/A,FALSE,"Sheet1";"fse",#N/A,FALSE,"Sheet1"}</definedName>
    <definedName name="nnnnnn" localSheetId="10">{"COM",#N/A,FALSE,"800 10th"}</definedName>
    <definedName name="nnnnnn">{"COM",#N/A,FALSE,"800 10th"}</definedName>
    <definedName name="nnnnnnn" localSheetId="10">{#N/A,#N/A,TRUE,"TS";#N/A,#N/A,TRUE,"Combo";#N/A,#N/A,TRUE,"FAIR";#N/A,#N/A,TRUE,"RBC";#N/A,#N/A,TRUE,"xxxx"}</definedName>
    <definedName name="nnnnnnn">{#N/A,#N/A,TRUE,"TS";#N/A,#N/A,TRUE,"Combo";#N/A,#N/A,TRUE,"FAIR";#N/A,#N/A,TRUE,"RBC";#N/A,#N/A,TRUE,"xxxx"}</definedName>
    <definedName name="nny" hidden="1">#REF!</definedName>
    <definedName name="no">#REF!</definedName>
    <definedName name="NoConsolList">#REF!</definedName>
    <definedName name="nod">#REF!</definedName>
    <definedName name="noidea" localSheetId="10" hidden="1">{#N/A,#N/A,FALSE,"Calc";#N/A,#N/A,FALSE,"Sensitivity";#N/A,#N/A,FALSE,"LT Earn.Dil.";#N/A,#N/A,FALSE,"Dil. AVP"}</definedName>
    <definedName name="noidea" localSheetId="15" hidden="1">{#N/A,#N/A,FALSE,"Calc";#N/A,#N/A,FALSE,"Sensitivity";#N/A,#N/A,FALSE,"LT Earn.Dil.";#N/A,#N/A,FALSE,"Dil. AVP"}</definedName>
    <definedName name="noidea" hidden="1">{#N/A,#N/A,FALSE,"Calc";#N/A,#N/A,FALSE,"Sensitivity";#N/A,#N/A,FALSE,"LT Earn.Dil.";#N/A,#N/A,FALSE,"Dil. AVP"}</definedName>
    <definedName name="Noise" localSheetId="10">#REF!</definedName>
    <definedName name="Noise">#REF!</definedName>
    <definedName name="non" localSheetId="10">#REF!</definedName>
    <definedName name="non">#REF!</definedName>
    <definedName name="none" localSheetId="10" hidden="1">{#N/A,#N/A,TRUE,"Inc. St.";#N/A,#N/A,TRUE,"SalesLabor";#N/A,#N/A,TRUE,"Labor";#N/A,#N/A,TRUE,"TEMP.";#N/A,#N/A,TRUE,"Manuf.";#N/A,#N/A,TRUE,"Repairs";#N/A,#N/A,TRUE,"G&amp;A";#N/A,#N/A,TRUE,"Inv.";#N/A,#N/A,TRUE,"Cap.X";#N/A,#N/A,TRUE,"Leases"}</definedName>
    <definedName name="none" localSheetId="15" hidden="1">{#N/A,#N/A,TRUE,"Inc. St.";#N/A,#N/A,TRUE,"SalesLabor";#N/A,#N/A,TRUE,"Labor";#N/A,#N/A,TRUE,"TEMP.";#N/A,#N/A,TRUE,"Manuf.";#N/A,#N/A,TRUE,"Repairs";#N/A,#N/A,TRUE,"G&amp;A";#N/A,#N/A,TRUE,"Inv.";#N/A,#N/A,TRUE,"Cap.X";#N/A,#N/A,TRUE,"Leases"}</definedName>
    <definedName name="none" hidden="1">{#N/A,#N/A,TRUE,"Inc. St.";#N/A,#N/A,TRUE,"SalesLabor";#N/A,#N/A,TRUE,"Labor";#N/A,#N/A,TRUE,"TEMP.";#N/A,#N/A,TRUE,"Manuf.";#N/A,#N/A,TRUE,"Repairs";#N/A,#N/A,TRUE,"G&amp;A";#N/A,#N/A,TRUE,"Inv.";#N/A,#N/A,TRUE,"Cap.X";#N/A,#N/A,TRUE,"Leases"}</definedName>
    <definedName name="nono">#REF!</definedName>
    <definedName name="Nope" localSheetId="10">{"'Bellville Acetylene'!$A$1:$L$99"}</definedName>
    <definedName name="Nope">{"'Bellville Acetylene'!$A$1:$L$99"}</definedName>
    <definedName name="not" localSheetId="10" hidden="1">{"International Total",#N/A,FALSE,"Sheet1";"Mexico (5)",#N/A,FALSE,"Sheet1";"Mexico (37)",#N/A,FALSE,"Sheet1";"Puerto Rico (10)",#N/A,FALSE,"Sheet1"}</definedName>
    <definedName name="not" hidden="1">{"International Total",#N/A,FALSE,"Sheet1";"Mexico (5)",#N/A,FALSE,"Sheet1";"Mexico (37)",#N/A,FALSE,"Sheet1";"Puerto Rico (10)",#N/A,FALSE,"Sheet1"}</definedName>
    <definedName name="noteesperes" localSheetId="10">{#N/A,#N/A,TRUE,"2432"}</definedName>
    <definedName name="noteesperes">{#N/A,#N/A,TRUE,"2432"}</definedName>
    <definedName name="Notes">#REF!</definedName>
    <definedName name="NoteTextNames" localSheetId="10" hidden="1">{"Text 9";"Text 10";"Text 11";"Text 12"}</definedName>
    <definedName name="NoteTextNames" hidden="1">{"Text 9";"Text 10";"Text 11";"Text 12"}</definedName>
    <definedName name="nothing" localSheetId="10">{#N/A,#N/A,FALSE,"Projections";#N/A,#N/A,FALSE,"Multiples Valuation";#N/A,#N/A,FALSE,"LBO";#N/A,#N/A,FALSE,"Multiples_Sensitivity";#N/A,#N/A,FALSE,"Summary"}</definedName>
    <definedName name="nothing">{#N/A,#N/A,FALSE,"Projections";#N/A,#N/A,FALSE,"Multiples Valuation";#N/A,#N/A,FALSE,"LBO";#N/A,#N/A,FALSE,"Multiples_Sensitivity";#N/A,#N/A,FALSE,"Summary"}</definedName>
    <definedName name="NoTotalList" localSheetId="10">#REF!</definedName>
    <definedName name="NoTotalList">#REF!</definedName>
    <definedName name="NoTwo" localSheetId="10">#REF!</definedName>
    <definedName name="NoTwo">#REF!</definedName>
    <definedName name="nouv" localSheetId="10">{#N/A,#N/A,FALSE,"Pharm";#N/A,#N/A,FALSE,"WWCM"}</definedName>
    <definedName name="nouv">{#N/A,#N/A,FALSE,"Pharm";#N/A,#N/A,FALSE,"WWCM"}</definedName>
    <definedName name="Nov00" localSheetId="10" hidden="1">{"Statement of Income",#N/A,TRUE,"Mar99";"Balance Sheet",#N/A,TRUE,"Mar99"}</definedName>
    <definedName name="Nov00" localSheetId="15" hidden="1">{"Statement of Income",#N/A,TRUE,"Mar99";"Balance Sheet",#N/A,TRUE,"Mar99"}</definedName>
    <definedName name="Nov00" hidden="1">{"Statement of Income",#N/A,TRUE,"Mar99";"Balance Sheet",#N/A,TRUE,"Mar99"}</definedName>
    <definedName name="Nov00TB" localSheetId="10" hidden="1">{"Statement of Income",#N/A,TRUE,"Mar99";"Balance Sheet",#N/A,TRUE,"Mar99"}</definedName>
    <definedName name="Nov00TB" localSheetId="15" hidden="1">{"Statement of Income",#N/A,TRUE,"Mar99";"Balance Sheet",#N/A,TRUE,"Mar99"}</definedName>
    <definedName name="Nov00TB" hidden="1">{"Statement of Income",#N/A,TRUE,"Mar99";"Balance Sheet",#N/A,TRUE,"Mar99"}</definedName>
    <definedName name="November">#REF!</definedName>
    <definedName name="now" localSheetId="10" hidden="1">{"Data Worksheet",#N/A,FALSE,"CAREY97"}</definedName>
    <definedName name="now" hidden="1">{"Data Worksheet",#N/A,FALSE,"CAREY97"}</definedName>
    <definedName name="ñp" localSheetId="10" hidden="1">{#N/A,"PURCHM",FALSE,"Business Analysis";#N/A,"SPADD",FALSE,"Business Analysis"}</definedName>
    <definedName name="ñp" hidden="1">{#N/A,"PURCHM",FALSE,"Business Analysis";#N/A,"SPADD",FALSE,"Business Analysis"}</definedName>
    <definedName name="NS" localSheetId="10">#REF!</definedName>
    <definedName name="NS">#REF!</definedName>
    <definedName name="nubub" localSheetId="10" hidden="1">{"Headcount Worksheet",#N/A,FALSE,"HEADCOUNT"}</definedName>
    <definedName name="nubub" hidden="1">{"Headcount Worksheet",#N/A,FALSE,"HEADCOUNT"}</definedName>
    <definedName name="nuijh467" localSheetId="10" hidden="1">{"detail",#N/A,FALSE,"mfg";"summary",#N/A,FALSE,"mfg"}</definedName>
    <definedName name="nuijh467" hidden="1">{"detail",#N/A,FALSE,"mfg";"summary",#N/A,FALSE,"mfg"}</definedName>
    <definedName name="NUM_OF_COS" localSheetId="10">#REF!</definedName>
    <definedName name="NUM_OF_COS">#REF!</definedName>
    <definedName name="Number_of_Payments" localSheetId="10">MATCH(0.01,'Other Recast'!End_Bal,-1)+1</definedName>
    <definedName name="Number_of_Payments">MATCH(0.01,End_Bal,-1)+1</definedName>
    <definedName name="Number_of_Prior_FI_Products" hidden="1">#REF!</definedName>
    <definedName name="Number_of_Prior_SI_Products" hidden="1">#REF!</definedName>
    <definedName name="Number_of_Selections">#REF!</definedName>
    <definedName name="NumberofProducts" hidden="1">#REF!</definedName>
    <definedName name="NumQtrs">#REF!</definedName>
    <definedName name="nuov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bfg" localSheetId="10" hidden="1">{"NOPCAPEVA",#N/A,FALSE,"Nopat";"FCFCSTAR",#N/A,FALSE,"FCFVAL";"EVAVL",#N/A,FALSE,"EVAVAL";"LEASE",#N/A,FALSE,"OpLease"}</definedName>
    <definedName name="nvbfg" hidden="1">{"NOPCAPEVA",#N/A,FALSE,"Nopat";"FCFCSTAR",#N/A,FALSE,"FCFVAL";"EVAVL",#N/A,FALSE,"EVAVAL";"LEASE",#N/A,FALSE,"OpLease"}</definedName>
    <definedName name="NvsAnswerCol">"[Drill19]Sheet1!$A$4:$A$7"</definedName>
    <definedName name="NvsASD">"V1999-01-31"</definedName>
    <definedName name="NvsAutoDrillOk">"VN"</definedName>
    <definedName name="NvsElapsedTime">0.000406134255172219</definedName>
    <definedName name="NvsEndTime">36990.5730336806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"%,XZF.ACCOUNT.PSDetail"</definedName>
    <definedName name="NvsPanelBusUnit">"V"</definedName>
    <definedName name="NvsPanelEffdt">"V1997-01-01"</definedName>
    <definedName name="NvsPanelSetid">"VDECO"</definedName>
    <definedName name="NvsParentRef">"[TB.xls]Sheet1!$L$78"</definedName>
    <definedName name="NvsReqBU">"VDECO"</definedName>
    <definedName name="NvsReqBUOnly">"VN"</definedName>
    <definedName name="NvsStyleNme">"Classical.xls"</definedName>
    <definedName name="NvsTransLed">"VN"</definedName>
    <definedName name="NvsTreeASD">"V1998-01-01"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STATISTICS_CODE">"STAT_TBL"</definedName>
    <definedName name="nvxc" localSheetId="10" hidden="1">{"NOPCAPEVA",#N/A,FALSE,"Nopat";"FCFCSTAR",#N/A,FALSE,"FCFVAL";"EVAVL",#N/A,FALSE,"EVAVAL";"LEASE",#N/A,FALSE,"OpLease"}</definedName>
    <definedName name="nvxc" hidden="1">{"NOPCAPEVA",#N/A,FALSE,"Nopat";"FCFCSTAR",#N/A,FALSE,"FCFVAL";"EVAVL",#N/A,FALSE,"EVAVAL";"LEASE",#N/A,FALSE,"OpLease"}</definedName>
    <definedName name="ny" localSheetId="10" hidden="1">{"Results Worksheets",#N/A,FALSE,"RESULTS"}</definedName>
    <definedName name="ny" hidden="1">{"Results Worksheets",#N/A,FALSE,"RESULTS"}</definedName>
    <definedName name="O" localSheetId="10" hidden="1">{#N/A,#N/A,FALSE,"COVER";#N/A,#N/A,FALSE,"Index";#N/A,#N/A,FALSE,"Non-Earning";#N/A,#N/A,FALSE,"Commercial";#N/A,#N/A,FALSE,"Detailed"}</definedName>
    <definedName name="O" localSheetId="15" hidden="1">{#N/A,#N/A,FALSE,"COVER";#N/A,#N/A,FALSE,"Index";#N/A,#N/A,FALSE,"Non-Earning";#N/A,#N/A,FALSE,"Commercial";#N/A,#N/A,FALSE,"Detailed"}</definedName>
    <definedName name="O" hidden="1">{#N/A,#N/A,FALSE,"COVER";#N/A,#N/A,FALSE,"Index";#N/A,#N/A,FALSE,"Non-Earning";#N/A,#N/A,FALSE,"Commercial";#N/A,#N/A,FALSE,"Detailed"}</definedName>
    <definedName name="o_1" localSheetId="10" hidden="1">{#N/A,#N/A,FALSE,"Inc Month";#N/A,#N/A,FALSE,"Inc YTD";#N/A,#N/A,FALSE,"Bal Sheet";#N/A,#N/A,FALSE,"Base Cert";#N/A,#N/A,FALSE,"AR-Detail";#N/A,#N/A,FALSE,"PAC Bal";#N/A,#N/A,FALSE,"PAC Cash";#N/A,#N/A,FALSE,"Equity";#N/A,#N/A,FALSE,"PEI Bal";#N/A,#N/A,FALSE,"PEI Cash"}</definedName>
    <definedName name="o_1" hidden="1">{#N/A,#N/A,FALSE,"Inc Month";#N/A,#N/A,FALSE,"Inc YTD";#N/A,#N/A,FALSE,"Bal Sheet";#N/A,#N/A,FALSE,"Base Cert";#N/A,#N/A,FALSE,"AR-Detail";#N/A,#N/A,FALSE,"PAC Bal";#N/A,#N/A,FALSE,"PAC Cash";#N/A,#N/A,FALSE,"Equity";#N/A,#N/A,FALSE,"PEI Bal";#N/A,#N/A,FALSE,"PEI Cash"}</definedName>
    <definedName name="Oasda" localSheetId="10" hidden="1">{"Operating Data",#N/A,TRUE,"Sheet1";"Valuation Matrix",#N/A,TRUE,"Sheet1";"Sales Analysis",#N/A,TRUE,"Sheet1";"Closed Remodelled New",#N/A,TRUE,"Sheet1";"Competitive and FSP",#N/A,TRUE,"Sheet1";"Working Capital and Capex",#N/A,TRUE,"Sheet1";"depreciation",#N/A,TRUE,"Sheet1"}</definedName>
    <definedName name="Oasda" hidden="1">{"Operating Data",#N/A,TRUE,"Sheet1";"Valuation Matrix",#N/A,TRUE,"Sheet1";"Sales Analysis",#N/A,TRUE,"Sheet1";"Closed Remodelled New",#N/A,TRUE,"Sheet1";"Competitive and FSP",#N/A,TRUE,"Sheet1";"Working Capital and Capex",#N/A,TRUE,"Sheet1";"depreciation",#N/A,TRUE,"Sheet1"}</definedName>
    <definedName name="obl" localSheetId="10">{#N/A,#N/A,FALSE,"Summary";#N/A,#N/A,FALSE,"Projections";#N/A,#N/A,FALSE,"Mkt Mults";#N/A,#N/A,FALSE,"DCF";#N/A,#N/A,FALSE,"Accr Dil";#N/A,#N/A,FALSE,"PIC LBO";#N/A,#N/A,FALSE,"MULT10_4";#N/A,#N/A,FALSE,"CBI LBO"}</definedName>
    <definedName name="obl">{#N/A,#N/A,FALSE,"Summary";#N/A,#N/A,FALSE,"Projections";#N/A,#N/A,FALSE,"Mkt Mults";#N/A,#N/A,FALSE,"DCF";#N/A,#N/A,FALSE,"Accr Dil";#N/A,#N/A,FALSE,"PIC LBO";#N/A,#N/A,FALSE,"MULT10_4";#N/A,#N/A,FALSE,"CBI LBO"}</definedName>
    <definedName name="OC">#N/A</definedName>
    <definedName name="OCa">#N/A</definedName>
    <definedName name="OCold">#N/A</definedName>
    <definedName name="Oct">#REF!</definedName>
    <definedName name="Oct00" localSheetId="10" hidden="1">{"Statement of Income",#N/A,TRUE,"Mar99";"Balance Sheet",#N/A,TRUE,"Mar99"}</definedName>
    <definedName name="Oct00" localSheetId="15" hidden="1">{"Statement of Income",#N/A,TRUE,"Mar99";"Balance Sheet",#N/A,TRUE,"Mar99"}</definedName>
    <definedName name="Oct00" hidden="1">{"Statement of Income",#N/A,TRUE,"Mar99";"Balance Sheet",#N/A,TRUE,"Mar99"}</definedName>
    <definedName name="Oct00TB" localSheetId="10" hidden="1">{"Statement of Income",#N/A,TRUE,"Mar99";"Balance Sheet",#N/A,TRUE,"Mar99"}</definedName>
    <definedName name="Oct00TB" localSheetId="15" hidden="1">{"Statement of Income",#N/A,TRUE,"Mar99";"Balance Sheet",#N/A,TRUE,"Mar99"}</definedName>
    <definedName name="Oct00TB" hidden="1">{"Statement of Income",#N/A,TRUE,"Mar99";"Balance Sheet",#N/A,TRUE,"Mar99"}</definedName>
    <definedName name="Octob00" localSheetId="10" hidden="1">{"Statement of Income",#N/A,TRUE,"Mar99";"Balance Sheet",#N/A,TRUE,"Mar99"}</definedName>
    <definedName name="Octob00" localSheetId="15" hidden="1">{"Statement of Income",#N/A,TRUE,"Mar99";"Balance Sheet",#N/A,TRUE,"Mar99"}</definedName>
    <definedName name="Octob00" hidden="1">{"Statement of Income",#N/A,TRUE,"Mar99";"Balance Sheet",#N/A,TRUE,"Mar99"}</definedName>
    <definedName name="Octob00TB" localSheetId="10" hidden="1">{"Statement of Income",#N/A,TRUE,"Mar99";"Balance Sheet",#N/A,TRUE,"Mar99"}</definedName>
    <definedName name="Octob00TB" localSheetId="15" hidden="1">{"Statement of Income",#N/A,TRUE,"Mar99";"Balance Sheet",#N/A,TRUE,"Mar99"}</definedName>
    <definedName name="Octob00TB" hidden="1">{"Statement of Income",#N/A,TRUE,"Mar99";"Balance Sheet",#N/A,TRUE,"Mar99"}</definedName>
    <definedName name="October">#REF!</definedName>
    <definedName name="od" localSheetId="10" hidden="1">{"Results Worksheets",#N/A,FALSE,"RESULTS"}</definedName>
    <definedName name="od" hidden="1">{"Results Worksheets",#N/A,FALSE,"RESULTS"}</definedName>
    <definedName name="oe" localSheetId="10" hidden="1">{#N/A,#N/A,FALSE,"New Depr Sch-150% DB";#N/A,#N/A,FALSE,"Cash Flows RLP";#N/A,#N/A,FALSE,"IRR";#N/A,#N/A,FALSE,"Proforma IS";#N/A,#N/A,FALSE,"Assumptions"}</definedName>
    <definedName name="oe" hidden="1">{#N/A,#N/A,FALSE,"New Depr Sch-150% DB";#N/A,#N/A,FALSE,"Cash Flows RLP";#N/A,#N/A,FALSE,"IRR";#N/A,#N/A,FALSE,"Proforma IS";#N/A,#N/A,FALSE,"Assumptions"}</definedName>
    <definedName name="Office" localSheetId="10">#REF!</definedName>
    <definedName name="Office">#REF!</definedName>
    <definedName name="Office_Code" localSheetId="10">#REF!</definedName>
    <definedName name="Office_Code">#REF!</definedName>
    <definedName name="Office_Equipments" localSheetId="10">#REF!</definedName>
    <definedName name="Office_Equipments">#REF!</definedName>
    <definedName name="Office_supply">#REF!</definedName>
    <definedName name="oh_sum" localSheetId="10" hidden="1">{#N/A,#N/A,FALSE,"PRO FORMA FINANCIALS"}</definedName>
    <definedName name="oh_sum" hidden="1">{#N/A,#N/A,FALSE,"PRO FORMA FINANCIALS"}</definedName>
    <definedName name="oh_sum1" localSheetId="10" hidden="1">{#N/A,#N/A,FALSE,"PRO FORMA FINANCIALS"}</definedName>
    <definedName name="oh_sum1" hidden="1">{#N/A,#N/A,FALSE,"PRO FORMA FINANCIALS"}</definedName>
    <definedName name="OI" localSheetId="10" hidden="1">{#N/A,#N/A,FALSE,"COVER";#N/A,#N/A,FALSE,"Index";#N/A,#N/A,FALSE,"Non-Earning";#N/A,#N/A,FALSE,"Non-Earning_Recovery"}</definedName>
    <definedName name="OI" localSheetId="15" hidden="1">{#N/A,#N/A,FALSE,"COVER";#N/A,#N/A,FALSE,"Index";#N/A,#N/A,FALSE,"Non-Earning";#N/A,#N/A,FALSE,"Non-Earning_Recovery"}</definedName>
    <definedName name="OI" hidden="1">{#N/A,#N/A,FALSE,"COVER";#N/A,#N/A,FALSE,"Index";#N/A,#N/A,FALSE,"Non-Earning";#N/A,#N/A,FALSE,"Non-Earning_Recovery"}</definedName>
    <definedName name="oifd" localSheetId="10" hidden="1">{"detail",#N/A,FALSE,"mfg";"summary",#N/A,FALSE,"mfg"}</definedName>
    <definedName name="oifd" hidden="1">{"detail",#N/A,FALSE,"mfg";"summary",#N/A,FALSE,"mfg"}</definedName>
    <definedName name="oiirx" localSheetId="10" hidden="1">{"net assets",#N/A,FALSE,"summary";"asset turnover",#N/A,FALSE,"summary";"orona",#N/A,FALSE,"summary"}</definedName>
    <definedName name="oiirx" hidden="1">{"net assets",#N/A,FALSE,"summary";"asset turnover",#N/A,FALSE,"summary";"orona",#N/A,FALSE,"summary"}</definedName>
    <definedName name="oimn" localSheetId="10" hidden="1">{"QTD_PRS",#N/A,FALSE,"QTD"}</definedName>
    <definedName name="oimn" hidden="1">{"QTD_PRS",#N/A,FALSE,"QTD"}</definedName>
    <definedName name="oins" localSheetId="10" hidden="1">{"detail",#N/A,FALSE,"mfg";"summary",#N/A,FALSE,"mfg"}</definedName>
    <definedName name="oins" hidden="1">{"detail",#N/A,FALSE,"mfg";"summary",#N/A,FALSE,"mfg"}</definedName>
    <definedName name="oity" localSheetId="10"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10" hidden="1">{#N/A,#N/A,FALSE,"COVER";#N/A,#N/A,FALSE,"RATIOS";#N/A,#N/A,FALSE,"LEVERAGE";#N/A,#N/A,FALSE,"TIER-1";#N/A,#N/A,FALSE,"RISK BASED ASSETS";#N/A,#N/A,FALSE,"TIER-2"}</definedName>
    <definedName name="oiu" localSheetId="15" hidden="1">{#N/A,#N/A,FALSE,"COVER";#N/A,#N/A,FALSE,"RATIOS";#N/A,#N/A,FALSE,"LEVERAGE";#N/A,#N/A,FALSE,"TIER-1";#N/A,#N/A,FALSE,"RISK BASED ASSETS";#N/A,#N/A,FALSE,"TIER-2"}</definedName>
    <definedName name="oiu" hidden="1">{#N/A,#N/A,FALSE,"COVER";#N/A,#N/A,FALSE,"RATIOS";#N/A,#N/A,FALSE,"LEVERAGE";#N/A,#N/A,FALSE,"TIER-1";#N/A,#N/A,FALSE,"RISK BASED ASSETS";#N/A,#N/A,FALSE,"TIER-2"}</definedName>
    <definedName name="oiup" localSheetId="10" hidden="1">{#N/A,"PURCHM",FALSE,"Business Analysis";#N/A,"SPADD",FALSE,"Business Analysis"}</definedName>
    <definedName name="oiup" hidden="1">{#N/A,"PURCHM",FALSE,"Business Analysis";#N/A,"SPADD",FALSE,"Business Analysis"}</definedName>
    <definedName name="oiuy" localSheetId="10" hidden="1">{"Polymers Details",#N/A,FALSE,"Current Yr";"Polymer Details",#N/A,FALSE,"Budget";"Polymer Details",#N/A,FALSE,"Prior Year"}</definedName>
    <definedName name="oiuy" hidden="1">{"Polymers Details",#N/A,FALSE,"Current Yr";"Polymer Details",#N/A,FALSE,"Budget";"Polymer Details",#N/A,FALSE,"Prior Year"}</definedName>
    <definedName name="oiwea" localSheetId="10" hidden="1">{"FCB_ALL",#N/A,FALSE,"FCB";"GREY_ALL",#N/A,FALSE,"GREY"}</definedName>
    <definedName name="oiwea" localSheetId="15" hidden="1">{"FCB_ALL",#N/A,FALSE,"FCB";"GREY_ALL",#N/A,FALSE,"GREY"}</definedName>
    <definedName name="oiwea" hidden="1">{"FCB_ALL",#N/A,FALSE,"FCB";"GREY_ALL",#N/A,FALSE,"GREY"}</definedName>
    <definedName name="ok" localSheetId="10" hidden="1">{"calspreads",#N/A,FALSE,"Sheet1";"curves",#N/A,FALSE,"Sheet1";"libor",#N/A,FALSE,"Sheet1"}</definedName>
    <definedName name="ok" localSheetId="15" hidden="1">{"calspreads",#N/A,FALSE,"Sheet1";"curves",#N/A,FALSE,"Sheet1";"libor",#N/A,FALSE,"Sheet1"}</definedName>
    <definedName name="ok" hidden="1">{"calspreads",#N/A,FALSE,"Sheet1";"curves",#N/A,FALSE,"Sheet1";"libor",#N/A,FALSE,"Sheet1"}</definedName>
    <definedName name="okay" localSheetId="10" hidden="1">{#N/A,#N/A,FALSE,"Admin";#N/A,#N/A,FALSE,"Other"}</definedName>
    <definedName name="okay" localSheetId="15" hidden="1">{#N/A,#N/A,FALSE,"Admin";#N/A,#N/A,FALSE,"Other"}</definedName>
    <definedName name="okay" hidden="1">{#N/A,#N/A,FALSE,"Admin";#N/A,#N/A,FALSE,"Other"}</definedName>
    <definedName name="Okay1" localSheetId="10" hidden="1">{#N/A,#N/A,FALSE,"UTIL Monthly Inc ";#N/A,#N/A,FALSE,"Capital";#N/A,#N/A,FALSE,"UTIL REVENUE";#N/A,#N/A,FALSE,"RM REVENUE";#N/A,#N/A,FALSE,"Manpower";#N/A,#N/A,FALSE,"SI - UTIL";#N/A,#N/A,FALSE,"Sales - Utili"}</definedName>
    <definedName name="Okay1" hidden="1">{#N/A,#N/A,FALSE,"UTIL Monthly Inc ";#N/A,#N/A,FALSE,"Capital";#N/A,#N/A,FALSE,"UTIL REVENUE";#N/A,#N/A,FALSE,"RM REVENUE";#N/A,#N/A,FALSE,"Manpower";#N/A,#N/A,FALSE,"SI - UTIL";#N/A,#N/A,FALSE,"Sales - Utili"}</definedName>
    <definedName name="Okay10" localSheetId="10" hidden="1">{#N/A,#N/A,FALSE,"TEL Monthly Inc";#N/A,#N/A,FALSE,"TEL REVENUE";#N/A,#N/A,FALSE,"Tel - Manpower";#N/A,#N/A,FALSE,"Tel Sales Support";#N/A,#N/A,FALSE,"SI - TELCO";#N/A,#N/A,FALSE,"Sales - Telco";#N/A,#N/A,FALSE,"Tel - Mktg";#N/A,#N/A,FALSE,"Tel - Mktg"}</definedName>
    <definedName name="Okay10" hidden="1">{#N/A,#N/A,FALSE,"TEL Monthly Inc";#N/A,#N/A,FALSE,"TEL REVENUE";#N/A,#N/A,FALSE,"Tel - Manpower";#N/A,#N/A,FALSE,"Tel Sales Support";#N/A,#N/A,FALSE,"SI - TELCO";#N/A,#N/A,FALSE,"Sales - Telco";#N/A,#N/A,FALSE,"Tel - Mktg";#N/A,#N/A,FALSE,"Tel - Mktg"}</definedName>
    <definedName name="Okay11" localSheetId="10" hidden="1">{#N/A,#N/A,FALSE,"UTIL Monthly Inc ";#N/A,#N/A,FALSE,"Capital";#N/A,#N/A,FALSE,"UTIL REVENUE";#N/A,#N/A,FALSE,"RM REVENUE";#N/A,#N/A,FALSE,"Manpower";#N/A,#N/A,FALSE,"SI - UTIL";#N/A,#N/A,FALSE,"Sales - Utili"}</definedName>
    <definedName name="Okay11" hidden="1">{#N/A,#N/A,FALSE,"UTIL Monthly Inc ";#N/A,#N/A,FALSE,"Capital";#N/A,#N/A,FALSE,"UTIL REVENUE";#N/A,#N/A,FALSE,"RM REVENUE";#N/A,#N/A,FALSE,"Manpower";#N/A,#N/A,FALSE,"SI - UTIL";#N/A,#N/A,FALSE,"Sales - Utili"}</definedName>
    <definedName name="Okay1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4" localSheetId="10" hidden="1">{#N/A,#N/A,FALSE,"Summary";#N/A,#N/A,FALSE,"Manpower";#N/A,#N/A,FALSE,"Richmond";#N/A,#N/A,FALSE,"Itasca";#N/A,#N/A,FALSE,"Cambridge";#N/A,#N/A,FALSE,"Development";#N/A,#N/A,FALSE,"Customer Eng'g";#N/A,#N/A,FALSE,"Richmond R&amp;D Projects";#N/A,#N/A,FALSE,"Itasca R&amp;D Projects";#N/A,#N/A,FALSE,"Cambridge R&amp;D Projects"}</definedName>
    <definedName name="Okay14" hidden="1">{#N/A,#N/A,FALSE,"Summary";#N/A,#N/A,FALSE,"Manpower";#N/A,#N/A,FALSE,"Richmond";#N/A,#N/A,FALSE,"Itasca";#N/A,#N/A,FALSE,"Cambridge";#N/A,#N/A,FALSE,"Development";#N/A,#N/A,FALSE,"Customer Eng'g";#N/A,#N/A,FALSE,"Richmond R&amp;D Projects";#N/A,#N/A,FALSE,"Itasca R&amp;D Projects";#N/A,#N/A,FALSE,"Cambridge R&amp;D Projects"}</definedName>
    <definedName name="Okay15" localSheetId="10" hidden="1">{#N/A,#N/A,FALSE,"Statements";#N/A,#N/A,FALSE,"Capital";#N/A,#N/A,FALSE,"UTIL Monthly Inc ";#N/A,#N/A,FALSE,"UTIL REVENUE";#N/A,#N/A,FALSE,"UTIL SERV REV ";#N/A,#N/A,FALSE,"Manpower";#N/A,#N/A,FALSE,"Maintenance";#N/A,#N/A,FALSE,"Util Sales Support";#N/A,#N/A,FALSE,"SI - UTIL";#N/A,#N/A,FALSE,"Sales - Utili";#N/A,#N/A,FALSE,"Util - Mktg"}</definedName>
    <definedName name="Okay15" hidden="1">{#N/A,#N/A,FALSE,"Statements";#N/A,#N/A,FALSE,"Capital";#N/A,#N/A,FALSE,"UTIL Monthly Inc ";#N/A,#N/A,FALSE,"UTIL REVENUE";#N/A,#N/A,FALSE,"UTIL SERV REV ";#N/A,#N/A,FALSE,"Manpower";#N/A,#N/A,FALSE,"Maintenance";#N/A,#N/A,FALSE,"Util Sales Support";#N/A,#N/A,FALSE,"SI - UTIL";#N/A,#N/A,FALSE,"Sales - Utili";#N/A,#N/A,FALSE,"Util - Mktg"}</definedName>
    <definedName name="Okay16" localSheetId="10" hidden="1">{#N/A,#N/A,FALSE,"TEL Monthly Inc";#N/A,#N/A,FALSE,"TEL REVENUE";#N/A,#N/A,FALSE,"Tel - Manpower";#N/A,#N/A,FALSE,"Tel Sales Support";#N/A,#N/A,FALSE,"SI - TELCO";#N/A,#N/A,FALSE,"Sales - Telco";#N/A,#N/A,FALSE,"Tel - Mktg";#N/A,#N/A,FALSE,"Tel - Mktg"}</definedName>
    <definedName name="Okay16" hidden="1">{#N/A,#N/A,FALSE,"TEL Monthly Inc";#N/A,#N/A,FALSE,"TEL REVENUE";#N/A,#N/A,FALSE,"Tel - Manpower";#N/A,#N/A,FALSE,"Tel Sales Support";#N/A,#N/A,FALSE,"SI - TELCO";#N/A,#N/A,FALSE,"Sales - Telco";#N/A,#N/A,FALSE,"Tel - Mktg";#N/A,#N/A,FALSE,"Tel - Mktg"}</definedName>
    <definedName name="Okay17" localSheetId="10" hidden="1">{#N/A,#N/A,FALSE,"TEL Monthly Inc";#N/A,#N/A,FALSE,"TEL REVENUE";#N/A,#N/A,FALSE,"Tel - Manpower";#N/A,#N/A,FALSE,"Tel Sales Support";#N/A,#N/A,FALSE,"SI - TELCO";#N/A,#N/A,FALSE,"Sales - Telco";#N/A,#N/A,FALSE,"Tel - Mktg";#N/A,#N/A,FALSE,"Tel - Mktg"}</definedName>
    <definedName name="Okay17" hidden="1">{#N/A,#N/A,FALSE,"TEL Monthly Inc";#N/A,#N/A,FALSE,"TEL REVENUE";#N/A,#N/A,FALSE,"Tel - Manpower";#N/A,#N/A,FALSE,"Tel Sales Support";#N/A,#N/A,FALSE,"SI - TELCO";#N/A,#N/A,FALSE,"Sales - Telco";#N/A,#N/A,FALSE,"Tel - Mktg";#N/A,#N/A,FALSE,"Tel - Mktg"}</definedName>
    <definedName name="Okay18"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8"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9"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19"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 localSheetId="10" hidden="1">{#N/A,#N/A,FALSE,"TEL Monthly Inc";#N/A,#N/A,FALSE,"TEL REVENUE";#N/A,#N/A,FALSE,"Tel - Manpower";#N/A,#N/A,FALSE,"Tel Sales Support";#N/A,#N/A,FALSE,"SI - TELCO";#N/A,#N/A,FALSE,"Sales - Telco";#N/A,#N/A,FALSE,"Tel - Mktg";#N/A,#N/A,FALSE,"Tel - Mktg"}</definedName>
    <definedName name="Okay2" hidden="1">{#N/A,#N/A,FALSE,"TEL Monthly Inc";#N/A,#N/A,FALSE,"TEL REVENUE";#N/A,#N/A,FALSE,"Tel - Manpower";#N/A,#N/A,FALSE,"Tel Sales Support";#N/A,#N/A,FALSE,"SI - TELCO";#N/A,#N/A,FALSE,"Sales - Telco";#N/A,#N/A,FALSE,"Tel - Mktg";#N/A,#N/A,FALSE,"Tel - Mktg"}</definedName>
    <definedName name="Okay20"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1" localSheetId="10" hidden="1">{#N/A,#N/A,FALSE,"Summary";#N/A,#N/A,FALSE,"Manpower";#N/A,#N/A,FALSE,"Richmond";#N/A,#N/A,FALSE,"Itasca";#N/A,#N/A,FALSE,"Cambridge";#N/A,#N/A,FALSE,"Development";#N/A,#N/A,FALSE,"Customer Eng'g";#N/A,#N/A,FALSE,"Richmond R&amp;D Projects";#N/A,#N/A,FALSE,"Itasca R&amp;D Projects";#N/A,#N/A,FALSE,"Cambridge R&amp;D Projects"}</definedName>
    <definedName name="Okay21" hidden="1">{#N/A,#N/A,FALSE,"Summary";#N/A,#N/A,FALSE,"Manpower";#N/A,#N/A,FALSE,"Richmond";#N/A,#N/A,FALSE,"Itasca";#N/A,#N/A,FALSE,"Cambridge";#N/A,#N/A,FALSE,"Development";#N/A,#N/A,FALSE,"Customer Eng'g";#N/A,#N/A,FALSE,"Richmond R&amp;D Projects";#N/A,#N/A,FALSE,"Itasca R&amp;D Projects";#N/A,#N/A,FALSE,"Cambridge R&amp;D Projects"}</definedName>
    <definedName name="Okay22" localSheetId="10" hidden="1">{#N/A,#N/A,TRUE,"Statements";#N/A,#N/A,TRUE,"Capital";#N/A,#N/A,TRUE,"Manpower";#N/A,#N/A,TRUE,"Sheet1";#N/A,#N/A,TRUE,"HISTORIC";#N/A,#N/A,TRUE,"Barbados"}</definedName>
    <definedName name="Okay22" hidden="1">{#N/A,#N/A,TRUE,"Statements";#N/A,#N/A,TRUE,"Capital";#N/A,#N/A,TRUE,"Manpower";#N/A,#N/A,TRUE,"Sheet1";#N/A,#N/A,TRUE,"HISTORIC";#N/A,#N/A,TRUE,"Barbados"}</definedName>
    <definedName name="Okay2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2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2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25" localSheetId="10" hidden="1">{#N/A,#N/A,FALSE,"TEL Monthly Inc";#N/A,#N/A,FALSE,"TEL REVENUE";#N/A,#N/A,FALSE,"Tel - Manpower";#N/A,#N/A,FALSE,"Tel Sales Support";#N/A,#N/A,FALSE,"SI - TELCO";#N/A,#N/A,FALSE,"Sales - Telco";#N/A,#N/A,FALSE,"Tel - Mktg";#N/A,#N/A,FALSE,"Tel - Mktg"}</definedName>
    <definedName name="Okay25" hidden="1">{#N/A,#N/A,FALSE,"TEL Monthly Inc";#N/A,#N/A,FALSE,"TEL REVENUE";#N/A,#N/A,FALSE,"Tel - Manpower";#N/A,#N/A,FALSE,"Tel Sales Support";#N/A,#N/A,FALSE,"SI - TELCO";#N/A,#N/A,FALSE,"Sales - Telco";#N/A,#N/A,FALSE,"Tel - Mktg";#N/A,#N/A,FALSE,"Tel - Mktg"}</definedName>
    <definedName name="Okay26" localSheetId="10" hidden="1">{#N/A,#N/A,FALSE,"UTIL Monthly Inc ";#N/A,#N/A,FALSE,"Capital";#N/A,#N/A,FALSE,"UTIL REVENUE";#N/A,#N/A,FALSE,"RM REVENUE";#N/A,#N/A,FALSE,"Manpower";#N/A,#N/A,FALSE,"SI - UTIL";#N/A,#N/A,FALSE,"Sales - Utili"}</definedName>
    <definedName name="Okay26" hidden="1">{#N/A,#N/A,FALSE,"UTIL Monthly Inc ";#N/A,#N/A,FALSE,"Capital";#N/A,#N/A,FALSE,"UTIL REVENUE";#N/A,#N/A,FALSE,"RM REVENUE";#N/A,#N/A,FALSE,"Manpower";#N/A,#N/A,FALSE,"SI - UTIL";#N/A,#N/A,FALSE,"Sales - Utili"}</definedName>
    <definedName name="Okay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5" localSheetId="10" hidden="1">{#N/A,#N/A,FALSE,"Statements";#N/A,#N/A,FALSE,"Capital";#N/A,#N/A,FALSE,"UTIL Monthly Inc ";#N/A,#N/A,FALSE,"UTIL REVENUE";#N/A,#N/A,FALSE,"UTIL SERV REV ";#N/A,#N/A,FALSE,"Manpower";#N/A,#N/A,FALSE,"Maintenance";#N/A,#N/A,FALSE,"Util Sales Support";#N/A,#N/A,FALSE,"SI - UTIL";#N/A,#N/A,FALSE,"Sales - Utili";#N/A,#N/A,FALSE,"Util - Mktg"}</definedName>
    <definedName name="Okay5" hidden="1">{#N/A,#N/A,FALSE,"Statements";#N/A,#N/A,FALSE,"Capital";#N/A,#N/A,FALSE,"UTIL Monthly Inc ";#N/A,#N/A,FALSE,"UTIL REVENUE";#N/A,#N/A,FALSE,"UTIL SERV REV ";#N/A,#N/A,FALSE,"Manpower";#N/A,#N/A,FALSE,"Maintenance";#N/A,#N/A,FALSE,"Util Sales Support";#N/A,#N/A,FALSE,"SI - UTIL";#N/A,#N/A,FALSE,"Sales - Utili";#N/A,#N/A,FALSE,"Util - Mktg"}</definedName>
    <definedName name="Okay6" localSheetId="10" hidden="1">{#N/A,#N/A,FALSE,"Summary";#N/A,#N/A,FALSE,"Manpower";#N/A,#N/A,FALSE,"Richmond";#N/A,#N/A,FALSE,"Itasca";#N/A,#N/A,FALSE,"Cambridge";#N/A,#N/A,FALSE,"Development";#N/A,#N/A,FALSE,"Customer Eng'g";#N/A,#N/A,FALSE,"Richmond R&amp;D Projects";#N/A,#N/A,FALSE,"Itasca R&amp;D Projects";#N/A,#N/A,FALSE,"Cambridge R&amp;D Projects"}</definedName>
    <definedName name="Okay6" hidden="1">{#N/A,#N/A,FALSE,"Summary";#N/A,#N/A,FALSE,"Manpower";#N/A,#N/A,FALSE,"Richmond";#N/A,#N/A,FALSE,"Itasca";#N/A,#N/A,FALSE,"Cambridge";#N/A,#N/A,FALSE,"Development";#N/A,#N/A,FALSE,"Customer Eng'g";#N/A,#N/A,FALSE,"Richmond R&amp;D Projects";#N/A,#N/A,FALSE,"Itasca R&amp;D Projects";#N/A,#N/A,FALSE,"Cambridge R&amp;D Projects"}</definedName>
    <definedName name="Okay7" localSheetId="10" hidden="1">{#N/A,#N/A,TRUE,"Statements";#N/A,#N/A,TRUE,"Capital";#N/A,#N/A,TRUE,"Manpower";#N/A,#N/A,TRUE,"Sheet1";#N/A,#N/A,TRUE,"HISTORIC";#N/A,#N/A,TRUE,"Barbados"}</definedName>
    <definedName name="Okay7" hidden="1">{#N/A,#N/A,TRUE,"Statements";#N/A,#N/A,TRUE,"Capital";#N/A,#N/A,TRUE,"Manpower";#N/A,#N/A,TRUE,"Sheet1";#N/A,#N/A,TRUE,"HISTORIC";#N/A,#N/A,TRUE,"Barbados"}</definedName>
    <definedName name="Okay8"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8"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Okay9"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ay9"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OkRegisterReceipt">#REF!</definedName>
    <definedName name="OKTaxTable" localSheetId="10">#REF!</definedName>
    <definedName name="OKTaxTable">#REF!</definedName>
    <definedName name="ol" localSheetId="10" hidden="1">{"vol data",#N/A,FALSE,"Datasheet";"vol graph",#N/A,FALSE,"Volume";"price data",#N/A,FALSE,"Datasheet";"price graph",#N/A,FALSE,"Price";"dp data",#N/A,FALSE,"Datasheet";"dp graph",#N/A,FALSE,"DirectProfit"}</definedName>
    <definedName name="ol" hidden="1">{"vol data",#N/A,FALSE,"Datasheet";"vol graph",#N/A,FALSE,"Volume";"price data",#N/A,FALSE,"Datasheet";"price graph",#N/A,FALSE,"Price";"dp data",#N/A,FALSE,"Datasheet";"dp graph",#N/A,FALSE,"DirectProfit"}</definedName>
    <definedName name="OLA" localSheetId="10">#REF!</definedName>
    <definedName name="OLA">#REF!</definedName>
    <definedName name="old" localSheetId="10" hidden="1">{#N/A,#N/A,FALSE,"Income";#N/A,#N/A,FALSE,"Cost of Goods Sold";#N/A,#N/A,FALSE,"Other Costs";#N/A,#N/A,FALSE,"Other Income";#N/A,#N/A,FALSE,"Taxes";#N/A,#N/A,FALSE,"Other Deductions";#N/A,#N/A,FALSE,"Compensation of Officers"}</definedName>
    <definedName name="old" localSheetId="15" hidden="1">{#N/A,#N/A,FALSE,"Income";#N/A,#N/A,FALSE,"Cost of Goods Sold";#N/A,#N/A,FALSE,"Other Costs";#N/A,#N/A,FALSE,"Other Income";#N/A,#N/A,FALSE,"Taxes";#N/A,#N/A,FALSE,"Other Deductions";#N/A,#N/A,FALSE,"Compensation of Officers"}</definedName>
    <definedName name="old" hidden="1">{#N/A,#N/A,FALSE,"Income";#N/A,#N/A,FALSE,"Cost of Goods Sold";#N/A,#N/A,FALSE,"Other Costs";#N/A,#N/A,FALSE,"Other Income";#N/A,#N/A,FALSE,"Taxes";#N/A,#N/A,FALSE,"Other Deductions";#N/A,#N/A,FALSE,"Compensation of Officers"}</definedName>
    <definedName name="old_1" localSheetId="10" hidden="1">{"AQUIRORDCF",#N/A,FALSE,"Merger consequences";"Acquirorassns",#N/A,FALSE,"Merger consequences"}</definedName>
    <definedName name="old_1" hidden="1">{"AQUIRORDCF",#N/A,FALSE,"Merger consequences";"Acquirorassns",#N/A,FALSE,"Merger consequences"}</definedName>
    <definedName name="old_cps_by_date_of_service_2012_By_dept_by_month">#REF!</definedName>
    <definedName name="old_NC" localSheetId="10" hidden="1">{#N/A,#N/A,FALSE,"Income";#N/A,#N/A,FALSE,"Cost of Goods Sold";#N/A,#N/A,FALSE,"Other Costs";#N/A,#N/A,FALSE,"Other Income";#N/A,#N/A,FALSE,"Taxes";#N/A,#N/A,FALSE,"Other Deductions";#N/A,#N/A,FALSE,"Compensation of Officers"}</definedName>
    <definedName name="old_NC" localSheetId="15" hidden="1">{#N/A,#N/A,FALSE,"Income";#N/A,#N/A,FALSE,"Cost of Goods Sold";#N/A,#N/A,FALSE,"Other Costs";#N/A,#N/A,FALSE,"Other Income";#N/A,#N/A,FALSE,"Taxes";#N/A,#N/A,FALSE,"Other Deductions";#N/A,#N/A,FALSE,"Compensation of Officers"}</definedName>
    <definedName name="old_NC" hidden="1">{#N/A,#N/A,FALSE,"Income";#N/A,#N/A,FALSE,"Cost of Goods Sold";#N/A,#N/A,FALSE,"Other Costs";#N/A,#N/A,FALSE,"Other Income";#N/A,#N/A,FALSE,"Taxes";#N/A,#N/A,FALSE,"Other Deductions";#N/A,#N/A,FALSE,"Compensation of Officers"}</definedName>
    <definedName name="old2_NC" localSheetId="10" hidden="1">{#N/A,#N/A,FALSE,"Income";#N/A,#N/A,FALSE,"Cost of Goods Sold";#N/A,#N/A,FALSE,"Other Costs";#N/A,#N/A,FALSE,"Other Income";#N/A,#N/A,FALSE,"Taxes";#N/A,#N/A,FALSE,"Other Deductions";#N/A,#N/A,FALSE,"Compensation of Officers"}</definedName>
    <definedName name="old2_NC" localSheetId="15" hidden="1">{#N/A,#N/A,FALSE,"Income";#N/A,#N/A,FALSE,"Cost of Goods Sold";#N/A,#N/A,FALSE,"Other Costs";#N/A,#N/A,FALSE,"Other Income";#N/A,#N/A,FALSE,"Taxes";#N/A,#N/A,FALSE,"Other Deductions";#N/A,#N/A,FALSE,"Compensation of Officers"}</definedName>
    <definedName name="old2_NC" hidden="1">{#N/A,#N/A,FALSE,"Income";#N/A,#N/A,FALSE,"Cost of Goods Sold";#N/A,#N/A,FALSE,"Other Costs";#N/A,#N/A,FALSE,"Other Income";#N/A,#N/A,FALSE,"Taxes";#N/A,#N/A,FALSE,"Other Deductions";#N/A,#N/A,FALSE,"Compensation of Officers"}</definedName>
    <definedName name="old3_NC" localSheetId="10" hidden="1">{#N/A,#N/A,FALSE,"Income";#N/A,#N/A,FALSE,"Cost of Goods Sold";#N/A,#N/A,FALSE,"Other Costs";#N/A,#N/A,FALSE,"Other Income";#N/A,#N/A,FALSE,"Taxes";#N/A,#N/A,FALSE,"Other Deductions";#N/A,#N/A,FALSE,"Compensation of Officers"}</definedName>
    <definedName name="old3_NC" localSheetId="15" hidden="1">{#N/A,#N/A,FALSE,"Income";#N/A,#N/A,FALSE,"Cost of Goods Sold";#N/A,#N/A,FALSE,"Other Costs";#N/A,#N/A,FALSE,"Other Income";#N/A,#N/A,FALSE,"Taxes";#N/A,#N/A,FALSE,"Other Deductions";#N/A,#N/A,FALSE,"Compensation of Officers"}</definedName>
    <definedName name="old3_NC" hidden="1">{#N/A,#N/A,FALSE,"Income";#N/A,#N/A,FALSE,"Cost of Goods Sold";#N/A,#N/A,FALSE,"Other Costs";#N/A,#N/A,FALSE,"Other Income";#N/A,#N/A,FALSE,"Taxes";#N/A,#N/A,FALSE,"Other Deductions";#N/A,#N/A,FALSE,"Compensation of Officers"}</definedName>
    <definedName name="old4_NC" localSheetId="10" hidden="1">{#N/A,#N/A,FALSE,"Income";#N/A,#N/A,FALSE,"Cost of Goods Sold";#N/A,#N/A,FALSE,"Other Costs";#N/A,#N/A,FALSE,"Other Income";#N/A,#N/A,FALSE,"Taxes";#N/A,#N/A,FALSE,"Other Deductions";#N/A,#N/A,FALSE,"Compensation of Officers"}</definedName>
    <definedName name="old4_NC" localSheetId="15" hidden="1">{#N/A,#N/A,FALSE,"Income";#N/A,#N/A,FALSE,"Cost of Goods Sold";#N/A,#N/A,FALSE,"Other Costs";#N/A,#N/A,FALSE,"Other Income";#N/A,#N/A,FALSE,"Taxes";#N/A,#N/A,FALSE,"Other Deductions";#N/A,#N/A,FALSE,"Compensation of Officers"}</definedName>
    <definedName name="old4_NC" hidden="1">{#N/A,#N/A,FALSE,"Income";#N/A,#N/A,FALSE,"Cost of Goods Sold";#N/A,#N/A,FALSE,"Other Costs";#N/A,#N/A,FALSE,"Other Income";#N/A,#N/A,FALSE,"Taxes";#N/A,#N/A,FALSE,"Other Deductions";#N/A,#N/A,FALSE,"Compensation of Officers"}</definedName>
    <definedName name="old5_NC" localSheetId="10" hidden="1">{#N/A,#N/A,FALSE,"Income";#N/A,#N/A,FALSE,"Cost of Goods Sold";#N/A,#N/A,FALSE,"Other Costs";#N/A,#N/A,FALSE,"Other Income";#N/A,#N/A,FALSE,"Taxes";#N/A,#N/A,FALSE,"Other Deductions";#N/A,#N/A,FALSE,"Compensation of Officers"}</definedName>
    <definedName name="old5_NC" localSheetId="15" hidden="1">{#N/A,#N/A,FALSE,"Income";#N/A,#N/A,FALSE,"Cost of Goods Sold";#N/A,#N/A,FALSE,"Other Costs";#N/A,#N/A,FALSE,"Other Income";#N/A,#N/A,FALSE,"Taxes";#N/A,#N/A,FALSE,"Other Deductions";#N/A,#N/A,FALSE,"Compensation of Officers"}</definedName>
    <definedName name="old5_NC" hidden="1">{#N/A,#N/A,FALSE,"Income";#N/A,#N/A,FALSE,"Cost of Goods Sold";#N/A,#N/A,FALSE,"Other Costs";#N/A,#N/A,FALSE,"Other Income";#N/A,#N/A,FALSE,"Taxes";#N/A,#N/A,FALSE,"Other Deductions";#N/A,#N/A,FALSE,"Compensation of Officers"}</definedName>
    <definedName name="old8_NC" localSheetId="10" hidden="1">{#N/A,#N/A,FALSE,"Income";#N/A,#N/A,FALSE,"Cost of Goods Sold";#N/A,#N/A,FALSE,"Other Costs";#N/A,#N/A,FALSE,"Other Income";#N/A,#N/A,FALSE,"Taxes";#N/A,#N/A,FALSE,"Other Deductions";#N/A,#N/A,FALSE,"Compensation of Officers"}</definedName>
    <definedName name="old8_NC" localSheetId="15" hidden="1">{#N/A,#N/A,FALSE,"Income";#N/A,#N/A,FALSE,"Cost of Goods Sold";#N/A,#N/A,FALSE,"Other Costs";#N/A,#N/A,FALSE,"Other Income";#N/A,#N/A,FALSE,"Taxes";#N/A,#N/A,FALSE,"Other Deductions";#N/A,#N/A,FALSE,"Compensation of Officers"}</definedName>
    <definedName name="old8_NC" hidden="1">{#N/A,#N/A,FALSE,"Income";#N/A,#N/A,FALSE,"Cost of Goods Sold";#N/A,#N/A,FALSE,"Other Costs";#N/A,#N/A,FALSE,"Other Income";#N/A,#N/A,FALSE,"Taxes";#N/A,#N/A,FALSE,"Other Deductions";#N/A,#N/A,FALSE,"Compensation of Officers"}</definedName>
    <definedName name="old9_NC" localSheetId="10" hidden="1">{#N/A,#N/A,FALSE,"Income";#N/A,#N/A,FALSE,"Cost of Goods Sold";#N/A,#N/A,FALSE,"Other Costs";#N/A,#N/A,FALSE,"Other Income";#N/A,#N/A,FALSE,"Taxes";#N/A,#N/A,FALSE,"Other Deductions";#N/A,#N/A,FALSE,"Compensation of Officers"}</definedName>
    <definedName name="old9_NC" localSheetId="15" hidden="1">{#N/A,#N/A,FALSE,"Income";#N/A,#N/A,FALSE,"Cost of Goods Sold";#N/A,#N/A,FALSE,"Other Costs";#N/A,#N/A,FALSE,"Other Income";#N/A,#N/A,FALSE,"Taxes";#N/A,#N/A,FALSE,"Other Deductions";#N/A,#N/A,FALSE,"Compensation of Officers"}</definedName>
    <definedName name="old9_NC" hidden="1">{#N/A,#N/A,FALSE,"Income";#N/A,#N/A,FALSE,"Cost of Goods Sold";#N/A,#N/A,FALSE,"Other Costs";#N/A,#N/A,FALSE,"Other Income";#N/A,#N/A,FALSE,"Taxes";#N/A,#N/A,FALSE,"Other Deductions";#N/A,#N/A,FALSE,"Compensation of Officers"}</definedName>
    <definedName name="olddata" localSheetId="10">{"PAGE 1",#N/A,FALSE,"WEST_OT"}</definedName>
    <definedName name="olddata">{"PAGE 1",#N/A,FALSE,"WEST_OT"}</definedName>
    <definedName name="olddata1" localSheetId="10">{"PAGE 1",#N/A,FALSE,"WEST_OT"}</definedName>
    <definedName name="olddata1">{"PAGE 1",#N/A,FALSE,"WEST_OT"}</definedName>
    <definedName name="olddata2" localSheetId="10">{"PAGE 1",#N/A,FALSE,"WEST_OT"}</definedName>
    <definedName name="olddata2">{"PAGE 1",#N/A,FALSE,"WEST_OT"}</definedName>
    <definedName name="olddata3" localSheetId="10">{"PAGE 1",#N/A,FALSE,"WEST_OT"}</definedName>
    <definedName name="olddata3">{"PAGE 1",#N/A,FALSE,"WEST_OT"}</definedName>
    <definedName name="oldfedtax" localSheetId="10">#REF!</definedName>
    <definedName name="oldfedtax">#REF!</definedName>
    <definedName name="olditem" localSheetId="10" hidden="1">#REF!</definedName>
    <definedName name="olditem" hidden="1">#REF!</definedName>
    <definedName name="oldkey1" localSheetId="10" hidden="1">#REF!</definedName>
    <definedName name="oldkey1" localSheetId="9" hidden="1">#REF!</definedName>
    <definedName name="oldkey1" localSheetId="8" hidden="1">#REF!</definedName>
    <definedName name="oldkey1" localSheetId="16" hidden="1">#REF!</definedName>
    <definedName name="oldkey1" hidden="1">#REF!</definedName>
    <definedName name="oldsort" localSheetId="10" hidden="1">#REF!</definedName>
    <definedName name="oldsort" localSheetId="9" hidden="1">#REF!</definedName>
    <definedName name="oldsort" localSheetId="8" hidden="1">#REF!</definedName>
    <definedName name="oldsort" localSheetId="16" hidden="1">#REF!</definedName>
    <definedName name="oldsort" hidden="1">#REF!</definedName>
    <definedName name="on" localSheetId="10" hidden="1">{"TOTAL",#N/A,FALSE,"A";"FISCAL94",#N/A,FALSE,"A";"FISCAL95",#N/A,FALSE,"A";"FISCAL96",#N/A,FALSE,"A";"misc page",#N/A,FALSE,"A"}</definedName>
    <definedName name="on" localSheetId="15" hidden="1">{"TOTAL",#N/A,FALSE,"A";"FISCAL94",#N/A,FALSE,"A";"FISCAL95",#N/A,FALSE,"A";"FISCAL96",#N/A,FALSE,"A";"misc page",#N/A,FALSE,"A"}</definedName>
    <definedName name="on" hidden="1">{"TOTAL",#N/A,FALSE,"A";"FISCAL94",#N/A,FALSE,"A";"FISCAL95",#N/A,FALSE,"A";"FISCAL96",#N/A,FALSE,"A";"misc page",#N/A,FALSE,"A"}</definedName>
    <definedName name="On_Payroll" localSheetId="10">#REF!</definedName>
    <definedName name="On_Payroll">#REF!</definedName>
    <definedName name="one" localSheetId="10">#REF!,#REF!,#REF!,#REF!,#REF!,#REF!,#REF!,#REF!</definedName>
    <definedName name="one">#REF!,#REF!,#REF!,#REF!,#REF!,#REF!,#REF!,#REF!</definedName>
    <definedName name="onj" localSheetId="10" hidden="1">{"Pa1",#N/A,FALSE,"OpExYTDvsPY";"Pa2",#N/A,FALSE,"OpExYTDvsPY"}</definedName>
    <definedName name="onj" hidden="1">{"Pa1",#N/A,FALSE,"OpExYTDvsPY";"Pa2",#N/A,FALSE,"OpExYTDvsPY"}</definedName>
    <definedName name="ONYX19970501222055" hidden="1">#REF!</definedName>
    <definedName name="ONYX19970501222155" hidden="1">#REF!</definedName>
    <definedName name="oo" localSheetId="10" hidden="1">{"Material",#N/A,TRUE,"Summary";"Mfg",#N/A,TRUE,"Summary";"mfgbymo",#N/A,TRUE,"By Month";"Mtlbymo",#N/A,TRUE,"By Month"}</definedName>
    <definedName name="oo" hidden="1">{"Material",#N/A,TRUE,"Summary";"Mfg",#N/A,TRUE,"Summary";"mfgbymo",#N/A,TRUE,"By Month";"Mtlbymo",#N/A,TRUE,"By Month"}</definedName>
    <definedName name="oo.ll" localSheetId="10"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oo_1" localSheetId="10" hidden="1">{"Material",#N/A,TRUE,"Summary";"Mfg",#N/A,TRUE,"Summary";"mfgbymo",#N/A,TRUE,"By Month";"Mtlbymo",#N/A,TRUE,"By Month"}</definedName>
    <definedName name="oo_1" hidden="1">{"Material",#N/A,TRUE,"Summary";"Mfg",#N/A,TRUE,"Summary";"mfgbymo",#N/A,TRUE,"By Month";"Mtlbymo",#N/A,TRUE,"By Month"}</definedName>
    <definedName name="oo_1_1" localSheetId="10" hidden="1">{"Material",#N/A,TRUE,"Summary";"Mfg",#N/A,TRUE,"Summary";"mfgbymo",#N/A,TRUE,"By Month";"Mtlbymo",#N/A,TRUE,"By Month"}</definedName>
    <definedName name="oo_1_1" hidden="1">{"Material",#N/A,TRUE,"Summary";"Mfg",#N/A,TRUE,"Summary";"mfgbymo",#N/A,TRUE,"By Month";"Mtlbymo",#N/A,TRUE,"By Month"}</definedName>
    <definedName name="oo_2" localSheetId="10" hidden="1">{"Material",#N/A,TRUE,"Summary";"Mfg",#N/A,TRUE,"Summary";"mfgbymo",#N/A,TRUE,"By Month";"Mtlbymo",#N/A,TRUE,"By Month"}</definedName>
    <definedName name="oo_2" hidden="1">{"Material",#N/A,TRUE,"Summary";"Mfg",#N/A,TRUE,"Summary";"mfgbymo",#N/A,TRUE,"By Month";"Mtlbymo",#N/A,TRUE,"By Month"}</definedName>
    <definedName name="OO_Book_Settings_AllowResize" hidden="1">"False"</definedName>
    <definedName name="OO_Book_Settings_BGColor" hidden="1">"FFFFFF"</definedName>
    <definedName name="OO_Book_Settings_CellBGColor" hidden="1">"33CCCC"</definedName>
    <definedName name="OO_Book_Settings_Destination" hidden="1">"\\tm1dev\TM1\TM1Web\Applications\SCO\Manufacturing\Websheets\Manufacturing slice Aug 4.xml"</definedName>
    <definedName name="OO_Book_Settings_Footer" hidden="1">""</definedName>
    <definedName name="OO_Book_Settings_Header" hidden="1">""</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"False"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"False"</definedName>
    <definedName name="OO_Book_Settings_XCDestination" hidden="1">"Z:\TM1Web\Applications\SCO\Manufacturing\Worksheets\Manufacturing slice July 19a_xCelsius.xls"</definedName>
    <definedName name="ool" localSheetId="10" hidden="1">{"Page1",#N/A,FALSE,"CompCo";"Page2",#N/A,FALSE,"CompCo"}</definedName>
    <definedName name="ool" localSheetId="15" hidden="1">{"Page1",#N/A,FALSE,"CompCo";"Page2",#N/A,FALSE,"CompCo"}</definedName>
    <definedName name="ool" hidden="1">{"Page1",#N/A,FALSE,"CompCo";"Page2",#N/A,FALSE,"CompCo"}</definedName>
    <definedName name="ööl" localSheetId="10" hidden="1">{#N/A,#N/A,FALSE,"KA CH  (2)"}</definedName>
    <definedName name="ööl" hidden="1">{#N/A,#N/A,FALSE,"KA CH  (2)"}</definedName>
    <definedName name="öölälkk" localSheetId="10" hidden="1">{#N/A,#N/A,FALSE,"Umsatz 99";#N/A,#N/A,FALSE,"ER 99 "}</definedName>
    <definedName name="öölälkk" hidden="1">{#N/A,#N/A,FALSE,"Umsatz 99";#N/A,#N/A,FALSE,"ER 99 "}</definedName>
    <definedName name="öölkk" localSheetId="10"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10" hidden="1">{#N/A,#N/A,FALSE,"Umsatz 99";#N/A,#N/A,FALSE,"ER 99 "}</definedName>
    <definedName name="oolo.lll" hidden="1">{#N/A,#N/A,FALSE,"Umsatz 99";#N/A,#N/A,FALSE,"ER 99 "}</definedName>
    <definedName name="ooo" localSheetId="10">{#N/A,#N/A,FALSE,"REPORT"}</definedName>
    <definedName name="ooo">{#N/A,#N/A,FALSE,"REPORT"}</definedName>
    <definedName name="ööö" localSheetId="10"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10" hidden="1">{#N/A,#N/A,FALSE,"Calc";#N/A,#N/A,FALSE,"Sensitivity";#N/A,#N/A,FALSE,"LT Earn.Dil.";#N/A,#N/A,FALSE,"Dil. AVP"}</definedName>
    <definedName name="ooooo" localSheetId="15" hidden="1">{#N/A,#N/A,FALSE,"Calc";#N/A,#N/A,FALSE,"Sensitivity";#N/A,#N/A,FALSE,"LT Earn.Dil.";#N/A,#N/A,FALSE,"Dil. AVP"}</definedName>
    <definedName name="ooooo" hidden="1">{#N/A,#N/A,FALSE,"Calc";#N/A,#N/A,FALSE,"Sensitivity";#N/A,#N/A,FALSE,"LT Earn.Dil.";#N/A,#N/A,FALSE,"Dil. AVP"}</definedName>
    <definedName name="oooooooo" localSheetId="10" hidden="1">{#N/A,#N/A,FALSE,"Umsatz 99";#N/A,#N/A,FALSE,"ER 99 "}</definedName>
    <definedName name="oooooooo" hidden="1">{#N/A,#N/A,FALSE,"Umsatz 99";#N/A,#N/A,FALSE,"ER 99 "}</definedName>
    <definedName name="oooooooooooooooooo"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U" localSheetId="10" hidden="1">{#N/A,#N/A,FALSE,"BS";#N/A,#N/A,FALSE,"PL_10Q";#N/A,#N/A,FALSE,"SOE";#N/A,#N/A,FALSE,"SCF"}</definedName>
    <definedName name="OOU" localSheetId="15" hidden="1">{#N/A,#N/A,FALSE,"BS";#N/A,#N/A,FALSE,"PL_10Q";#N/A,#N/A,FALSE,"SOE";#N/A,#N/A,FALSE,"SCF"}</definedName>
    <definedName name="OOU" hidden="1">{#N/A,#N/A,FALSE,"BS";#N/A,#N/A,FALSE,"PL_10Q";#N/A,#N/A,FALSE,"SOE";#N/A,#N/A,FALSE,"SCF"}</definedName>
    <definedName name="Op_Profit" localSheetId="10" hidden="1">{#N/A,#N/A,FALSE,"COVER";#N/A,#N/A,FALSE,"SUMP&amp;L";#N/A,#N/A,FALSE,"SUBSP&amp;L";#N/A,#N/A,FALSE,"SALESANAL"}</definedName>
    <definedName name="Op_Profit" hidden="1">{#N/A,#N/A,FALSE,"COVER";#N/A,#N/A,FALSE,"SUMP&amp;L";#N/A,#N/A,FALSE,"SUBSP&amp;L";#N/A,#N/A,FALSE,"SALESANAL"}</definedName>
    <definedName name="Open1" localSheetId="10" hidden="1">{#N/A,#N/A,FALSE,"UTIL Monthly Inc ";#N/A,#N/A,FALSE,"Capital";#N/A,#N/A,FALSE,"UTIL REVENUE";#N/A,#N/A,FALSE,"RM REVENUE";#N/A,#N/A,FALSE,"Manpower";#N/A,#N/A,FALSE,"SI - UTIL";#N/A,#N/A,FALSE,"Sales - Utili"}</definedName>
    <definedName name="Open1" hidden="1">{#N/A,#N/A,FALSE,"UTIL Monthly Inc ";#N/A,#N/A,FALSE,"Capital";#N/A,#N/A,FALSE,"UTIL REVENUE";#N/A,#N/A,FALSE,"RM REVENUE";#N/A,#N/A,FALSE,"Manpower";#N/A,#N/A,FALSE,"SI - UTIL";#N/A,#N/A,FALSE,"Sales - Utili"}</definedName>
    <definedName name="opendbs" localSheetId="10" hidden="1">{"fis.dbo.r1_datasum"}</definedName>
    <definedName name="opendbs" hidden="1">{"fis.dbo.r1_datasum"}</definedName>
    <definedName name="opendbs1" localSheetId="10" hidden="1">{"fis.dbo.r1_datasum"}</definedName>
    <definedName name="opendbs1" hidden="1">{"fis.dbo.r1_datasum"}</definedName>
    <definedName name="Operating_Margin">#REF!</definedName>
    <definedName name="Operating_Profit">#REF!</definedName>
    <definedName name="OPEX">#REF!</definedName>
    <definedName name="Ophthalmic">#REF!</definedName>
    <definedName name="Ophthalmology">#REF!</definedName>
    <definedName name="opiu" localSheetId="10" hidden="1">{"Comp_of_Price_Effect",#N/A,FALSE,"QTRDPVAR"}</definedName>
    <definedName name="opiu" hidden="1">{"Comp_of_Price_Effect",#N/A,FALSE,"QTRDPVAR"}</definedName>
    <definedName name="oplk" localSheetId="10" hidden="1">{"Page1",#N/A,FALSE,"OpExJanvsBud";"Page2",#N/A,FALSE,"OpExJanvsBud"}</definedName>
    <definedName name="oplk" hidden="1">{"Page1",#N/A,FALSE,"OpExJanvsBud";"Page2",#N/A,FALSE,"OpExJanvsBud"}</definedName>
    <definedName name="opndixm" localSheetId="10" hidden="1">{"detail",#N/A,FALSE,"mfg";"summary",#N/A,FALSE,"mfg"}</definedName>
    <definedName name="opndixm" hidden="1">{"detail",#N/A,FALSE,"mfg";"summary",#N/A,FALSE,"mfg"}</definedName>
    <definedName name="opo" localSheetId="10" hidden="1">{#N/A,#N/A,FALSE,"Umsatz 99";#N/A,#N/A,FALSE,"ER 99 "}</definedName>
    <definedName name="opo" hidden="1">{#N/A,#N/A,FALSE,"Umsatz 99";#N/A,#N/A,FALSE,"ER 99 "}</definedName>
    <definedName name="opopop" localSheetId="10"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tometric" localSheetId="10">#REF!</definedName>
    <definedName name="Optometric">#REF!</definedName>
    <definedName name="Optometry" localSheetId="10">#REF!</definedName>
    <definedName name="Optometry">#REF!</definedName>
    <definedName name="Optronics" localSheetId="10"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ptronics_1" localSheetId="10" hidden="1">{#N/A,#N/A,FALSE,"Title";#N/A,#N/A,FALSE,"Index";#N/A,#N/A,FALSE,"1";#N/A,#N/A,FALSE,"2";#N/A,#N/A,FALSE,"3";#N/A,#N/A,FALSE,"4";#N/A,#N/A,FALSE,"5";#N/A,#N/A,FALSE,"6";#N/A,#N/A,FALSE,"7";#N/A,#N/A,FALSE,"8"}</definedName>
    <definedName name="Optronics_1" hidden="1">{#N/A,#N/A,FALSE,"Title";#N/A,#N/A,FALSE,"Index";#N/A,#N/A,FALSE,"1";#N/A,#N/A,FALSE,"2";#N/A,#N/A,FALSE,"3";#N/A,#N/A,FALSE,"4";#N/A,#N/A,FALSE,"5";#N/A,#N/A,FALSE,"6";#N/A,#N/A,FALSE,"7";#N/A,#N/A,FALSE,"8"}</definedName>
    <definedName name="ORCC" localSheetId="10" hidden="1">{#N/A,#N/A,FALSE,"Projections";#N/A,#N/A,FALSE,"Multiples Valuation";#N/A,#N/A,FALSE,"LBO";#N/A,#N/A,FALSE,"Multiples_Sensitivity";#N/A,#N/A,FALSE,"Summary"}</definedName>
    <definedName name="ORCC" hidden="1">{#N/A,#N/A,FALSE,"Projections";#N/A,#N/A,FALSE,"Multiples Valuation";#N/A,#N/A,FALSE,"LBO";#N/A,#N/A,FALSE,"Multiples_Sensitivity";#N/A,#N/A,FALSE,"Summary"}</definedName>
    <definedName name="Order__1">0</definedName>
    <definedName name="other" localSheetId="10" hidden="1">{"YTDONLY",#N/A,FALSE,"09-SUM  ";"REGULAR1",#N/A,FALSE,"09-SUM  "}</definedName>
    <definedName name="other" hidden="1">{"YTDONLY",#N/A,FALSE,"09-SUM  ";"REGULAR1",#N/A,FALSE,"09-SUM  "}</definedName>
    <definedName name="Other_Cost_of_Goods">#REF!</definedName>
    <definedName name="Other_Income__Expense">#REF!</definedName>
    <definedName name="Other_Receivables" localSheetId="10">#REF!</definedName>
    <definedName name="Other_Receivables">#REF!</definedName>
    <definedName name="other33" localSheetId="10">{#N/A,#N/A,FALSE,"Pharm";#N/A,#N/A,FALSE,"WWCM"}</definedName>
    <definedName name="other33">{#N/A,#N/A,FALSE,"Pharm";#N/A,#N/A,FALSE,"WWCM"}</definedName>
    <definedName name="OTHERASSETS" localSheetId="10">#REF!</definedName>
    <definedName name="OTHERASSETS">#REF!</definedName>
    <definedName name="othermar" localSheetId="10">{#N/A,#N/A,FALSE,"Pharm";#N/A,#N/A,FALSE,"WWCM"}</definedName>
    <definedName name="othermar">{#N/A,#N/A,FALSE,"Pharm";#N/A,#N/A,FALSE,"WWCM"}</definedName>
    <definedName name="otherv2" localSheetId="10" hidden="1">{"YTDONLY",#N/A,FALSE,"09-SUM  ";"REGULAR1",#N/A,FALSE,"09-SUM  "}</definedName>
    <definedName name="otherv2" hidden="1">{"YTDONLY",#N/A,FALSE,"09-SUM  ";"REGULAR1",#N/A,FALSE,"09-SUM  "}</definedName>
    <definedName name="ou" localSheetId="10"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ououiouopupo" localSheetId="10" hidden="1">{#N/A,#N/A,FALSE,"BS";#N/A,#N/A,FALSE,"PL";#N/A,#N/A,FALSE,"SOE";#N/A,#N/A,FALSE,"SCF"}</definedName>
    <definedName name="ouououiouopupo" localSheetId="15" hidden="1">{#N/A,#N/A,FALSE,"BS";#N/A,#N/A,FALSE,"PL";#N/A,#N/A,FALSE,"SOE";#N/A,#N/A,FALSE,"SCF"}</definedName>
    <definedName name="ouououiouopupo" hidden="1">{#N/A,#N/A,FALSE,"BS";#N/A,#N/A,FALSE,"PL";#N/A,#N/A,FALSE,"SOE";#N/A,#N/A,FALSE,"SCF"}</definedName>
    <definedName name="ououp0" localSheetId="10" hidden="1">{#N/A,#N/A,FALSE,"TABLE_1 YTD- VALUES LAST YR(2)"}</definedName>
    <definedName name="ououp0" localSheetId="15" hidden="1">{#N/A,#N/A,FALSE,"TABLE_1 YTD- VALUES LAST YR(2)"}</definedName>
    <definedName name="ououp0" hidden="1">{#N/A,#N/A,FALSE,"TABLE_1 YTD- VALUES LAST YR(2)"}</definedName>
    <definedName name="Out">#N/A</definedName>
    <definedName name="Out_Period_Payroll" localSheetId="10">#REF!</definedName>
    <definedName name="Out_Period_Payroll">#REF!</definedName>
    <definedName name="Output_Table" localSheetId="10">#REF!</definedName>
    <definedName name="Output_Table">#REF!</definedName>
    <definedName name="Output_Table_Column">#REF!</definedName>
    <definedName name="Output_Table_Row">#REF!</definedName>
    <definedName name="Outside_Consult___Commis">#REF!</definedName>
    <definedName name="Outside_Consultants">#REF!</definedName>
    <definedName name="Outsourced_Services">#REF!</definedName>
    <definedName name="Oversigt" localSheetId="10">{#N/A,#N/A,FALSE,"mdr.XLS";"db",#N/A,FALSE,"mdr.XLS";#N/A,#N/A,FALSE,"Forside ";#N/A,#N/A,FALSE,"INVEST.XLS"}</definedName>
    <definedName name="Oversigt">{#N/A,#N/A,FALSE,"mdr.XLS";"db",#N/A,FALSE,"mdr.XLS";#N/A,#N/A,FALSE,"Forside ";#N/A,#N/A,FALSE,"INVEST.XLS"}</definedName>
    <definedName name="Oversigt1" localSheetId="10">{#N/A,#N/A,FALSE,"mdr.XLS";"db",#N/A,FALSE,"mdr.XLS";#N/A,#N/A,FALSE,"Forside ";#N/A,#N/A,FALSE,"INVEST.XLS"}</definedName>
    <definedName name="Oversigt1">{#N/A,#N/A,FALSE,"mdr.XLS";"db",#N/A,FALSE,"mdr.XLS";#N/A,#N/A,FALSE,"Forside ";#N/A,#N/A,FALSE,"INVEST.XLS"}</definedName>
    <definedName name="OVERSIGT2" localSheetId="10">{#N/A,#N/A,FALSE,"mdr.XLS";"db",#N/A,FALSE,"mdr.XLS";#N/A,#N/A,FALSE,"Forside ";#N/A,#N/A,FALSE,"INVEST.XLS"}</definedName>
    <definedName name="OVERSIGT2">{#N/A,#N/A,FALSE,"mdr.XLS";"db",#N/A,FALSE,"mdr.XLS";#N/A,#N/A,FALSE,"Forside ";#N/A,#N/A,FALSE,"INVEST.XLS"}</definedName>
    <definedName name="OVERSIGT6" localSheetId="10">{#N/A,#N/A,FALSE,"mdr.XLS";"db",#N/A,FALSE,"mdr.XLS";#N/A,#N/A,FALSE,"Forside ";#N/A,#N/A,FALSE,"INVEST.XLS"}</definedName>
    <definedName name="OVERSIGT6">{#N/A,#N/A,FALSE,"mdr.XLS";"db",#N/A,FALSE,"mdr.XLS";#N/A,#N/A,FALSE,"Forside ";#N/A,#N/A,FALSE,"INVEST.XLS"}</definedName>
    <definedName name="owmkib" localSheetId="10" hidden="1">{"detail",#N/A,FALSE,"mfg";"summary",#N/A,FALSE,"mfg"}</definedName>
    <definedName name="owmkib" hidden="1">{"detail",#N/A,FALSE,"mfg";"summary",#N/A,FALSE,"mfg"}</definedName>
    <definedName name="OWN" localSheetId="10">#REF!</definedName>
    <definedName name="OWN">#REF!</definedName>
    <definedName name="OWNER" localSheetId="10" hidden="1">#REF!</definedName>
    <definedName name="OWNER" hidden="1">#REF!</definedName>
    <definedName name="Ownership" localSheetId="10">OFFSET(#REF!,1,0)</definedName>
    <definedName name="Ownership">OFFSET(#REF!,1,0)</definedName>
    <definedName name="Oyster_Bay_Range_X" localSheetId="10">#REF!</definedName>
    <definedName name="Oyster_Bay_Range_X">#REF!</definedName>
    <definedName name="Oyster_Bay_Range_Y" localSheetId="10">#REF!</definedName>
    <definedName name="Oyster_Bay_Range_Y">#REF!</definedName>
    <definedName name="Oyster_bay_Values" localSheetId="10">#REF!</definedName>
    <definedName name="Oyster_bay_Values">#REF!</definedName>
    <definedName name="p"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IRR" hidden="1">#REF!</definedName>
    <definedName name="p.IRR_Titles" hidden="1">#REF!</definedName>
    <definedName name="p.kh" localSheetId="10">{#N/A,#N/A,FALSE,"Heat";#N/A,#N/A,FALSE,"DCF";#N/A,#N/A,FALSE,"LBO";#N/A,#N/A,FALSE,"A";#N/A,#N/A,FALSE,"C";#N/A,#N/A,FALSE,"impd";#N/A,#N/A,FALSE,"Accr-Dilu"}</definedName>
    <definedName name="p.kh">{#N/A,#N/A,FALSE,"Heat";#N/A,#N/A,FALSE,"DCF";#N/A,#N/A,FALSE,"LBO";#N/A,#N/A,FALSE,"A";#N/A,#N/A,FALSE,"C";#N/A,#N/A,FALSE,"impd";#N/A,#N/A,FALSE,"Accr-Dilu"}</definedName>
    <definedName name="P_Location" localSheetId="10">#REF!</definedName>
    <definedName name="P_Location">#REF!</definedName>
    <definedName name="p09i" localSheetId="10"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10" hidden="1">{#N/A,"PURCHM",FALSE,"Business Analysis";#N/A,"SPADD",FALSE,"Business Analysis"}</definedName>
    <definedName name="p0io" hidden="1">{#N/A,"PURCHM",FALSE,"Business Analysis";#N/A,"SPADD",FALSE,"Business Analysis"}</definedName>
    <definedName name="pac" localSheetId="3" hidden="1">{TRUE,TRUE,-1.25,-15.5,456.75,279.75,FALSE,FALSE,TRUE,TRUE,0,1,18,1,199,6,3,4,TRUE,TRUE,3,TRUE,1,TRUE,100,"Swvu.cash.","ACwvu.cash.",1,FALSE,FALSE,0.511811023622047,0.511811023622047,0.511811023622047,0.511811023622047,1,"","",FALSE,FALSE,FALSE,FALSE,1,#N/A,1,1,#DIV/0!,FALSE,"Rwvu.cash.",#N/A,FALSE,FALSE}</definedName>
    <definedName name="pac" localSheetId="11" hidden="1">{TRUE,TRUE,-1.25,-15.5,456.75,279.75,FALSE,FALSE,TRUE,TRUE,0,1,18,1,199,6,3,4,TRUE,TRUE,3,TRUE,1,TRUE,100,"Swvu.cash.","ACwvu.cash.",1,FALSE,FALSE,0.511811023622047,0.511811023622047,0.511811023622047,0.511811023622047,1,"","",FALSE,FALSE,FALSE,FALSE,1,#N/A,1,1,#DIV/0!,FALSE,"Rwvu.cash.",#N/A,FALSE,FALSE}</definedName>
    <definedName name="PAC" hidden="1">0</definedName>
    <definedName name="Pack_Title">#REF!</definedName>
    <definedName name="page01">#REF!</definedName>
    <definedName name="Pal_Workbook_GUID" hidden="1">"BFC1YLD1P7JC935Y43Z4Z365"</definedName>
    <definedName name="pandl">OFFSET(#REF!,1,0)</definedName>
    <definedName name="panther_wrn.test1." localSheetId="10" hidden="1">{"Income Statement",#N/A,FALSE,"CFMODEL";"Balance Sheet",#N/A,FALSE,"CFMODEL"}</definedName>
    <definedName name="panther_wrn.test1." hidden="1">{"Income Statement",#N/A,FALSE,"CFMODEL";"Balance Sheet",#N/A,FALSE,"CFMODEL"}</definedName>
    <definedName name="panther_wrn.test2." localSheetId="10" hidden="1">{"SourcesUses",#N/A,TRUE,"CFMODEL";"TransOverview",#N/A,TRUE,"CFMODEL"}</definedName>
    <definedName name="panther_wrn.test2." hidden="1">{"SourcesUses",#N/A,TRUE,"CFMODEL";"TransOverview",#N/A,TRUE,"CFMODEL"}</definedName>
    <definedName name="panther_wrn.test3." localSheetId="10" hidden="1">{"SourcesUses",#N/A,TRUE,#N/A;"TransOverview",#N/A,TRUE,"CFMODEL"}</definedName>
    <definedName name="panther_wrn.test3." hidden="1">{"SourcesUses",#N/A,TRUE,#N/A;"TransOverview",#N/A,TRUE,"CFMODEL"}</definedName>
    <definedName name="panther_wrn.test4." localSheetId="10" hidden="1">{"SourcesUses",#N/A,TRUE,"FundsFlow";"TransOverview",#N/A,TRUE,"FundsFlow"}</definedName>
    <definedName name="panther_wrn.test4." hidden="1">{"SourcesUses",#N/A,TRUE,"FundsFlow";"TransOverview",#N/A,TRUE,"FundsFlow"}</definedName>
    <definedName name="Param_Year" localSheetId="10">#REF!</definedName>
    <definedName name="Param_Year">#REF!</definedName>
    <definedName name="patty" localSheetId="10">{"PAGE 1",#N/A,FALSE,"WEST_OT"}</definedName>
    <definedName name="patty">{"PAGE 1",#N/A,FALSE,"WEST_OT"}</definedName>
    <definedName name="Paulie"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1"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ymentAdjCodes" localSheetId="10">#REF!</definedName>
    <definedName name="PaymentAdjCodes">#REF!</definedName>
    <definedName name="payments_per_year" localSheetId="10">#REF!</definedName>
    <definedName name="payments_per_year">#REF!</definedName>
    <definedName name="PaymentsPerYear" localSheetId="10">#REF!</definedName>
    <definedName name="PaymentsPerYear">#REF!</definedName>
    <definedName name="payroll">#REF!</definedName>
    <definedName name="Payroll_Analytic">#REF!</definedName>
    <definedName name="Payroll_Analytic2">#REF!</definedName>
    <definedName name="Payroll_Analytic3">#REF!</definedName>
    <definedName name="pb" localSheetId="10"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 localSheetId="10" hidden="1">{"detail",#N/A,FALSE,"mfg";"summary",#N/A,FALSE,"mfg"}</definedName>
    <definedName name="pd" hidden="1">{"detail",#N/A,FALSE,"mfg";"summary",#N/A,FALSE,"mfg"}</definedName>
    <definedName name="peace" hidden="1">0</definedName>
    <definedName name="Pechous" localSheetId="10" hidden="1">{"FY01_Assets",#N/A,FALSE,"Fin Stmt Budget";"FY01_Liabilities",#N/A,FALSE,"Fin Stmt Budget";"FY01_Inc_Stmt",#N/A,FALSE,"Fin Stmt Budget";"FY01_SOCF",#N/A,FALSE,"Fin Stmt Budget"}</definedName>
    <definedName name="Pechous" localSheetId="15" hidden="1">{"FY01_Assets",#N/A,FALSE,"Fin Stmt Budget";"FY01_Liabilities",#N/A,FALSE,"Fin Stmt Budget";"FY01_Inc_Stmt",#N/A,FALSE,"Fin Stmt Budget";"FY01_SOCF",#N/A,FALSE,"Fin Stmt Budget"}</definedName>
    <definedName name="Pechous" hidden="1">{"FY01_Assets",#N/A,FALSE,"Fin Stmt Budget";"FY01_Liabilities",#N/A,FALSE,"Fin Stmt Budget";"FY01_Inc_Stmt",#N/A,FALSE,"Fin Stmt Budget";"FY01_SOCF",#N/A,FALSE,"Fin Stmt Budget"}</definedName>
    <definedName name="Pecos"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0">{#N/A,#N/A,FALSE,"Pharm";#N/A,#N/A,FALSE,"WWCM"}</definedName>
    <definedName name="pepe">{#N/A,#N/A,FALSE,"Pharm";#N/A,#N/A,FALSE,"WWCM"}</definedName>
    <definedName name="PEPE4" localSheetId="10">{#N/A,#N/A,FALSE,"Pharm";#N/A,#N/A,FALSE,"WWCM"}</definedName>
    <definedName name="PEPE4">{#N/A,#N/A,FALSE,"Pharm";#N/A,#N/A,FALSE,"WWCM"}</definedName>
    <definedName name="PEPE5" localSheetId="10">{#N/A,#N/A,FALSE,"Pharm";#N/A,#N/A,FALSE,"WWCM"}</definedName>
    <definedName name="PEPE5">{#N/A,#N/A,FALSE,"Pharm";#N/A,#N/A,FALSE,"WWCM"}</definedName>
    <definedName name="pepe6" localSheetId="10">{#N/A,#N/A,TRUE,"2432"}</definedName>
    <definedName name="pepe6">{#N/A,#N/A,TRUE,"2432"}</definedName>
    <definedName name="Per_Diem">#REF!</definedName>
    <definedName name="perate" localSheetId="10">{#N/A,#N/A,TRUE,"2432"}</definedName>
    <definedName name="perate">{#N/A,#N/A,TRUE,"2432"}</definedName>
    <definedName name="percent_inc" localSheetId="10">#REF!</definedName>
    <definedName name="percent_inc">#REF!</definedName>
    <definedName name="percent_multiplier">100</definedName>
    <definedName name="Period" localSheetId="10">#REF!</definedName>
    <definedName name="Period">#REF!</definedName>
    <definedName name="PeriodEndDate" hidden="1">#REF!</definedName>
    <definedName name="PeriodsInYear">#REF!</definedName>
    <definedName name="perm" localSheetId="10">{"PAGE 1",#N/A,FALSE,"WEST_OT"}</definedName>
    <definedName name="perm">{"PAGE 1",#N/A,FALSE,"WEST_OT"}</definedName>
    <definedName name="perm1" localSheetId="10">{"PAGE 1",#N/A,FALSE,"WEST_OT"}</definedName>
    <definedName name="perm1">{"PAGE 1",#N/A,FALSE,"WEST_OT"}</definedName>
    <definedName name="perm3" localSheetId="10">{"PAGE 1",#N/A,FALSE,"WEST_OT"}</definedName>
    <definedName name="perm3">{"PAGE 1",#N/A,FALSE,"WEST_OT"}</definedName>
    <definedName name="perm4" localSheetId="10">{"PAGE 1",#N/A,FALSE,"WEST_OT"}</definedName>
    <definedName name="perm4">{"PAGE 1",#N/A,FALSE,"WEST_OT"}</definedName>
    <definedName name="perm5" localSheetId="10">{"PAGE 2",#N/A,FALSE,"WEST_OT"}</definedName>
    <definedName name="perm5">{"PAGE 2",#N/A,FALSE,"WEST_OT"}</definedName>
    <definedName name="perm6" localSheetId="10">{"PAGE 2",#N/A,FALSE,"WEST_OT"}</definedName>
    <definedName name="perm6">{"PAGE 2",#N/A,FALSE,"WEST_OT"}</definedName>
    <definedName name="perm7" localSheetId="10">{"PAGE 1",#N/A,FALSE,"WEST_OT"}</definedName>
    <definedName name="perm7">{"PAGE 1",#N/A,FALSE,"WEST_OT"}</definedName>
    <definedName name="perr"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1" localSheetId="10">{#N/A,#N/A,TRUE,"2432"}</definedName>
    <definedName name="perr1">{#N/A,#N/A,TRUE,"2432"}</definedName>
    <definedName name="perr2" localSheetId="10">{#N/A,#N/A,TRUE,"2432"}</definedName>
    <definedName name="perr2">{#N/A,#N/A,TRUE,"2432"}</definedName>
    <definedName name="perr3" localSheetId="10">{#N/A,#N/A,TRUE,"2432"}</definedName>
    <definedName name="perr3">{#N/A,#N/A,TRUE,"2432"}</definedName>
    <definedName name="perr4" localSheetId="10">{#N/A,#N/A,TRUE,"2432"}</definedName>
    <definedName name="perr4">{#N/A,#N/A,TRUE,"2432"}</definedName>
    <definedName name="perr6"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6">{#N/A,#N/A,TRUE,"Trend";#N/A,#N/A,TRUE,"Employee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7" localSheetId="10">{#N/A,#N/A,TRUE,"2432"}</definedName>
    <definedName name="perr7">{#N/A,#N/A,TRUE,"2432"}</definedName>
    <definedName name="perro"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o">{#N/A,#N/A,TRUE,"Trend";#N/A,#N/A,TRUE,"Employee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sonnel" localSheetId="10">#REF!</definedName>
    <definedName name="Personnel">#REF!</definedName>
    <definedName name="Personnel_Expense" localSheetId="10">#REF!</definedName>
    <definedName name="Personnel_Expense">#REF!</definedName>
    <definedName name="pf">"PFTrMult"</definedName>
    <definedName name="pg" localSheetId="10"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_2">#REF!</definedName>
    <definedName name="PG_4">#REF!</definedName>
    <definedName name="PG_5">#REF!</definedName>
    <definedName name="pharma" localSheetId="10">{#N/A,#N/A,FALSE,"Sales Graph";#N/A,#N/A,FALSE,"PSBM";#N/A,#N/A,FALSE,"BUC Graph";#N/A,#N/A,FALSE,"P&amp;L - YTD"}</definedName>
    <definedName name="pharma">{#N/A,#N/A,FALSE,"Sales Graph";#N/A,#N/A,FALSE,"PSBM";#N/A,#N/A,FALSE,"BUC Graph";#N/A,#N/A,FALSE,"P&amp;L - YTD"}</definedName>
    <definedName name="PharmacyNames">#REF!</definedName>
    <definedName name="PharmacyRolloutType">#REF!</definedName>
    <definedName name="PharmaRollouts">#REF!</definedName>
    <definedName name="pi" localSheetId="10" hidden="1">{"oct_res_comm",#N/A,FALSE,"VarToBud"}</definedName>
    <definedName name="pi" hidden="1">{"oct_res_comm",#N/A,FALSE,"VarToBud"}</definedName>
    <definedName name="PILAR" localSheetId="10" hidden="1">{"detail",#N/A,FALSE,"mfg";"summary",#N/A,FALSE,"mfg"}</definedName>
    <definedName name="PILAR" hidden="1">{"detail",#N/A,FALSE,"mfg";"summary",#N/A,FALSE,"mfg"}</definedName>
    <definedName name="pilk" localSheetId="10" hidden="1">{"YD LPH2",#N/A,FALSE,"YTD"}</definedName>
    <definedName name="pilk" hidden="1">{"YD LPH2",#N/A,FALSE,"YTD"}</definedName>
    <definedName name="piu" localSheetId="10" hidden="1">{"AnnInc",#N/A,TRUE,"Inc";"QtrInc1",#N/A,TRUE,"Inc";"Balance",#N/A,TRUE,"Bal";"Cflow",#N/A,TRUE,"Cash"}</definedName>
    <definedName name="piu" hidden="1">{"AnnInc",#N/A,TRUE,"Inc";"QtrInc1",#N/A,TRUE,"Inc";"Balance",#N/A,TRUE,"Bal";"Cflow",#N/A,TRUE,"Cash"}</definedName>
    <definedName name="pk" localSheetId="10"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kg.gom" localSheetId="10" hidden="1">{"2000PPE",#N/A,FALSE,"PPE 2000";"2000DD",#N/A,FALSE,"DrydocksOther"}</definedName>
    <definedName name="pkg.gom" hidden="1">{"2000PPE",#N/A,FALSE,"PPE 2000";"2000DD",#N/A,FALSE,"DrydocksOther"}</definedName>
    <definedName name="pl" localSheetId="10">{#N/A,#N/A,FALSE,"REPORT"}</definedName>
    <definedName name="pl">{#N/A,#N/A,FALSE,"REPORT"}</definedName>
    <definedName name="PL5YRP" localSheetId="10" hidden="1">{"ebitda",#N/A,FALSE,"EBITDA";"consolidated",#N/A,FALSE,"CCC PL";"divisions",#N/A,FALSE,"Divisions"}</definedName>
    <definedName name="PL5YRP" localSheetId="15" hidden="1">{"ebitda",#N/A,FALSE,"EBITDA";"consolidated",#N/A,FALSE,"CCC PL";"divisions",#N/A,FALSE,"Divisions"}</definedName>
    <definedName name="PL5YRP" hidden="1">{"ebitda",#N/A,FALSE,"EBITDA";"consolidated",#N/A,FALSE,"CCC PL";"divisions",#N/A,FALSE,"Divisions"}</definedName>
    <definedName name="plan" localSheetId="10">{#N/A,#N/A,FALSE,"BalSheet 0899";#N/A,#N/A,FALSE,"ytdpl899";#N/A,#N/A,FALSE,"Aug PL";#N/A,#N/A,FALSE,"Minority Int";#N/A,#N/A,FALSE,"Equity Roll Forward";#N/A,#N/A,FALSE,"Book Equity Test"}</definedName>
    <definedName name="plan">{#N/A,#N/A,FALSE,"BalSheet 0899";#N/A,#N/A,FALSE,"ytdpl899";#N/A,#N/A,FALSE,"Aug PL";#N/A,#N/A,FALSE,"Minority Int";#N/A,#N/A,FALSE,"Equity Roll Forward";#N/A,#N/A,FALSE,"Book Equity Test"}</definedName>
    <definedName name="plan2" localSheetId="10" hidden="1">{#N/A,#N/A,FALSE,"SUMMTH"}</definedName>
    <definedName name="plan2" hidden="1">{#N/A,#N/A,FALSE,"SUMMTH"}</definedName>
    <definedName name="plan3" localSheetId="10" hidden="1">{#N/A,#N/A,FALSE,"SUMMTH"}</definedName>
    <definedName name="plan3" hidden="1">{#N/A,#N/A,FALSE,"SUMMTH"}</definedName>
    <definedName name="Planner" localSheetId="10">{#N/A,#N/A,TRUE,"2432"}</definedName>
    <definedName name="Planner">{#N/A,#N/A,TRUE,"2432"}</definedName>
    <definedName name="planning" localSheetId="10">{#N/A,#N/A,FALSE,"BalSheet 0899";#N/A,#N/A,FALSE,"ytdpl899";#N/A,#N/A,FALSE,"Aug PL";#N/A,#N/A,FALSE,"Minority Int";#N/A,#N/A,FALSE,"Equity Roll Forward";#N/A,#N/A,FALSE,"Book Equity Test"}</definedName>
    <definedName name="planning">{#N/A,#N/A,FALSE,"BalSheet 0899";#N/A,#N/A,FALSE,"ytdpl899";#N/A,#N/A,FALSE,"Aug PL";#N/A,#N/A,FALSE,"Minority Int";#N/A,#N/A,FALSE,"Equity Roll Forward";#N/A,#N/A,FALSE,"Book Equity Test"}</definedName>
    <definedName name="Plant">#REF!</definedName>
    <definedName name="PlanVLE" localSheetId="10" hidden="1">{#N/A,#N/A,FALSE,"SUMMARY";#N/A,#N/A,FALSE,"mcsh";#N/A,#N/A,FALSE,"vol&amp;rev";#N/A,#N/A,FALSE,"wkgcap";#N/A,#N/A,FALSE,"DEPR&amp;DT";#N/A,#N/A,FALSE,"ASSETS";#N/A,#N/A,FALSE,"NI&amp;OTH&amp;DIV";#N/A,#N/A,FALSE,"CASHFLOW";#N/A,#N/A,FALSE,"CAPEMPL";#N/A,#N/A,FALSE,"ROCE"}</definedName>
    <definedName name="PlanVLE" localSheetId="15"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stics" localSheetId="10"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stics" localSheetId="15"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Cepi" localSheetId="10">{#N/A,#N/A,FALSE,"REPORT"}</definedName>
    <definedName name="PLCepi">{#N/A,#N/A,FALSE,"REPORT"}</definedName>
    <definedName name="please" localSheetId="10" hidden="1">{"SCM_Detail",#N/A,FALSE,"SCM";"SCM_Top",#N/A,FALSE,"SCM"}</definedName>
    <definedName name="please" hidden="1">{"SCM_Detail",#N/A,FALSE,"SCM";"SCM_Top",#N/A,FALSE,"SCM"}</definedName>
    <definedName name="pli" localSheetId="10" hidden="1">{"NOPCAPEVA",#N/A,FALSE,"Nopat";"FCFCSTAR",#N/A,FALSE,"FCFVAL";"EVAVL",#N/A,FALSE,"EVAVAL";"LEASE",#N/A,FALSE,"OpLease"}</definedName>
    <definedName name="pli" hidden="1">{"NOPCAPEVA",#N/A,FALSE,"Nopat";"FCFCSTAR",#N/A,FALSE,"FCFVAL";"EVAVL",#N/A,FALSE,"EVAVAL";"LEASE",#N/A,FALSE,"OpLease"}</definedName>
    <definedName name="ploi" localSheetId="10">{#N/A,#N/A,FALSE,"Assump2";#N/A,#N/A,FALSE,"Income2";#N/A,#N/A,FALSE,"Balance2";#N/A,#N/A,FALSE,"DCF Filter";#N/A,#N/A,FALSE,"Trans Assump2";#N/A,#N/A,FALSE,"Combined Income2";#N/A,#N/A,FALSE,"Combined Balance2"}</definedName>
    <definedName name="ploi">{#N/A,#N/A,FALSE,"Assump2";#N/A,#N/A,FALSE,"Income2";#N/A,#N/A,FALSE,"Balance2";#N/A,#N/A,FALSE,"DCF Filter";#N/A,#N/A,FALSE,"Trans Assump2";#N/A,#N/A,FALSE,"Combined Income2";#N/A,#N/A,FALSE,"Combined Balance2"}</definedName>
    <definedName name="PLProcef" localSheetId="10">{#N/A,#N/A,FALSE,"REPORT"}</definedName>
    <definedName name="PLProcef">{#N/A,#N/A,FALSE,"REPORT"}</definedName>
    <definedName name="PLTaxol" localSheetId="10">{#N/A,#N/A,FALSE,"REPORT"}</definedName>
    <definedName name="PLTaxol">{#N/A,#N/A,FALSE,"REPORT"}</definedName>
    <definedName name="ply" localSheetId="10" hidden="1">#REF!</definedName>
    <definedName name="ply" localSheetId="9" hidden="1">#REF!</definedName>
    <definedName name="ply" localSheetId="8" hidden="1">#REF!</definedName>
    <definedName name="ply" localSheetId="16" hidden="1">#REF!</definedName>
    <definedName name="ply" hidden="1">#REF!</definedName>
    <definedName name="plywood" localSheetId="10" hidden="1">#REF!</definedName>
    <definedName name="plywood" localSheetId="9" hidden="1">#REF!</definedName>
    <definedName name="plywood" localSheetId="8" hidden="1">#REF!</definedName>
    <definedName name="plywood" localSheetId="16" hidden="1">#REF!</definedName>
    <definedName name="plywood" hidden="1">#REF!</definedName>
    <definedName name="pm" localSheetId="10" hidden="1">{"AnnInc",#N/A,TRUE,"Inc";"QtrInc1",#N/A,TRUE,"Inc";"Balance",#N/A,TRUE,"Bal";"Cflow",#N/A,TRUE,"Cash"}</definedName>
    <definedName name="pm" hidden="1">{"AnnInc",#N/A,TRUE,"Inc";"QtrInc1",#N/A,TRUE,"Inc";"Balance",#N/A,TRUE,"Bal";"Cflow",#N/A,TRUE,"Cash"}</definedName>
    <definedName name="Pnl" localSheetId="10">{#N/A,#N/A,FALSE,"Pharm";#N/A,#N/A,FALSE,"WWCM"}</definedName>
    <definedName name="Pnl">{#N/A,#N/A,FALSE,"Pharm";#N/A,#N/A,FALSE,"WWCM"}</definedName>
    <definedName name="pnsji5" localSheetId="10" hidden="1">{#N/A,"PURCHM",FALSE,"Business Analysis";#N/A,"SPADD",FALSE,"Business Analysis"}</definedName>
    <definedName name="pnsji5" hidden="1">{#N/A,"PURCHM",FALSE,"Business Analysis";#N/A,"SPADD",FALSE,"Business Analysis"}</definedName>
    <definedName name="po"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c" localSheetId="10"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 localSheetId="10" hidden="1">{#N/A,#N/A,FALSE,"PL-FS";#N/A,#N/A,FALSE,"PL"}</definedName>
    <definedName name="poi" localSheetId="15" hidden="1">{#N/A,#N/A,FALSE,"PL-FS";#N/A,#N/A,FALSE,"PL"}</definedName>
    <definedName name="poi" hidden="1">{#N/A,#N/A,FALSE,"PL-FS";#N/A,#N/A,FALSE,"PL"}</definedName>
    <definedName name="poiu" localSheetId="10"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10" hidden="1">{"QTD_LOUISIANA",#N/A,FALSE,"QTD"}</definedName>
    <definedName name="pokj" hidden="1">{"QTD_LOUISIANA",#N/A,FALSE,"QTD"}</definedName>
    <definedName name="poo"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Pt" hidden="1">#REF!</definedName>
    <definedName name="poop" localSheetId="10" hidden="1">{#N/A,#N/A,FALSE,"Set-Up";#N/A,#N/A,FALSE,"Comparison";#N/A,#N/A,FALSE,"AR";#N/A,#N/A,FALSE,"Inv";#N/A,#N/A,FALSE,"Concentrations";#N/A,#N/A,FALSE,"Past Dues";#N/A,#N/A,FALSE,"Trends";#N/A,#N/A,FALSE,"AR Trends";#N/A,#N/A,FALSE,"Inv Trends"}</definedName>
    <definedName name="poop" localSheetId="15"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 localSheetId="10" hidden="1">{"vfinance",#N/A,FALSE,"Finance"}</definedName>
    <definedName name="pop" hidden="1">{"vfinance",#N/A,FALSE,"Finance"}</definedName>
    <definedName name="PopCache_GL_INTERFACE_REFERENCE7" hidden="1">#REF!</definedName>
    <definedName name="port29" localSheetId="10">{#N/A,#N/A,FALSE,"Pharm";#N/A,#N/A,FALSE,"WWCM"}</definedName>
    <definedName name="port29">{#N/A,#N/A,FALSE,"Pharm";#N/A,#N/A,FALSE,"WWCM"}</definedName>
    <definedName name="poso_wrn.test1." localSheetId="10" hidden="1">{"Income Statement",#N/A,FALSE,"CFMODEL";"Balance Sheet",#N/A,FALSE,"CFMODEL"}</definedName>
    <definedName name="poso_wrn.test1." hidden="1">{"Income Statement",#N/A,FALSE,"CFMODEL";"Balance Sheet",#N/A,FALSE,"CFMODEL"}</definedName>
    <definedName name="poso_wrn.test2." localSheetId="10" hidden="1">{"SourcesUses",#N/A,TRUE,"CFMODEL";"TransOverview",#N/A,TRUE,"CFMODEL"}</definedName>
    <definedName name="poso_wrn.test2." hidden="1">{"SourcesUses",#N/A,TRUE,"CFMODEL";"TransOverview",#N/A,TRUE,"CFMODEL"}</definedName>
    <definedName name="poso_wrn.test3." localSheetId="10" hidden="1">{"SourcesUses",#N/A,TRUE,#N/A;"TransOverview",#N/A,TRUE,"CFMODEL"}</definedName>
    <definedName name="poso_wrn.test3." hidden="1">{"SourcesUses",#N/A,TRUE,#N/A;"TransOverview",#N/A,TRUE,"CFMODEL"}</definedName>
    <definedName name="poso_wrn.test4." localSheetId="10" hidden="1">{"SourcesUses",#N/A,TRUE,"FundsFlow";"TransOverview",#N/A,TRUE,"FundsFlow"}</definedName>
    <definedName name="poso_wrn.test4." hidden="1">{"SourcesUses",#N/A,TRUE,"FundsFlow";"TransOverview",#N/A,TRUE,"FundsFlow"}</definedName>
    <definedName name="Post_Sale_Income" localSheetId="10">#REF!</definedName>
    <definedName name="Post_Sale_Income">#REF!</definedName>
    <definedName name="POW" localSheetId="10" hidden="1">{#N/A,#N/A,FALSE,"PRO FORMA FINANCIALS"}</definedName>
    <definedName name="POW" hidden="1">{#N/A,#N/A,FALSE,"PRO FORMA FINANCIALS"}</definedName>
    <definedName name="powq" localSheetId="10" hidden="1">{#N/A,"PURCHM",FALSE,"Business Analysis";#N/A,"SPADD",FALSE,"Business Analysis"}</definedName>
    <definedName name="powq" hidden="1">{#N/A,"PURCHM",FALSE,"Business Analysis";#N/A,"SPADD",FALSE,"Business Analysis"}</definedName>
    <definedName name="pp" localSheetId="10" hidden="1">{#N/A,#N/A,FALSE,"Calc";#N/A,#N/A,FALSE,"Sensitivity";#N/A,#N/A,FALSE,"LT Earn.Dil.";#N/A,#N/A,FALSE,"Dil. AVP"}</definedName>
    <definedName name="pp" localSheetId="15" hidden="1">{#N/A,#N/A,FALSE,"Calc";#N/A,#N/A,FALSE,"Sensitivity";#N/A,#N/A,FALSE,"LT Earn.Dil.";#N/A,#N/A,FALSE,"Dil. AVP"}</definedName>
    <definedName name="pp" hidden="1">{#N/A,#N/A,FALSE,"Calc";#N/A,#N/A,FALSE,"Sensitivity";#N/A,#N/A,FALSE,"LT Earn.Dil.";#N/A,#N/A,FALSE,"Dil. AVP"}</definedName>
    <definedName name="PPE" localSheetId="10">#REF!</definedName>
    <definedName name="PPE">#REF!</definedName>
    <definedName name="ppo" localSheetId="10" hidden="1">{"YD LOUISIANA",#N/A,FALSE,"YTD"}</definedName>
    <definedName name="ppo" hidden="1">{"YD LOUISIANA",#N/A,FALSE,"YTD"}</definedName>
    <definedName name="ppp" localSheetId="10" hidden="1">{#N/A,#N/A,FALSE,"Umsatz CH";#N/A,#N/A,FALSE,"ER CH";#N/A,#N/A,FALSE,"EA CH (2) ";#N/A,#N/A,FALSE,"EA CH";#N/A,#N/A,FALSE,"EA CH (3) ";#N/A,#N/A,FALSE,"EA CH (4)";#N/A,#N/A,FALSE,"KA CH";#N/A,#N/A,FALSE,"KA CH  (2)";#N/A,#N/A,FALSE,"KA CH  (3)";#N/A,#N/A,FALSE,"KA CH (4)"}</definedName>
    <definedName name="ppp" hidden="1">{#N/A,#N/A,FALSE,"Umsatz CH";#N/A,#N/A,FALSE,"ER CH";#N/A,#N/A,FALSE,"EA CH (2) ";#N/A,#N/A,FALSE,"EA CH";#N/A,#N/A,FALSE,"EA CH (3) ";#N/A,#N/A,FALSE,"EA CH (4)";#N/A,#N/A,FALSE,"KA CH";#N/A,#N/A,FALSE,"KA CH  (2)";#N/A,#N/A,FALSE,"KA CH  (3)";#N/A,#N/A,FALSE,"KA CH (4)"}</definedName>
    <definedName name="ppr">#REF!</definedName>
    <definedName name="pqmjuz" localSheetId="10" hidden="1">{"detail",#N/A,FALSE,"mfg";"summary",#N/A,FALSE,"mfg"}</definedName>
    <definedName name="pqmjuz" hidden="1">{"detail",#N/A,FALSE,"mfg";"summary",#N/A,FALSE,"mfg"}</definedName>
    <definedName name="Practice" localSheetId="10" hidden="1">#REF!</definedName>
    <definedName name="Practice" hidden="1">#REF!</definedName>
    <definedName name="PracticeName">#REF!</definedName>
    <definedName name="PracticeRegion">#REF!</definedName>
    <definedName name="PremiumPaidSUmmary" localSheetId="10">{#N/A,#N/A,FALSE,"Projections";#N/A,#N/A,FALSE,"Multiples Valuation";#N/A,#N/A,FALSE,"LBO";#N/A,#N/A,FALSE,"Multiples_Sensitivity";#N/A,#N/A,FALSE,"Summary"}</definedName>
    <definedName name="PremiumPaidSUmmary">{#N/A,#N/A,FALSE,"Projections";#N/A,#N/A,FALSE,"Multiples Valuation";#N/A,#N/A,FALSE,"LBO";#N/A,#N/A,FALSE,"Multiples_Sensitivity";#N/A,#N/A,FALSE,"Summary"}</definedName>
    <definedName name="Prepaid_Expenses">#REF!</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Range" hidden="1">OFFSET(#REF!,5,0,COUNTA(#REF!)-COUNTA(#REF!),1)</definedName>
    <definedName name="PriceRangeMain" hidden="1">#REF!</definedName>
    <definedName name="Prime" localSheetId="10">#REF!</definedName>
    <definedName name="Prime">#REF!</definedName>
    <definedName name="print" localSheetId="10">#REF!</definedName>
    <definedName name="print">#REF!</definedName>
    <definedName name="Print_Are_Reset_2" localSheetId="10">OFFSET(Full_Print,0,0,#REF!)</definedName>
    <definedName name="Print_Are_Reset_2">OFFSET(Full_Print,0,0,#REF!)</definedName>
    <definedName name="_xlnm.Print_Area" localSheetId="14">'Lead PL'!$A$1:$H$27</definedName>
    <definedName name="_xlnm.Print_Area" localSheetId="4">'Lead QE'!$A$1:$AP$30</definedName>
    <definedName name="_xlnm.Print_Area" localSheetId="10">'Other Recast'!$B$1:$S$27</definedName>
    <definedName name="_xlnm.Print_Area" localSheetId="15">PL!$A$1:$AR$104</definedName>
    <definedName name="_xlnm.Print_Area" localSheetId="12">'Proof of Revenue'!$A$1:$O$37</definedName>
    <definedName name="_xlnm.Print_Area" localSheetId="3">'QE &amp; Support &gt;&gt;&gt;'!$A$1:$B$31</definedName>
    <definedName name="_xlnm.Print_Area" localSheetId="6">'QE Detail - MGMT.'!$A$1:$AN$92</definedName>
    <definedName name="_xlnm.Print_Area" localSheetId="9">'Recast Mgmt. Adjusted'!$A$1:$AM$100</definedName>
    <definedName name="_xlnm.Print_Area" localSheetId="8">'Recast Reported'!$A$1:$AM$100</definedName>
    <definedName name="_xlnm.Print_Area" localSheetId="11">'Reconciliations &gt;&gt;&gt;'!$A$1:$A$31</definedName>
    <definedName name="_xlnm.Print_Area">#REF!</definedName>
    <definedName name="Print_Area_1" localSheetId="10">#REF!</definedName>
    <definedName name="Print_Area_1">#REF!</definedName>
    <definedName name="Print_Area_10">#REF!</definedName>
    <definedName name="Print_Area_10001">#REF!</definedName>
    <definedName name="Print_Area_11">#REF!</definedName>
    <definedName name="Print_Area_12">#REF!</definedName>
    <definedName name="Print_Area_13">#REF!</definedName>
    <definedName name="Print_Area_14">#REF!</definedName>
    <definedName name="Print_Area_15">#REF!</definedName>
    <definedName name="Print_Area_16">#REF!</definedName>
    <definedName name="Print_Area_17">#REF!</definedName>
    <definedName name="Print_Area_18">#REF!</definedName>
    <definedName name="Print_Area_19">#REF!</definedName>
    <definedName name="Print_Area_1a">#REF!,#REF!,#REF!,#REF!,#REF!,#REF!</definedName>
    <definedName name="Print_Area_2">#REF!</definedName>
    <definedName name="Print_Area_3">#REF!</definedName>
    <definedName name="Print_Area_311">#REF!</definedName>
    <definedName name="Print_Area_4">#REF!</definedName>
    <definedName name="Print_Area_5">#REF!</definedName>
    <definedName name="Print_Area_6">#REF!</definedName>
    <definedName name="Print_Area_7">#REF!</definedName>
    <definedName name="Print_Area_8">#REF!</definedName>
    <definedName name="Print_Area_9">#REF!</definedName>
    <definedName name="Print_Area_99">#REF!</definedName>
    <definedName name="Print_Area_apd">#REF!</definedName>
    <definedName name="Print_Area_Clients">#REF!</definedName>
    <definedName name="Print_area_dept">#REF!,#REF!</definedName>
    <definedName name="Print_Area_E_A">#REF!</definedName>
    <definedName name="Print_Area_FL">#REF!</definedName>
    <definedName name="Print_Area_in_Tank">#REF!,#REF!</definedName>
    <definedName name="Print_Area_KTX">#REF!</definedName>
    <definedName name="Print_Area_MI">#REF!</definedName>
    <definedName name="Print_Area_new">#REF!</definedName>
    <definedName name="Print_Area_PR">#REF!</definedName>
    <definedName name="Print_Area_Reset" localSheetId="10">OFFSET(Full_Print,0,0,Last_Row)</definedName>
    <definedName name="Print_Area_Reset">OFFSET(Full_Print,0,0,[0]!Last_Row)</definedName>
    <definedName name="Print_Area_Reset1">#N/A</definedName>
    <definedName name="Print_Area_sh_2">#REF!</definedName>
    <definedName name="Print_Area_sh3">#REF!</definedName>
    <definedName name="Print_Area_TAX">#REF!</definedName>
    <definedName name="Print_Area_tsd">#REF!</definedName>
    <definedName name="Print_Area1">#REF!</definedName>
    <definedName name="Print_Area2">#REF!</definedName>
    <definedName name="Print_Area3">#REF!</definedName>
    <definedName name="Print_Area4">#REF!</definedName>
    <definedName name="Print_Areaa">#REF!</definedName>
    <definedName name="Print_AreafromIntercomm">#REF!</definedName>
    <definedName name="Print_Areanew">#REF!</definedName>
    <definedName name="Print_Areasensefromintercomm">#REF!</definedName>
    <definedName name="Print_CSC_Report_2" localSheetId="10" hidden="1">{"CSC_1",#N/A,FALSE,"CSC Outputs";"CSC_2",#N/A,FALSE,"CSC Outputs"}</definedName>
    <definedName name="Print_CSC_Report_2" localSheetId="15" hidden="1">{"CSC_1",#N/A,FALSE,"CSC Outputs";"CSC_2",#N/A,FALSE,"CSC Outputs"}</definedName>
    <definedName name="Print_CSC_Report_2" hidden="1">{"CSC_1",#N/A,FALSE,"CSC Outputs";"CSC_2",#N/A,FALSE,"CSC Outputs"}</definedName>
    <definedName name="Print_CSC_Report_3">#REF!</definedName>
    <definedName name="Print_Macro" localSheetId="10">#REF!</definedName>
    <definedName name="Print_Macro">#REF!</definedName>
    <definedName name="_xlnm.Print_Titles" localSheetId="10">'Other Recast'!$B:$B,'Other Recast'!$1:$3</definedName>
    <definedName name="_xlnm.Print_Titles">#REF!</definedName>
    <definedName name="Print_Titles_2" localSheetId="10">#REF!</definedName>
    <definedName name="Print_Titles_2">#REF!</definedName>
    <definedName name="Print_Titles_MI">#REF!</definedName>
    <definedName name="print1">FALSE</definedName>
    <definedName name="print3" localSheetId="10">{#N/A,#N/A,FALSE,"Summary";#N/A,#N/A,FALSE,"Edit";#N/A,#N/A,FALSE,"MedProf";#N/A,#N/A,FALSE,"Proj Mgt";#N/A,#N/A,FALSE,"Creat Svc";#N/A,#N/A,FALSE,"Meet Svc";#N/A,#N/A,FALSE,"Non-OCC";#N/A,#N/A,FALSE,"Client Svc";#N/A,#N/A,FALSE,"Bus Dev";#N/A,#N/A,FALSE,"Indirect"}</definedName>
    <definedName name="print3">{#N/A,#N/A,FALSE,"Summary";#N/A,#N/A,FALSE,"Edit";#N/A,#N/A,FALSE,"MedProf";#N/A,#N/A,FALSE,"Proj Mgt";#N/A,#N/A,FALSE,"Creat Svc";#N/A,#N/A,FALSE,"Meet Svc";#N/A,#N/A,FALSE,"Non-OCC";#N/A,#N/A,FALSE,"Client Svc";#N/A,#N/A,FALSE,"Bus Dev";#N/A,#N/A,FALSE,"Indirect"}</definedName>
    <definedName name="print4">#REF!</definedName>
    <definedName name="printalloc" localSheetId="10">#REF!</definedName>
    <definedName name="printalloc">#REF!</definedName>
    <definedName name="Printarea" localSheetId="10">#REF!</definedName>
    <definedName name="Printarea">#REF!</definedName>
    <definedName name="PrintArea_SET" localSheetId="10">OFFSET(#REF!,,,'Other Recast'!LastRow,'Other Recast'!LastCol)</definedName>
    <definedName name="PrintArea_SET">OFFSET(#REF!,,,LastRow,LastCol)</definedName>
    <definedName name="PRINTCMON">#REF!</definedName>
    <definedName name="PrintConsolPage">#REF!</definedName>
    <definedName name="PrintDetailPages">#REF!</definedName>
    <definedName name="PRINTMTG">#REF!</definedName>
    <definedName name="PrintPages">#REF!</definedName>
    <definedName name="PrintPreview">#REF!</definedName>
    <definedName name="PrintRange">INDIRECT("Print!$B$2:$B$900")</definedName>
    <definedName name="PrintRegisterReceipt">#REF!</definedName>
    <definedName name="Priority">#REF!</definedName>
    <definedName name="pro" hidden="1">#REF!</definedName>
    <definedName name="Procef" localSheetId="10">{#N/A,#N/A,FALSE,"Pharm";#N/A,#N/A,FALSE,"WWCM"}</definedName>
    <definedName name="Procef">{#N/A,#N/A,FALSE,"Pharm";#N/A,#N/A,FALSE,"WWCM"}</definedName>
    <definedName name="prod" localSheetId="10">{#N/A,#N/A,FALSE,"Pharm";#N/A,#N/A,FALSE,"WWCM"}</definedName>
    <definedName name="prod">{#N/A,#N/A,FALSE,"Pharm";#N/A,#N/A,FALSE,"WWCM"}</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DN_delete_prior" hidden="1">#REF!</definedName>
    <definedName name="Product_DN_members" hidden="1">#REF!</definedName>
    <definedName name="product_master">#REF!</definedName>
    <definedName name="Product_RX_delete_prior" hidden="1">#REF!</definedName>
    <definedName name="Product_RX_members" hidden="1">#REF!</definedName>
    <definedName name="Product22" hidden="1">#REF!</definedName>
    <definedName name="profimp2" localSheetId="10">{"PAGE 1",#N/A,FALSE,"WEST_OT"}</definedName>
    <definedName name="profimp2">{"PAGE 1",#N/A,FALSE,"WEST_OT"}</definedName>
    <definedName name="profimp3" localSheetId="10">{"PAGE 2",#N/A,FALSE,"WEST_OT"}</definedName>
    <definedName name="profimp3">{"PAGE 2",#N/A,FALSE,"WEST_OT"}</definedName>
    <definedName name="profimp5" localSheetId="10">{"PAGE 1",#N/A,FALSE,"WEST_OT"}</definedName>
    <definedName name="profimp5">{"PAGE 1",#N/A,FALSE,"WEST_OT"}</definedName>
    <definedName name="profimptest" localSheetId="10">{"PAGE 2",#N/A,FALSE,"WEST_OT"}</definedName>
    <definedName name="profimptest">{"PAGE 2",#N/A,FALSE,"WEST_OT"}</definedName>
    <definedName name="Profit_and_Loss_account">#REF!</definedName>
    <definedName name="Profit_share" localSheetId="10">#REF!</definedName>
    <definedName name="Profit_share">#REF!</definedName>
    <definedName name="ProImportExport.ImportFile">#REF!</definedName>
    <definedName name="ProImportExport.SaveNewFile">#REF!</definedName>
    <definedName name="Project" localSheetId="10">#REF!</definedName>
    <definedName name="Project">'STOC Accounting Diligence Datab'!$B$14</definedName>
    <definedName name="Projections" localSheetId="10">#REF!</definedName>
    <definedName name="Projections">#REF!</definedName>
    <definedName name="ProjectName" localSheetId="10">{"Client Name or Project Name"}</definedName>
    <definedName name="ProjectName">{"Client Name or Project Name"}</definedName>
    <definedName name="prolinks_08f648e04a9e43569a2af37c57ba6687" hidden="1">#REF!</definedName>
    <definedName name="prolinks_15078f2c781e46f98610759980e9e253" hidden="1">#REF!</definedName>
    <definedName name="prolinks_1e59559e0c30420781aab95e649f4099" hidden="1">#REF!</definedName>
    <definedName name="prolinks_2130ee1bfc2042d7ab9ea82810e577a5" hidden="1">#REF!</definedName>
    <definedName name="prolinks_30fd480208564f1a988495963224d81a" hidden="1">#REF!</definedName>
    <definedName name="prolinks_330565dcae284d78a2ef0f36165de19c" hidden="1">#REF!</definedName>
    <definedName name="prolinks_35aec46c569b4274b494bca493bee6b8" hidden="1">#REF!</definedName>
    <definedName name="prolinks_39784ef8d3e84289ad539f7814dd4703" hidden="1">#REF!</definedName>
    <definedName name="prolinks_4da1e4e0b3d74a8297a3f264bfec0abf" hidden="1">#REF!</definedName>
    <definedName name="prolinks_4f2efd6fdf96413cb999dfc288c1eab6" hidden="1">#REF!</definedName>
    <definedName name="prolinks_4f65cf5de1aa47bb94bf2f658def0846" hidden="1">#REF!</definedName>
    <definedName name="prolinks_55441058bec141cdb68bc4b6601c3efe" hidden="1">#REF!</definedName>
    <definedName name="prolinks_574c1d3a260f417398c0d03b2e7fa9d8" hidden="1">#REF!</definedName>
    <definedName name="prolinks_5bba96fdc2ab4e3eba05298c5e14ae89" hidden="1">#REF!</definedName>
    <definedName name="prolinks_62337b5ffd7545efba8ced59d07e5c43" hidden="1">#REF!</definedName>
    <definedName name="prolinks_65c3b4d07cd742279a92ff96d1acd92a" hidden="1">#REF!</definedName>
    <definedName name="prolinks_6d57f8625e444f0e9dd0bd0b28e349b0" hidden="1">#REF!</definedName>
    <definedName name="prolinks_753e54b4b42645dcaec1fa7bf37e0280" hidden="1">#REF!</definedName>
    <definedName name="prolinks_a7b682aca9c34aef9749b35792db05c8" hidden="1">#REF!</definedName>
    <definedName name="prolinks_abffdd6d20f34f82984293886fefeb8f" hidden="1">#REF!</definedName>
    <definedName name="prolinks_c47b20fbc3244430b6ed107414f315eb" hidden="1">#REF!</definedName>
    <definedName name="prolinks_cc849867740649a9aa9367009a261ec4" hidden="1">#REF!</definedName>
    <definedName name="prolinks_e361f39ae3bd4962b4b379a6569e0ac8" hidden="1">#REF!</definedName>
    <definedName name="prolinks_e5762012b86b4de98aad8d97f719c6a9" hidden="1">#REF!</definedName>
    <definedName name="prolinks_f7cba6907b2e4e5ca9758fe19684d4a2" hidden="1">#REF!</definedName>
    <definedName name="prolinks_fb8a41fd3449468d98214bc4a6634e43" hidden="1">#REF!</definedName>
    <definedName name="ProList">#REF!</definedName>
    <definedName name="ProofOfCash">#REF!</definedName>
    <definedName name="prova"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der_Network_Exp_Dental_Range" hidden="1">#REF!</definedName>
    <definedName name="Provider_Network_Exp_Medical_Range" hidden="1">#REF!</definedName>
    <definedName name="PrYTD">#REF!</definedName>
    <definedName name="PS_Department">#REF!</definedName>
    <definedName name="PS_Role">#REF!</definedName>
    <definedName name="PUB_FileID" hidden="1">"L10003787.xls"</definedName>
    <definedName name="PUB_UserID" hidden="1">"MAYERX"</definedName>
    <definedName name="pucspadd42" localSheetId="10" hidden="1">{#N/A,"PURCHM",FALSE,"Business Analysis";#N/A,"SPADD",FALSE,"Business Analysis"}</definedName>
    <definedName name="pucspadd42" hidden="1">{#N/A,"PURCHM",FALSE,"Business Analysis";#N/A,"SPADD",FALSE,"Business Analysis"}</definedName>
    <definedName name="pupi" localSheetId="10" hidden="1">{"YD OTHER",#N/A,FALSE,"YTD"}</definedName>
    <definedName name="pupi" hidden="1">{"YD OTHER",#N/A,FALSE,"YTD"}</definedName>
    <definedName name="püpoüpoüpo" localSheetId="10"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10" hidden="1">{#N/A,#N/A,FALSE,"Umsatz 99";#N/A,#N/A,FALSE,"ER 99 "}</definedName>
    <definedName name="püpü" hidden="1">{#N/A,#N/A,FALSE,"Umsatz 99";#N/A,#N/A,FALSE,"ER 99 "}</definedName>
    <definedName name="Purchases" hidden="1">#REF!</definedName>
    <definedName name="pvd" localSheetId="10" hidden="1">{"AnnInc",#N/A,TRUE,"Inc";"QtrInc1",#N/A,TRUE,"Inc";"Balance",#N/A,TRUE,"Bal";"Cflow",#N/A,TRUE,"Cash"}</definedName>
    <definedName name="pvd" hidden="1">{"AnnInc",#N/A,TRUE,"Inc";"QtrInc1",#N/A,TRUE,"Inc";"Balance",#N/A,TRUE,"Bal";"Cflow",#N/A,TRUE,"Cash"}</definedName>
    <definedName name="PY_Common_Equity" localSheetId="10">#REF!</definedName>
    <definedName name="PY_Common_Equity">#REF!</definedName>
    <definedName name="PY_Depreciation" localSheetId="10">#REF!</definedName>
    <definedName name="PY_Depreciation">#REF!</definedName>
    <definedName name="PY_Intangible_Assets" localSheetId="10">#REF!</definedName>
    <definedName name="PY_Intangible_Assets">#REF!</definedName>
    <definedName name="PY_Interest_Expense">#REF!</definedName>
    <definedName name="PY_LT_Debt">#REF!</definedName>
    <definedName name="PY_Market_Value_of_Equity">#REF!</definedName>
    <definedName name="PY_Marketable_Sec">#REF!</definedName>
    <definedName name="PY_Other_Exp">#REF!</definedName>
    <definedName name="PY_Selling">#REF!</definedName>
    <definedName name="PY_Tangible_Net_Worth">#REF!</definedName>
    <definedName name="PY2_Common_Equity">#REF!</definedName>
    <definedName name="PY2_Depreciation">#REF!</definedName>
    <definedName name="PY2_Intangible_Assets">#REF!</definedName>
    <definedName name="PY2_Interest_Expense">#REF!</definedName>
    <definedName name="PY2_LT_Debt">#REF!</definedName>
    <definedName name="PY2_Marketable_Sec">#REF!</definedName>
    <definedName name="PY2_Other_Exp.">#REF!</definedName>
    <definedName name="PY2_Selling">#REF!</definedName>
    <definedName name="PY2_Tangible_Net_Worth">#REF!</definedName>
    <definedName name="pz" localSheetId="10"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q" localSheetId="10" hidden="1">{"FCB_ALL",#N/A,FALSE,"FCB"}</definedName>
    <definedName name="q" localSheetId="15" hidden="1">{"FCB_ALL",#N/A,FALSE,"FCB"}</definedName>
    <definedName name="q" hidden="1">{"FCB_ALL",#N/A,FALSE,"FCB"}</definedName>
    <definedName name="q4NIvsplan" localSheetId="10">{#N/A,#N/A,FALSE,"BalSheet 0899";#N/A,#N/A,FALSE,"ytdpl899";#N/A,#N/A,FALSE,"Aug PL";#N/A,#N/A,FALSE,"Minority Int";#N/A,#N/A,FALSE,"Equity Roll Forward";#N/A,#N/A,FALSE,"Book Equity Test"}</definedName>
    <definedName name="q4NIvsplan">{#N/A,#N/A,FALSE,"BalSheet 0899";#N/A,#N/A,FALSE,"ytdpl899";#N/A,#N/A,FALSE,"Aug PL";#N/A,#N/A,FALSE,"Minority Int";#N/A,#N/A,FALSE,"Equity Roll Forward";#N/A,#N/A,FALSE,"Book Equity Test"}</definedName>
    <definedName name="qa" localSheetId="10" hidden="1">{"AnnInc",#N/A,TRUE,"Inc";"QtrInc1",#N/A,TRUE,"Inc";"Balance",#N/A,TRUE,"Bal";"Cflow",#N/A,TRUE,"Cash"}</definedName>
    <definedName name="qa" hidden="1">{"AnnInc",#N/A,TRUE,"Inc";"QtrInc1",#N/A,TRUE,"Inc";"Balance",#N/A,TRUE,"Bal";"Cflow",#N/A,TRUE,"Cash"}</definedName>
    <definedName name="qaaa" hidden="1">39510.4037962963</definedName>
    <definedName name="qaaaa" localSheetId="10" hidden="1">{"detail",#N/A,FALSE,"mfg";"summary",#N/A,FALSE,"mfg"}</definedName>
    <definedName name="qaaaa" hidden="1">{"detail",#N/A,FALSE,"mfg";"summary",#N/A,FALSE,"mfg"}</definedName>
    <definedName name="qaaaaa" localSheetId="10" hidden="1">{"F3 detail",#N/A,FALSE,"F3 ";"F3 Presentation",#N/A,FALSE,"F3 "}</definedName>
    <definedName name="qaaaaa" hidden="1">{"F3 detail",#N/A,FALSE,"F3 ";"F3 Presentation",#N/A,FALSE,"F3 "}</definedName>
    <definedName name="qaaaaaaaaaaaq" hidden="1">#REF!</definedName>
    <definedName name="qaaaq" localSheetId="10" hidden="1">{#N/A,#N/A,FALSE,"FRANCE MONTH DETAIL  FFR";#N/A,#N/A,FALSE,"FRANCE MONTH DETAIL  NLG";#N/A,#N/A,FALSE,"FRANCE YTD  DETAIL FFR";#N/A,#N/A,FALSE,"FRANCE YTD  DETAIL NLG"}</definedName>
    <definedName name="qaaaq" hidden="1">{#N/A,#N/A,FALSE,"FRANCE MONTH DETAIL  FFR";#N/A,#N/A,FALSE,"FRANCE MONTH DETAIL  NLG";#N/A,#N/A,FALSE,"FRANCE YTD  DETAIL FFR";#N/A,#N/A,FALSE,"FRANCE YTD  DETAIL NLG"}</definedName>
    <definedName name="qaqaq" localSheetId="10" hidden="1">{#N/A,#N/A,FALSE,"FRANCE MONTH DETAIL  FFR";#N/A,#N/A,FALSE,"FRANCE MONTH DETAIL  NLG";#N/A,#N/A,FALSE,"FRANCE YTD  DETAIL FFR";#N/A,#N/A,FALSE,"FRANCE YTD  DETAIL NLG"}</definedName>
    <definedName name="qaqaq" hidden="1">{#N/A,#N/A,FALSE,"FRANCE MONTH DETAIL  FFR";#N/A,#N/A,FALSE,"FRANCE MONTH DETAIL  NLG";#N/A,#N/A,FALSE,"FRANCE YTD  DETAIL FFR";#N/A,#N/A,FALSE,"FRANCE YTD  DETAIL NLG"}</definedName>
    <definedName name="qaqqaq" localSheetId="10" hidden="1">{"F3 Presentation",#N/A,FALSE,"F3 ";"F3 detail",#N/A,FALSE,"F3 "}</definedName>
    <definedName name="qaqqaq" hidden="1">{"F3 Presentation",#N/A,FALSE,"F3 ";"F3 detail",#N/A,FALSE,"F3 "}</definedName>
    <definedName name="qaz" localSheetId="10">{#N/A,#N/A,FALSE,"Pharm";#N/A,#N/A,FALSE,"WWCM"}</definedName>
    <definedName name="qaz">{#N/A,#N/A,FALSE,"Pharm";#N/A,#N/A,FALSE,"WWCM"}</definedName>
    <definedName name="QB_LIST" localSheetId="10">#REF!</definedName>
    <definedName name="QB_LIST">#REF!</definedName>
    <definedName name="qe5yh" localSheetId="10" hidden="1">{#N/A,#N/A,FALSE,"Summary";#N/A,#N/A,FALSE,"Projections";#N/A,#N/A,FALSE,"Mkt Mults";#N/A,#N/A,FALSE,"DCF";#N/A,#N/A,FALSE,"Accr Dil";#N/A,#N/A,FALSE,"PIC LBO";#N/A,#N/A,FALSE,"MULT10_4";#N/A,#N/A,FALSE,"CBI LBO"}</definedName>
    <definedName name="qe5yh" hidden="1">{#N/A,#N/A,FALSE,"Summary";#N/A,#N/A,FALSE,"Projections";#N/A,#N/A,FALSE,"Mkt Mults";#N/A,#N/A,FALSE,"DCF";#N/A,#N/A,FALSE,"Accr Dil";#N/A,#N/A,FALSE,"PIC LBO";#N/A,#N/A,FALSE,"MULT10_4";#N/A,#N/A,FALSE,"CBI LBO"}</definedName>
    <definedName name="qe5yh_1" localSheetId="10" hidden="1">{#N/A,#N/A,FALSE,"Summary";#N/A,#N/A,FALSE,"Projections";#N/A,#N/A,FALSE,"Mkt Mults";#N/A,#N/A,FALSE,"DCF";#N/A,#N/A,FALSE,"Accr Dil";#N/A,#N/A,FALSE,"PIC LBO";#N/A,#N/A,FALSE,"MULT10_4";#N/A,#N/A,FALSE,"CBI LBO"}</definedName>
    <definedName name="qe5yh_1" hidden="1">{#N/A,#N/A,FALSE,"Summary";#N/A,#N/A,FALSE,"Projections";#N/A,#N/A,FALSE,"Mkt Mults";#N/A,#N/A,FALSE,"DCF";#N/A,#N/A,FALSE,"Accr Dil";#N/A,#N/A,FALSE,"PIC LBO";#N/A,#N/A,FALSE,"MULT10_4";#N/A,#N/A,FALSE,"CBI LBO"}</definedName>
    <definedName name="QEDFFG" localSheetId="10"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QEDFFG" hidden="1">{#N/A,#N/A,FALSE,"HVAC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qeqee" localSheetId="10"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10" hidden="1">{"mgmt forecast",#N/A,FALSE,"Mgmt Forecast";"dcf table",#N/A,FALSE,"Mgmt Forecast";"sensitivity",#N/A,FALSE,"Mgmt Forecast";"table inputs",#N/A,FALSE,"Mgmt Forecast";"calculations",#N/A,FALSE,"Mgmt Forecast"}</definedName>
    <definedName name="qer" hidden="1">{"mgmt forecast",#N/A,FALSE,"Mgmt Forecast";"dcf table",#N/A,FALSE,"Mgmt Forecast";"sensitivity",#N/A,FALSE,"Mgmt Forecast";"table inputs",#N/A,FALSE,"Mgmt Forecast";"calculations",#N/A,FALSE,"Mgmt Forecast"}</definedName>
    <definedName name="qertweyu" localSheetId="10">{#N/A,#N/A,FALSE,"REPORT"}</definedName>
    <definedName name="qertweyu">{#N/A,#N/A,FALSE,"REPORT"}</definedName>
    <definedName name="qesd" localSheetId="10" hidden="1">{"Page 1",#N/A,FALSE,"OpExJanVsPY";"Page 2",#N/A,FALSE,"OpExJanVsPY"}</definedName>
    <definedName name="qesd" hidden="1">{"Page 1",#N/A,FALSE,"OpExJanVsPY";"Page 2",#N/A,FALSE,"OpExJanVsPY"}</definedName>
    <definedName name="qetryywt" localSheetId="10">{#N/A,#N/A,FALSE,"REPORT"}</definedName>
    <definedName name="qetryywt">{#N/A,#N/A,FALSE,"REPORT"}</definedName>
    <definedName name="qff" localSheetId="10">{"incomemth",#N/A,TRUE,"forecast01";"incpercentmth",#N/A,TRUE,"forecast01";"balancemth",#N/A,TRUE,"forecast01";"cashmth",#N/A,TRUE,"forecast01";"cov2mth",#N/A,TRUE,"forecast01";"prbexp",#N/A,TRUE,"forecast01";"prbcap",#N/A,TRUE,"forecast01";"coalconsultants",#N/A,TRUE,"forecast01";"prbsum",#N/A,TRUE,"forecast01"}</definedName>
    <definedName name="qff">{"incomemth",#N/A,TRUE,"forecast01";"incpercentmth",#N/A,TRUE,"forecast01";"balancemth",#N/A,TRUE,"forecast01";"cashmth",#N/A,TRUE,"forecast01";"cov2mth",#N/A,TRUE,"forecast01";"prbexp",#N/A,TRUE,"forecast01";"prbcap",#N/A,TRUE,"forecast01";"coalconsultants",#N/A,TRUE,"forecast01";"prbsum",#N/A,TRUE,"forecast01"}</definedName>
    <definedName name="qi" localSheetId="10"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10" hidden="1">{#N/A,"PURCHM",FALSE,"Business Analysis";#N/A,"SPADD",FALSE,"Business Analysis"}</definedName>
    <definedName name="qink" hidden="1">{#N/A,"PURCHM",FALSE,"Business Analysis";#N/A,"SPADD",FALSE,"Business Analysis"}</definedName>
    <definedName name="QofA">#REF!</definedName>
    <definedName name="QofE">#REF!</definedName>
    <definedName name="qp" localSheetId="10" hidden="1">{"incomemth",#N/A,TRUE,"forecast00";"incomepercentmth",#N/A,TRUE,"forecast00";"balancemth",#N/A,TRUE,"forecast00";"cashmth",#N/A,TRUE,"forecast00";"covenantmth",#N/A,TRUE,"forecast00"}</definedName>
    <definedName name="qp" hidden="1">{"incomemth",#N/A,TRUE,"forecast00";"incomepercentmth",#N/A,TRUE,"forecast00";"balancemth",#N/A,TRUE,"forecast00";"cashmth",#N/A,TRUE,"forecast00";"covenantmth",#N/A,TRUE,"forecast00"}</definedName>
    <definedName name="qq" localSheetId="10"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kkkkk" localSheetId="10" hidden="1">{#N/A,"PURCHM",FALSE,"Business Analysis";#N/A,"SPADD",FALSE,"Business Analysis"}</definedName>
    <definedName name="qqkkkkk" hidden="1">{#N/A,"PURCHM",FALSE,"Business Analysis";#N/A,"SPADD",FALSE,"Business Analysis"}</definedName>
    <definedName name="qqq" localSheetId="10">{#N/A,#N/A,FALSE,"Pharm";#N/A,#N/A,FALSE,"WWCM"}</definedName>
    <definedName name="qqq">{#N/A,#N/A,FALSE,"Pharm";#N/A,#N/A,FALSE,"WWCM"}</definedName>
    <definedName name="qqqaa" localSheetId="10" hidden="1">{"detail",#N/A,FALSE,"mfg";"summary",#N/A,FALSE,"mfg"}</definedName>
    <definedName name="qqqaa" hidden="1">{"detail",#N/A,FALSE,"mfg";"summary",#N/A,FALSE,"mfg"}</definedName>
    <definedName name="qqqq" localSheetId="10" hidden="1">{#N/A,#N/A,FALSE,"Umsatz EO BP";#N/A,#N/A,FALSE,"Umsatz EO OP";#N/A,#N/A,FALSE,"ER EO BP";#N/A,#N/A,FALSE,"ER EO OP";#N/A,#N/A,FALSE,"EA EO (2)";#N/A,#N/A,FALSE,"EA EO";#N/A,#N/A,FALSE,"EA EO (3)";#N/A,#N/A,FALSE,"EA EO (4)";#N/A,#N/A,FALSE,"KA EO  (2)";#N/A,#N/A,FALSE,"KA EO";#N/A,#N/A,FALSE,"KA EO  (3)";#N/A,#N/A,FALSE,"KA EO (4)"}</definedName>
    <definedName name="qqqq" hidden="1">{#N/A,#N/A,FALSE,"Umsatz EO BP";#N/A,#N/A,FALSE,"Umsatz EO OP";#N/A,#N/A,FALSE,"ER EO BP";#N/A,#N/A,FALSE,"ER EO OP";#N/A,#N/A,FALSE,"EA EO (2)";#N/A,#N/A,FALSE,"EA EO";#N/A,#N/A,FALSE,"EA EO (3)";#N/A,#N/A,FALSE,"EA EO (4)";#N/A,#N/A,FALSE,"KA EO  (2)";#N/A,#N/A,FALSE,"KA EO";#N/A,#N/A,FALSE,"KA EO  (3)";#N/A,#N/A,FALSE,"KA EO (4)"}</definedName>
    <definedName name="qqqqq" localSheetId="10" hidden="1">{#N/A,"PURCHM",FALSE,"Business Analysis";#N/A,"SPADD",FALSE,"Business Analysis"}</definedName>
    <definedName name="qqqqq" hidden="1">{#N/A,"PURCHM",FALSE,"Business Analysis";#N/A,"SPADD",FALSE,"Business Analysis"}</definedName>
    <definedName name="qqqqqq" localSheetId="10" hidden="1">{"QTD_PRS",#N/A,FALSE,"QTD"}</definedName>
    <definedName name="qqqqqq" hidden="1">{"QTD_PRS",#N/A,FALSE,"QTD"}</definedName>
    <definedName name="qqqqqqq" hidden="1">#REF!</definedName>
    <definedName name="qqqqqqqq" hidden="1">#REF!</definedName>
    <definedName name="qqqqqqqqq" hidden="1">#REF!</definedName>
    <definedName name="qqqqqqqqqq" localSheetId="10">{"Page1",#N/A,FALSE,"CompCo";"Page2",#N/A,FALSE,"CompCo"}</definedName>
    <definedName name="qqqqqqqqqq">{"Page1",#N/A,FALSE,"CompCo";"Page2",#N/A,FALSE,"CompCo"}</definedName>
    <definedName name="qqqqqqqqqqq" hidden="1">#REF!</definedName>
    <definedName name="qqqqqqqqqqqqqq" localSheetId="10"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 localSheetId="10">{"Operating Data",#N/A,TRUE,"Sheet1";"Valuation Matrix",#N/A,TRUE,"Sheet1";"Sales Analysis",#N/A,TRUE,"Sheet1";"Closed Remodelled New",#N/A,TRUE,"Sheet1";"Competitive and FSP",#N/A,TRUE,"Sheet1";"Working Capital and Capex",#N/A,TRUE,"Sheet1";"depreciation",#N/A,TRUE,"Sheet1"}</definedName>
    <definedName name="qqqqqqqqqqqqqqq">{"Operating Data",#N/A,TRUE,"Sheet1";"Valuation Matrix",#N/A,TRUE,"Sheet1";"Sales Analysis",#N/A,TRUE,"Sheet1";"Closed Remodelled New",#N/A,TRUE,"Sheet1";"Competitive and FSP",#N/A,TRUE,"Sheet1";"Working Capital and Capex",#N/A,TRUE,"Sheet1";"depreciation",#N/A,TRUE,"Sheet1"}</definedName>
    <definedName name="qqqqqqqqqqqqqqqq" localSheetId="10"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10" hidden="1">{"detail",#N/A,FALSE,"mfg";"summary",#N/A,FALSE,"mfg"}</definedName>
    <definedName name="qqqqqqqqqqqqqqqqqqq" hidden="1">{"detail",#N/A,FALSE,"mfg";"summary",#N/A,FALSE,"mfg"}</definedName>
    <definedName name="qqqqqqqqqqqqqqqqqqqq" localSheetId="10">{"PA1",#N/A,FALSE,"BORDMW";"pa2",#N/A,FALSE,"BORDMW";"PA3",#N/A,FALSE,"BORDMW";"PA4",#N/A,FALSE,"BORDMW"}</definedName>
    <definedName name="qqqqqqqqqqqqqqqqqqqq">{"PA1",#N/A,FALSE,"BORDMW";"pa2",#N/A,FALSE,"BORDMW";"PA3",#N/A,FALSE,"BORDMW";"PA4",#N/A,FALSE,"BORDMW"}</definedName>
    <definedName name="qqqqqqqqqqqqqqqqqqqqqqqq"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localSheetId="10"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qqqqqqqs" hidden="1">#REF!</definedName>
    <definedName name="qqw" hidden="1">#REF!</definedName>
    <definedName name="qqwtweryey" localSheetId="10">{#N/A,#N/A,FALSE,"REPORT"}</definedName>
    <definedName name="qqwtweryey">{#N/A,#N/A,FALSE,"REPORT"}</definedName>
    <definedName name="qr" localSheetId="10" hidden="1">{"detail",#N/A,FALSE,"mfg";"summary",#N/A,FALSE,"mfg"}</definedName>
    <definedName name="qr" hidden="1">{"detail",#N/A,FALSE,"mfg";"summary",#N/A,FALSE,"mfg"}</definedName>
    <definedName name="qrewqw" hidden="1">"c1166"</definedName>
    <definedName name="Qro" localSheetId="10">{#N/A,#N/A,FALSE,"Combined LongSheet"}</definedName>
    <definedName name="Qro">{#N/A,#N/A,FALSE,"Combined LongSheet"}</definedName>
    <definedName name="qs" localSheetId="10"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daz"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daz"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sss" localSheetId="10" hidden="1">{#N/A,"PURCHM",FALSE,"Business Analysis";#N/A,"SPADD",FALSE,"Business Analysis"}</definedName>
    <definedName name="qssss" hidden="1">{#N/A,"PURCHM",FALSE,"Business Analysis";#N/A,"SPADD",FALSE,"Business Analysis"}</definedName>
    <definedName name="qsty" localSheetId="10" hidden="1">{"NOPCAPEVA",#N/A,FALSE,"Nopat";"FCFCSTAR",#N/A,FALSE,"FCFVAL";"EVAVL",#N/A,FALSE,"EVAVAL";"LEASE",#N/A,FALSE,"OpLease"}</definedName>
    <definedName name="qsty" hidden="1">{"NOPCAPEVA",#N/A,FALSE,"Nopat";"FCFCSTAR",#N/A,FALSE,"FCFVAL";"EVAVL",#N/A,FALSE,"EVAVAL";"LEASE",#N/A,FALSE,"OpLease"}</definedName>
    <definedName name="qt" localSheetId="10" hidden="1">{"oct_res_comm",#N/A,FALSE,"VarToBud"}</definedName>
    <definedName name="qt" hidden="1">{"oct_res_comm",#N/A,FALSE,"VarToBud"}</definedName>
    <definedName name="QTD" localSheetId="10" hidden="1">{#N/A,#N/A,TRUE,"Sch-1a";#N/A,#N/A,TRUE,"Sch-1b";#N/A,#N/A,TRUE,"Sch-1c";#N/A,#N/A,TRUE,"Sch-1d";#N/A,#N/A,TRUE,"Sch-2a";#N/A,#N/A,TRUE,"Sch-2b";#N/A,#N/A,TRUE,"Sch-2c";#N/A,#N/A,TRUE,"Sch-3a";#N/A,#N/A,TRUE,"Sch-3b";#N/A,#N/A,TRUE,"Sch-3c";#N/A,#N/A,TRUE,"Sch-3d";#N/A,#N/A,TRUE,"Sch-3e"}</definedName>
    <definedName name="QTD" hidden="1">{#N/A,#N/A,TRUE,"Sch-1a";#N/A,#N/A,TRUE,"Sch-1b";#N/A,#N/A,TRUE,"Sch-1c";#N/A,#N/A,TRUE,"Sch-1d";#N/A,#N/A,TRUE,"Sch-2a";#N/A,#N/A,TRUE,"Sch-2b";#N/A,#N/A,TRUE,"Sch-2c";#N/A,#N/A,TRUE,"Sch-3a";#N/A,#N/A,TRUE,"Sch-3b";#N/A,#N/A,TRUE,"Sch-3c";#N/A,#N/A,TRUE,"Sch-3d";#N/A,#N/A,TRUE,"Sch-3e"}</definedName>
    <definedName name="Quack" localSheetId="10" hidden="1">{#N/A,#N/A,FALSE,"COP CONS SK";#N/A,#N/A,FALSE,"COP CONS RG";#N/A,#N/A,FALSE,"COP CONS SK BC";#N/A,#N/A,FALSE,"COP CONS RG BC";#N/A,#N/A,FALSE,"ALLIANCE SK";#N/A,#N/A,FALSE,"ALLIANCE RG";#N/A,#N/A,FALSE,"CPC SK";#N/A,#N/A,FALSE,"CPC RG"}</definedName>
    <definedName name="Quack" hidden="1">{#N/A,#N/A,FALSE,"COP CONS SK";#N/A,#N/A,FALSE,"COP CONS RG";#N/A,#N/A,FALSE,"COP CONS SK BC";#N/A,#N/A,FALSE,"COP CONS RG BC";#N/A,#N/A,FALSE,"ALLIANCE SK";#N/A,#N/A,FALSE,"ALLIANCE RG";#N/A,#N/A,FALSE,"CPC SK";#N/A,#N/A,FALSE,"CPC RG"}</definedName>
    <definedName name="quart" localSheetId="10" hidden="1">{"Quarterly Inc Stmt",#N/A,TRUE,"Financials";"Quarterly BS",#N/A,TRUE,"Financials";"Quarterly CF",#N/A,TRUE,"Financials";"Quarterly Ratios",#N/A,TRUE,"Financials"}</definedName>
    <definedName name="quart" localSheetId="15" hidden="1">{"Quarterly Inc Stmt",#N/A,TRUE,"Financials";"Quarterly BS",#N/A,TRUE,"Financials";"Quarterly CF",#N/A,TRUE,"Financials";"Quarterly Ratios",#N/A,TRUE,"Financials"}</definedName>
    <definedName name="quart" hidden="1">{"Quarterly Inc Stmt",#N/A,TRUE,"Financials";"Quarterly BS",#N/A,TRUE,"Financials";"Quarterly CF",#N/A,TRUE,"Financials";"Quarterly Ratios",#N/A,TRUE,"Financials"}</definedName>
    <definedName name="quart_1" localSheetId="10" hidden="1">{"Quarterly Inc Stmt",#N/A,TRUE,"Financials";"Quarterly BS",#N/A,TRUE,"Financials";"Quarterly CF",#N/A,TRUE,"Financials";"Quarterly Ratios",#N/A,TRUE,"Financials"}</definedName>
    <definedName name="quart_1" localSheetId="15" hidden="1">{"Quarterly Inc Stmt",#N/A,TRUE,"Financials";"Quarterly BS",#N/A,TRUE,"Financials";"Quarterly CF",#N/A,TRUE,"Financials";"Quarterly Ratios",#N/A,TRUE,"Financials"}</definedName>
    <definedName name="quart_1" hidden="1">{"Quarterly Inc Stmt",#N/A,TRUE,"Financials";"Quarterly BS",#N/A,TRUE,"Financials";"Quarterly CF",#N/A,TRUE,"Financials";"Quarterly Ratios",#N/A,TRUE,"Financials"}</definedName>
    <definedName name="Quarterly" localSheetId="10" hidden="1">{"Annual",#N/A,FALSE,"Sales &amp; Market";"Quarterly",#N/A,FALSE,"Sales &amp; Market"}</definedName>
    <definedName name="Quarterly" localSheetId="15" hidden="1">{"Annual",#N/A,FALSE,"Sales &amp; Market";"Quarterly",#N/A,FALSE,"Sales &amp; Market"}</definedName>
    <definedName name="Quarterly" hidden="1">{"Annual",#N/A,FALSE,"Sales &amp; Market";"Quarterly",#N/A,FALSE,"Sales &amp; Market"}</definedName>
    <definedName name="Quarterly_Summary" localSheetId="10" hidden="1">{"'Graphs'!$H$5"}</definedName>
    <definedName name="Quarterly_Summary">{"'Graphs'!$H$5"}</definedName>
    <definedName name="Quarterly_Summary1" localSheetId="10" hidden="1">{"'Graphs'!$H$5"}</definedName>
    <definedName name="Quarterly_Summary1">{"'Graphs'!$H$5"}</definedName>
    <definedName name="quarterly1" localSheetId="10" hidden="1">{"Annual",#N/A,FALSE,"Sales &amp; Market";"Quarterly",#N/A,FALSE,"Sales &amp; Market"}</definedName>
    <definedName name="quarterly1" localSheetId="15" hidden="1">{"Annual",#N/A,FALSE,"Sales &amp; Market";"Quarterly",#N/A,FALSE,"Sales &amp; Market"}</definedName>
    <definedName name="quarterly1" hidden="1">{"Annual",#N/A,FALSE,"Sales &amp; Market";"Quarterly",#N/A,FALSE,"Sales &amp; Market"}</definedName>
    <definedName name="Quarters_per_yr" localSheetId="10">#REF!</definedName>
    <definedName name="Quarters_per_yr">#REF!</definedName>
    <definedName name="Queretaro" localSheetId="10">{#N/A,#N/A,FALSE,"Combined LongSheet"}</definedName>
    <definedName name="Queretaro">{#N/A,#N/A,FALSE,"Combined LongSheet"}</definedName>
    <definedName name="Query_from_AMKAI_OFFICE" localSheetId="10" hidden="1">#REF!</definedName>
    <definedName name="Query_from_AMKAI_OFFICE" hidden="1">#REF!</definedName>
    <definedName name="QuickBooksData" hidden="1">#REF!</definedName>
    <definedName name="Quotes_Training">#REF!</definedName>
    <definedName name="qw" localSheetId="10">{#N/A,#N/A,FALSE,"REPORT"}</definedName>
    <definedName name="qw">{#N/A,#N/A,FALSE,"REPORT"}</definedName>
    <definedName name="qw_1" localSheetId="10" hidden="1">{#N/A,#N/A,FALSE,"Pooling";#N/A,#N/A,FALSE,"income";#N/A,#N/A,FALSE,"valuation"}</definedName>
    <definedName name="qw_1" hidden="1">{#N/A,#N/A,FALSE,"Pooling";#N/A,#N/A,FALSE,"income";#N/A,#N/A,FALSE,"valuation"}</definedName>
    <definedName name="qwdsads" localSheetId="10" hidden="1">#REF!</definedName>
    <definedName name="qwdsads" localSheetId="9" hidden="1">#REF!</definedName>
    <definedName name="qwdsads" localSheetId="8" hidden="1">#REF!</definedName>
    <definedName name="qwdsads" localSheetId="16" hidden="1">#REF!</definedName>
    <definedName name="qwdsads" hidden="1">#REF!</definedName>
    <definedName name="qwe" localSheetId="10" hidden="1">{#N/A,#N/A,TRUE,"BS_A";#N/A,#N/A,TRUE,"BS_L";#N/A,#N/A,TRUE,"PL";#N/A,#N/A,TRUE,"NET";#N/A,#N/A,TRUE,"MAR_2";#N/A,#N/A,TRUE,"MAR";#N/A,#N/A,TRUE,"NII";#N/A,#N/A,TRUE,"NIE";#N/A,#N/A,TRUE,"FS_BS";#N/A,#N/A,TRUE,"FS_PL";#N/A,#N/A,TRUE,"HEA"}</definedName>
    <definedName name="qwe" localSheetId="15" hidden="1">{#N/A,#N/A,TRUE,"BS_A";#N/A,#N/A,TRUE,"BS_L";#N/A,#N/A,TRUE,"PL";#N/A,#N/A,TRUE,"NET";#N/A,#N/A,TRUE,"MAR_2";#N/A,#N/A,TRUE,"MAR";#N/A,#N/A,TRUE,"NII";#N/A,#N/A,TRUE,"NIE";#N/A,#N/A,TRUE,"FS_BS";#N/A,#N/A,TRUE,"FS_PL";#N/A,#N/A,TRUE,"HEA"}</definedName>
    <definedName name="qwe" hidden="1">{#N/A,#N/A,TRUE,"BS_A";#N/A,#N/A,TRUE,"BS_L";#N/A,#N/A,TRUE,"PL";#N/A,#N/A,TRUE,"NET";#N/A,#N/A,TRUE,"MAR_2";#N/A,#N/A,TRUE,"MAR";#N/A,#N/A,TRUE,"NII";#N/A,#N/A,TRUE,"NIE";#N/A,#N/A,TRUE,"FS_BS";#N/A,#N/A,TRUE,"FS_PL";#N/A,#N/A,TRUE,"HEA"}</definedName>
    <definedName name="qwef"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dfvd" localSheetId="10">{"BalSht_Report",#N/A,FALSE,"Legal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weqwe" localSheetId="10" hidden="1">{#N/A,#N/A,TRUE,"0 Deckbl.";#N/A,#N/A,TRUE,"S 1 Komm";#N/A,#N/A,TRUE,"S 1a Komm";#N/A,#N/A,TRUE,"S 1b Komm";#N/A,#N/A,TRUE,"S  2 DBR";#N/A,#N/A,TRUE,"S  3 Sparten";#N/A,#N/A,TRUE,"S 4  Betr. K.";#N/A,#N/A,TRUE,"6 Bilanz";#N/A,#N/A,TRUE,"6a Bilanz ";#N/A,#N/A,TRUE,"6b Bilanz ";#N/A,#N/A,TRUE,"7 GS I";#N/A,#N/A,TRUE,"S 8 EQ-GuV"}</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sg" localSheetId="10"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r" localSheetId="10" hidden="1">{"pro_view",#N/A,FALSE,"EEFSNAP2";"rep_view",#N/A,FALSE,"EEFSNAP2"}</definedName>
    <definedName name="qwer" hidden="1">{"pro_view",#N/A,FALSE,"EEFSNAP2";"rep_view",#N/A,FALSE,"EEFSNAP2"}</definedName>
    <definedName name="qwerqew" localSheetId="10" hidden="1">{"mgmt forecast",#N/A,FALSE,"Mgmt Forecast";"dcf table",#N/A,FALSE,"Mgmt Forecast";"sensitivity",#N/A,FALSE,"Mgmt Forecast";"table inputs",#N/A,FALSE,"Mgmt Forecast";"calculations",#N/A,FALSE,"Mgmt Forecast"}</definedName>
    <definedName name="qwerqew" hidden="1">{"mgmt forecast",#N/A,FALSE,"Mgmt Forecast";"dcf table",#N/A,FALSE,"Mgmt Forecast";"sensitivity",#N/A,FALSE,"Mgmt Forecast";"table inputs",#N/A,FALSE,"Mgmt Forecast";"calculations",#N/A,FALSE,"Mgmt Forecast"}</definedName>
    <definedName name="qwerqw"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r" localSheetId="10">{#N/A,#N/A,FALSE,"TS";#N/A,#N/A,FALSE,"Combo";#N/A,#N/A,FALSE,"FAIR";#N/A,#N/A,FALSE,"RBC";#N/A,#N/A,FALSE,"xxxx";#N/A,#N/A,FALSE,"A_D";#N/A,#N/A,FALSE,"WACC";#N/A,#N/A,FALSE,"DCF";#N/A,#N/A,FALSE,"LBO";#N/A,#N/A,FALSE,"AcqMults";#N/A,#N/A,FALSE,"CompMults"}</definedName>
    <definedName name="qwerqwer">{#N/A,#N/A,FALSE,"TS";#N/A,#N/A,FALSE,"Combo";#N/A,#N/A,FALSE,"FAIR";#N/A,#N/A,FALSE,"RBC";#N/A,#N/A,FALSE,"xxxx";#N/A,#N/A,FALSE,"A_D";#N/A,#N/A,FALSE,"WACC";#N/A,#N/A,FALSE,"DCF";#N/A,#N/A,FALSE,"LBO";#N/A,#N/A,FALSE,"AcqMults";#N/A,#N/A,FALSE,"CompMults"}</definedName>
    <definedName name="qwerqwerqwe" localSheetId="10" hidden="1">{"orixcsc",#N/A,FALSE,"ORIX CSC";"orixcsc2",#N/A,FALSE,"ORIX CSC"}</definedName>
    <definedName name="qwerqwerqwe" hidden="1">{"orixcsc",#N/A,FALSE,"ORIX CSC";"orixcsc2",#N/A,FALSE,"ORIX CSC"}</definedName>
    <definedName name="qwertqry" localSheetId="10">{#N/A,#N/A,FALSE,"REPORT"}</definedName>
    <definedName name="qwertqry">{#N/A,#N/A,FALSE,"REPORT"}</definedName>
    <definedName name="qwetqryetytu" localSheetId="10">{#N/A,#N/A,FALSE,"Pharm";#N/A,#N/A,FALSE,"WWCM"}</definedName>
    <definedName name="qwetqryetytu">{#N/A,#N/A,FALSE,"Pharm";#N/A,#N/A,FALSE,"WWCM"}</definedName>
    <definedName name="qwpp" localSheetId="10"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10" hidden="1">{#N/A,#N/A,FALSE,"PL-FS";#N/A,#N/A,FALSE,"PL"}</definedName>
    <definedName name="QWQ" localSheetId="15" hidden="1">{#N/A,#N/A,FALSE,"PL-FS";#N/A,#N/A,FALSE,"PL"}</definedName>
    <definedName name="QWQ" hidden="1">{#N/A,#N/A,FALSE,"PL-FS";#N/A,#N/A,FALSE,"PL"}</definedName>
    <definedName name="qwrd" localSheetId="10" hidden="1">{"ACT",#N/A,FALSE,"Q3Elec P&amp;L fy 99  ";"BUD",#N/A,FALSE,"Q3Elec P&amp;L fy 99  ";"PRIOR",#N/A,FALSE,"Q3Elec P&amp;L fy 99  "}</definedName>
    <definedName name="qwrd" hidden="1">{"ACT",#N/A,FALSE,"Q3Elec P&amp;L fy 99  ";"BUD",#N/A,FALSE,"Q3Elec P&amp;L fy 99  ";"PRIOR",#N/A,FALSE,"Q3Elec P&amp;L fy 99  "}</definedName>
    <definedName name="qws" localSheetId="10" hidden="1">{"QTD_OTHER",#N/A,FALSE,"QTD"}</definedName>
    <definedName name="qws" hidden="1">{"QTD_OTHER",#N/A,FALSE,"QTD"}</definedName>
    <definedName name="qwsa"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s" hidden="1">#REF!</definedName>
    <definedName name="qwww" hidden="1">#REF!</definedName>
    <definedName name="qwwwwqq" hidden="1">#REF!</definedName>
    <definedName name="qwz" localSheetId="10" hidden="1">{"QTD_HYCO",#N/A,FALSE,"QTD"}</definedName>
    <definedName name="qwz" hidden="1">{"QTD_HYCO",#N/A,FALSE,"QTD"}</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CashFlow" hidden="1">#REF!</definedName>
    <definedName name="r.Leverage" hidden="1">#REF!</definedName>
    <definedName name="r.Liquidity" hidden="1">#REF!</definedName>
    <definedName name="r.LTMInterim" hidden="1">#REF!</definedName>
    <definedName name="r.Market" hidden="1">#REF!</definedName>
    <definedName name="r.Profitability" hidden="1">#REF!</definedName>
    <definedName name="r.Summary" hidden="1">#REF!</definedName>
    <definedName name="R_Factor">#REF!</definedName>
    <definedName name="ra" localSheetId="10" hidden="1">{"bs",#N/A,FALSE,"SCF"}</definedName>
    <definedName name="ra" hidden="1">{"bs",#N/A,FALSE,"SCF"}</definedName>
    <definedName name="RA_TS_Ass_Core_Main_Hdg_Spacer1" hidden="1">#REF!</definedName>
    <definedName name="RA_TS_Ass_Core_Main_Hdg_Spacer2" hidden="1">#REF!</definedName>
    <definedName name="RA_TS_Ass_Data_Ass_Spacer" hidden="1">#REF!</definedName>
    <definedName name="RA_TS_Ass_Data_Hdg" hidden="1">#REF!</definedName>
    <definedName name="RA_TS_Ass_Data_Hdg_Spacer" hidden="1">#REF!</definedName>
    <definedName name="RA_TS_Ass_Data_Pers_Ass" hidden="1">#REF!</definedName>
    <definedName name="RA_TS_Ass_Data_Proj_Ass_Spacer" hidden="1">#REF!</definedName>
    <definedName name="RA_TS_Ass_Data_Proj_Hdg" hidden="1">#REF!</definedName>
    <definedName name="RA_TS_Ass_Data_Term_Basis" hidden="1">#REF!</definedName>
    <definedName name="RA_TS_Ass_Denom" hidden="1">#REF!</definedName>
    <definedName name="RA_TS_Ass_Denom_Label" hidden="1">#REF!</definedName>
    <definedName name="RA_TS_Ass_Note_Denom" hidden="1">#REF!</definedName>
    <definedName name="RA_TS_Ass_Note_Inactive_Cols_Treat" hidden="1">#REF!</definedName>
    <definedName name="RA_TS_Ass_Notes_Hdg_Spacer" hidden="1">#REF!</definedName>
    <definedName name="RA_TS_Ass_Proj_Ass_Spacer" hidden="1">#REF!</definedName>
    <definedName name="RA_TS_Ass_Proj_Hdg" hidden="1">#REF!</definedName>
    <definedName name="RA_TS_Ass_Proj_Per_1_End_Date" hidden="1">#REF!</definedName>
    <definedName name="RA_TS_Ass_Proj_Per_1_FY_End_Date" hidden="1">#REF!</definedName>
    <definedName name="RA_TS_Ass_Proj_Per_1_FY_Start_Date" hidden="1">#REF!</definedName>
    <definedName name="RA_TS_Ass_Proj_Per_1_Number" hidden="1">#REF!</definedName>
    <definedName name="RA_TS_Ass_Proj_Per_1_Start_Date" hidden="1">#REF!</definedName>
    <definedName name="RA_TS_Ass_Proj_Start_Date_Ass" hidden="1">#REF!</definedName>
    <definedName name="RA_TS_Ass_Title" hidden="1">#REF!</definedName>
    <definedName name="raag" localSheetId="10" hidden="1">{"reagan is",#N/A,FALSE,"CONS IS";"reagan na",#N/A,FALSE,"NOTE PAYMENTS";"reagan bs",#N/A,FALSE,"CONS BS";"reagan cf",#N/A,FALSE,"CONS BS";"reagan ds",#N/A,FALSE,"CONS BS"}</definedName>
    <definedName name="raag" hidden="1">{"reagan is",#N/A,FALSE,"CONS IS";"reagan na",#N/A,FALSE,"NOTE PAYMENTS";"reagan bs",#N/A,FALSE,"CONS BS";"reagan cf",#N/A,FALSE,"CONS BS";"reagan ds",#N/A,FALSE,"CONS BS"}</definedName>
    <definedName name="rabota" localSheetId="10" hidden="1">{#N/A,#N/A,TRUE,"0 Deckbl.";#N/A,#N/A,TRUE,"S 1 Komm";#N/A,#N/A,TRUE,"S 1a Komm";#N/A,#N/A,TRUE,"S 1b Komm";#N/A,#N/A,TRUE,"S  2 DBR";#N/A,#N/A,TRUE,"S  3 Sparten";#N/A,#N/A,TRUE,"S 4  Betr. K.";#N/A,#N/A,TRUE,"6 Bilanz";#N/A,#N/A,TRUE,"6a Bilanz ";#N/A,#N/A,TRUE,"6b Bilanz ";#N/A,#N/A,TRUE,"7 GS I";#N/A,#N/A,TRUE,"S 8 EQ-GuV"}</definedName>
    <definedName name="rabota" hidden="1">{#N/A,#N/A,TRUE,"0 Deckbl.";#N/A,#N/A,TRUE,"S 1 Komm";#N/A,#N/A,TRUE,"S 1a Komm";#N/A,#N/A,TRUE,"S 1b Komm";#N/A,#N/A,TRUE,"S  2 DBR";#N/A,#N/A,TRUE,"S  3 Sparten";#N/A,#N/A,TRUE,"S 4  Betr. K.";#N/A,#N/A,TRUE,"6 Bilanz";#N/A,#N/A,TRUE,"6a Bilanz ";#N/A,#N/A,TRUE,"6b Bilanz ";#N/A,#N/A,TRUE,"7 GS I";#N/A,#N/A,TRUE,"S 8 EQ-GuV"}</definedName>
    <definedName name="rad" localSheetId="10" hidden="1">{"PACKAGE",#N/A,FALSE,"CM"}</definedName>
    <definedName name="rad" hidden="1">{"PACKAGE",#N/A,FALSE,"CM"}</definedName>
    <definedName name="radg" localSheetId="10" hidden="1">{"FCB_ALL",#N/A,FALSE,"FCB";"GREY_ALL",#N/A,FALSE,"GREY"}</definedName>
    <definedName name="radg" localSheetId="15" hidden="1">{"FCB_ALL",#N/A,FALSE,"FCB";"GREY_ALL",#N/A,FALSE,"GREY"}</definedName>
    <definedName name="radg" hidden="1">{"FCB_ALL",#N/A,FALSE,"FCB";"GREY_ALL",#N/A,FALSE,"GREY"}</definedName>
    <definedName name="ramsum">#REF!</definedName>
    <definedName name="Range_X_IS" localSheetId="10">#REF!</definedName>
    <definedName name="Range_X_IS">#REF!</definedName>
    <definedName name="Range_Y_IS" localSheetId="10">#REF!</definedName>
    <definedName name="Range_Y_IS">#REF!</definedName>
    <definedName name="Range_Y_rank">#REF!</definedName>
    <definedName name="RangeChange" hidden="1">#REF!</definedName>
    <definedName name="rappr">#REF!</definedName>
    <definedName name="rarte" localSheetId="10" hidden="1">{#N/A,#N/A,FALSE,"Bakersfield PCs";#N/A,#N/A,FALSE,"Bremer PCs";#N/A,#N/A,FALSE,"Bakersfield Notebooks"}</definedName>
    <definedName name="rarte" hidden="1">{#N/A,#N/A,FALSE,"Bakersfield PCs";#N/A,#N/A,FALSE,"Bremer PCs";#N/A,#N/A,FALSE,"Bakersfield Notebooks"}</definedName>
    <definedName name="rasp" localSheetId="10">#REF!</definedName>
    <definedName name="rasp">#REF!</definedName>
    <definedName name="RATELOOKUP" localSheetId="10">#REF!</definedName>
    <definedName name="RATELOOKUP">#REF!</definedName>
    <definedName name="Rating_Divsions" localSheetId="10" hidden="1">#REF!</definedName>
    <definedName name="Rating_Divsions" hidden="1">#REF!</definedName>
    <definedName name="ratio">#REF!</definedName>
    <definedName name="RawDataCols">#REF!</definedName>
    <definedName name="ray"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N" localSheetId="10">#REF!</definedName>
    <definedName name="RBN">#REF!</definedName>
    <definedName name="RBU" localSheetId="10">#REF!</definedName>
    <definedName name="RBU">#REF!</definedName>
    <definedName name="rd" localSheetId="10" hidden="1">{"oct_res_comm",#N/A,FALSE,"VarToBud"}</definedName>
    <definedName name="rd" hidden="1">{"oct_res_comm",#N/A,FALSE,"VarToBud"}</definedName>
    <definedName name="rdh" localSheetId="10" hidden="1">{"NOPCAPEVA",#N/A,FALSE,"Nopat";"FCFCSTAR",#N/A,FALSE,"FCFVAL";"EVAVL",#N/A,FALSE,"EVAVAL";"LEASE",#N/A,FALSE,"OpLease"}</definedName>
    <definedName name="rdh" hidden="1">{"NOPCAPEVA",#N/A,FALSE,"Nopat";"FCFCSTAR",#N/A,FALSE,"FCFVAL";"EVAVL",#N/A,FALSE,"EVAVAL";"LEASE",#N/A,FALSE,"OpLease"}</definedName>
    <definedName name="rdx" localSheetId="10" hidden="1">{"oct_res_comm",#N/A,FALSE,"VarToBud"}</definedName>
    <definedName name="rdx" hidden="1">{"oct_res_comm",#N/A,FALSE,"VarToBud"}</definedName>
    <definedName name="re" localSheetId="10" hidden="1">{#N/A,#N/A,FALSE,"UTIL Monthly Inc ";#N/A,#N/A,FALSE,"Capital";#N/A,#N/A,FALSE,"UTIL REVENUE";#N/A,#N/A,FALSE,"RM REVENUE";#N/A,#N/A,FALSE,"Manpower";#N/A,#N/A,FALSE,"SI - UTIL";#N/A,#N/A,FALSE,"Sales - Utili"}</definedName>
    <definedName name="re" hidden="1">{#N/A,#N/A,FALSE,"UTIL Monthly Inc ";#N/A,#N/A,FALSE,"Capital";#N/A,#N/A,FALSE,"UTIL REVENUE";#N/A,#N/A,FALSE,"RM REVENUE";#N/A,#N/A,FALSE,"Manpower";#N/A,#N/A,FALSE,"SI - UTIL";#N/A,#N/A,FALSE,"Sales - Utili"}</definedName>
    <definedName name="re_1" localSheetId="10" hidden="1">{#N/A,#N/A,FALSE,"UTIL Monthly Inc ";#N/A,#N/A,FALSE,"Capital";#N/A,#N/A,FALSE,"UTIL REVENUE";#N/A,#N/A,FALSE,"RM REVENUE";#N/A,#N/A,FALSE,"Manpower";#N/A,#N/A,FALSE,"SI - UTIL";#N/A,#N/A,FALSE,"Sales - Utili"}</definedName>
    <definedName name="re_1" hidden="1">{#N/A,#N/A,FALSE,"UTIL Monthly Inc ";#N/A,#N/A,FALSE,"Capital";#N/A,#N/A,FALSE,"UTIL REVENUE";#N/A,#N/A,FALSE,"RM REVENUE";#N/A,#N/A,FALSE,"Manpower";#N/A,#N/A,FALSE,"SI - UTIL";#N/A,#N/A,FALSE,"Sales - Utili"}</definedName>
    <definedName name="re_2" localSheetId="10" hidden="1">{#N/A,#N/A,FALSE,"UTIL Monthly Inc ";#N/A,#N/A,FALSE,"Capital";#N/A,#N/A,FALSE,"UTIL REVENUE";#N/A,#N/A,FALSE,"RM REVENUE";#N/A,#N/A,FALSE,"Manpower";#N/A,#N/A,FALSE,"SI - UTIL";#N/A,#N/A,FALSE,"Sales - Utili"}</definedName>
    <definedName name="re_2" hidden="1">{#N/A,#N/A,FALSE,"UTIL Monthly Inc ";#N/A,#N/A,FALSE,"Capital";#N/A,#N/A,FALSE,"UTIL REVENUE";#N/A,#N/A,FALSE,"RM REVENUE";#N/A,#N/A,FALSE,"Manpower";#N/A,#N/A,FALSE,"SI - UTIL";#N/A,#N/A,FALSE,"Sales - Utili"}</definedName>
    <definedName name="re_3" localSheetId="10" hidden="1">{#N/A,#N/A,FALSE,"UTIL Monthly Inc ";#N/A,#N/A,FALSE,"Capital";#N/A,#N/A,FALSE,"UTIL REVENUE";#N/A,#N/A,FALSE,"RM REVENUE";#N/A,#N/A,FALSE,"Manpower";#N/A,#N/A,FALSE,"SI - UTIL";#N/A,#N/A,FALSE,"Sales - Utili"}</definedName>
    <definedName name="re_3" hidden="1">{#N/A,#N/A,FALSE,"UTIL Monthly Inc ";#N/A,#N/A,FALSE,"Capital";#N/A,#N/A,FALSE,"UTIL REVENUE";#N/A,#N/A,FALSE,"RM REVENUE";#N/A,#N/A,FALSE,"Manpower";#N/A,#N/A,FALSE,"SI - UTIL";#N/A,#N/A,FALSE,"Sales - Utili"}</definedName>
    <definedName name="re_4" localSheetId="10" hidden="1">{#N/A,#N/A,FALSE,"UTIL Monthly Inc ";#N/A,#N/A,FALSE,"Capital";#N/A,#N/A,FALSE,"UTIL REVENUE";#N/A,#N/A,FALSE,"RM REVENUE";#N/A,#N/A,FALSE,"Manpower";#N/A,#N/A,FALSE,"SI - UTIL";#N/A,#N/A,FALSE,"Sales - Utili"}</definedName>
    <definedName name="re_4" hidden="1">{#N/A,#N/A,FALSE,"UTIL Monthly Inc ";#N/A,#N/A,FALSE,"Capital";#N/A,#N/A,FALSE,"UTIL REVENUE";#N/A,#N/A,FALSE,"RM REVENUE";#N/A,#N/A,FALSE,"Manpower";#N/A,#N/A,FALSE,"SI - UTIL";#N/A,#N/A,FALSE,"Sales - Utili"}</definedName>
    <definedName name="re_5" localSheetId="10" hidden="1">{#N/A,#N/A,FALSE,"UTIL Monthly Inc ";#N/A,#N/A,FALSE,"Capital";#N/A,#N/A,FALSE,"UTIL REVENUE";#N/A,#N/A,FALSE,"RM REVENUE";#N/A,#N/A,FALSE,"Manpower";#N/A,#N/A,FALSE,"SI - UTIL";#N/A,#N/A,FALSE,"Sales - Utili"}</definedName>
    <definedName name="re_5" hidden="1">{#N/A,#N/A,FALSE,"UTIL Monthly Inc ";#N/A,#N/A,FALSE,"Capital";#N/A,#N/A,FALSE,"UTIL REVENUE";#N/A,#N/A,FALSE,"RM REVENUE";#N/A,#N/A,FALSE,"Manpower";#N/A,#N/A,FALSE,"SI - UTIL";#N/A,#N/A,FALSE,"Sales - Utili"}</definedName>
    <definedName name="rea"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g10" localSheetId="10" hidden="1">{"reagan is",#N/A,FALSE,"CONS IS";"reagan na",#N/A,FALSE,"NOTE PAYMENTS";"reagan bs",#N/A,FALSE,"CONS BS";"reagan cf",#N/A,FALSE,"CONS BS";"reagan ds",#N/A,FALSE,"CONS BS"}</definedName>
    <definedName name="reag10" hidden="1">{"reagan is",#N/A,FALSE,"CONS IS";"reagan na",#N/A,FALSE,"NOTE PAYMENTS";"reagan bs",#N/A,FALSE,"CONS BS";"reagan cf",#N/A,FALSE,"CONS BS";"reagan ds",#N/A,FALSE,"CONS BS"}</definedName>
    <definedName name="reag5" localSheetId="10" hidden="1">{"reagan is",#N/A,FALSE,"CONS IS";"reagan na",#N/A,FALSE,"NOTE PAYMENTS";"reagan bs",#N/A,FALSE,"CONS BS";"reagan cf",#N/A,FALSE,"CONS BS";"reagan ds",#N/A,FALSE,"CONS BS"}</definedName>
    <definedName name="reag5" hidden="1">{"reagan is",#N/A,FALSE,"CONS IS";"reagan na",#N/A,FALSE,"NOTE PAYMENTS";"reagan bs",#N/A,FALSE,"CONS BS";"reagan cf",#N/A,FALSE,"CONS BS";"reagan ds",#N/A,FALSE,"CONS BS"}</definedName>
    <definedName name="reag55" localSheetId="10" hidden="1">{"reagan is",#N/A,FALSE,"CONS IS";"reagan na",#N/A,FALSE,"NOTE PAYMENTS";"reagan bs",#N/A,FALSE,"CONS BS";"reagan cf",#N/A,FALSE,"CONS BS";"reagan ds",#N/A,FALSE,"CONS BS"}</definedName>
    <definedName name="reag55" hidden="1">{"reagan is",#N/A,FALSE,"CONS IS";"reagan na",#N/A,FALSE,"NOTE PAYMENTS";"reagan bs",#N/A,FALSE,"CONS BS";"reagan cf",#N/A,FALSE,"CONS BS";"reagan ds",#N/A,FALSE,"CONS BS"}</definedName>
    <definedName name="reaga" localSheetId="10" hidden="1">{"reagan is",#N/A,FALSE,"CONS IS";"reagan na",#N/A,FALSE,"NOTE PAYMENTS";"reagan bs",#N/A,FALSE,"CONS BS";"reagan cf",#N/A,FALSE,"CONS BS";"reagan ds",#N/A,FALSE,"CONS BS"}</definedName>
    <definedName name="reaga" hidden="1">{"reagan is",#N/A,FALSE,"CONS IS";"reagan na",#N/A,FALSE,"NOTE PAYMENTS";"reagan bs",#N/A,FALSE,"CONS BS";"reagan cf",#N/A,FALSE,"CONS BS";"reagan ds",#N/A,FALSE,"CONS BS"}</definedName>
    <definedName name="reagan00" localSheetId="10" hidden="1">{"reagan is",#N/A,FALSE,"CONS IS";"reagan na",#N/A,FALSE,"NOTE PAYMENTS";"reagan bs",#N/A,FALSE,"CONS BS";"reagan cf",#N/A,FALSE,"CONS BS";"reagan ds",#N/A,FALSE,"CONS BS"}</definedName>
    <definedName name="reagan00" hidden="1">{"reagan is",#N/A,FALSE,"CONS IS";"reagan na",#N/A,FALSE,"NOTE PAYMENTS";"reagan bs",#N/A,FALSE,"CONS BS";"reagan cf",#N/A,FALSE,"CONS BS";"reagan ds",#N/A,FALSE,"CONS BS"}</definedName>
    <definedName name="reagan15" localSheetId="10" hidden="1">{"reagan is",#N/A,FALSE,"CONS IS";"reagan na",#N/A,FALSE,"NOTE PAYMENTS";"reagan bs",#N/A,FALSE,"CONS BS";"reagan cf",#N/A,FALSE,"CONS BS";"reagan ds",#N/A,FALSE,"CONS BS"}</definedName>
    <definedName name="reagan15" hidden="1">{"reagan is",#N/A,FALSE,"CONS IS";"reagan na",#N/A,FALSE,"NOTE PAYMENTS";"reagan bs",#N/A,FALSE,"CONS BS";"reagan cf",#N/A,FALSE,"CONS BS";"reagan ds",#N/A,FALSE,"CONS BS"}</definedName>
    <definedName name="reagan2" localSheetId="10" hidden="1">{"reagan is",#N/A,FALSE,"CONS IS";"reagan na",#N/A,FALSE,"NOTE PAYMENTS";"reagan bs",#N/A,FALSE,"CONS BS";"reagan cf",#N/A,FALSE,"CONS BS";"reagan ds",#N/A,FALSE,"CONS BS"}</definedName>
    <definedName name="reagan2" hidden="1">{"reagan is",#N/A,FALSE,"CONS IS";"reagan na",#N/A,FALSE,"NOTE PAYMENTS";"reagan bs",#N/A,FALSE,"CONS BS";"reagan cf",#N/A,FALSE,"CONS BS";"reagan ds",#N/A,FALSE,"CONS BS"}</definedName>
    <definedName name="reagan20" localSheetId="10" hidden="1">{"reagan is",#N/A,FALSE,"CONS IS";"reagan na",#N/A,FALSE,"NOTE PAYMENTS";"reagan bs",#N/A,FALSE,"CONS BS";"reagan cf",#N/A,FALSE,"CONS BS";"reagan ds",#N/A,FALSE,"CONS BS"}</definedName>
    <definedName name="reagan20" hidden="1">{"reagan is",#N/A,FALSE,"CONS IS";"reagan na",#N/A,FALSE,"NOTE PAYMENTS";"reagan bs",#N/A,FALSE,"CONS BS";"reagan cf",#N/A,FALSE,"CONS BS";"reagan ds",#N/A,FALSE,"CONS BS"}</definedName>
    <definedName name="reagan22" localSheetId="10" hidden="1">{"reagan is",#N/A,FALSE,"CONS IS";"reagan na",#N/A,FALSE,"NOTE PAYMENTS";"reagan bs",#N/A,FALSE,"CONS BS";"reagan cf",#N/A,FALSE,"CONS BS";"reagan ds",#N/A,FALSE,"CONS BS"}</definedName>
    <definedName name="reagan22" hidden="1">{"reagan is",#N/A,FALSE,"CONS IS";"reagan na",#N/A,FALSE,"NOTE PAYMENTS";"reagan bs",#N/A,FALSE,"CONS BS";"reagan cf",#N/A,FALSE,"CONS BS";"reagan ds",#N/A,FALSE,"CONS BS"}</definedName>
    <definedName name="reagan26" localSheetId="10" hidden="1">{"reagan is",#N/A,FALSE,"CONS IS";"reagan na",#N/A,FALSE,"NOTE PAYMENTS";"reagan bs",#N/A,FALSE,"CONS BS";"reagan cf",#N/A,FALSE,"CONS BS";"reagan ds",#N/A,FALSE,"CONS BS"}</definedName>
    <definedName name="reagan26" hidden="1">{"reagan is",#N/A,FALSE,"CONS IS";"reagan na",#N/A,FALSE,"NOTE PAYMENTS";"reagan bs",#N/A,FALSE,"CONS BS";"reagan cf",#N/A,FALSE,"CONS BS";"reagan ds",#N/A,FALSE,"CONS BS"}</definedName>
    <definedName name="reagan3" localSheetId="10" hidden="1">{"reagan is",#N/A,FALSE,"CONS IS";"reagan na",#N/A,FALSE,"NOTE PAYMENTS";"reagan bs",#N/A,FALSE,"CONS BS";"reagan cf",#N/A,FALSE,"CONS BS";"reagan ds",#N/A,FALSE,"CONS BS"}</definedName>
    <definedName name="reagan3" hidden="1">{"reagan is",#N/A,FALSE,"CONS IS";"reagan na",#N/A,FALSE,"NOTE PAYMENTS";"reagan bs",#N/A,FALSE,"CONS BS";"reagan cf",#N/A,FALSE,"CONS BS";"reagan ds",#N/A,FALSE,"CONS BS"}</definedName>
    <definedName name="reagan30" localSheetId="10" hidden="1">{"reagan is",#N/A,FALSE,"CONS IS";"reagan na",#N/A,FALSE,"NOTE PAYMENTS";"reagan bs",#N/A,FALSE,"CONS BS";"reagan cf",#N/A,FALSE,"CONS BS";"reagan ds",#N/A,FALSE,"CONS BS"}</definedName>
    <definedName name="reagan30" hidden="1">{"reagan is",#N/A,FALSE,"CONS IS";"reagan na",#N/A,FALSE,"NOTE PAYMENTS";"reagan bs",#N/A,FALSE,"CONS BS";"reagan cf",#N/A,FALSE,"CONS BS";"reagan ds",#N/A,FALSE,"CONS BS"}</definedName>
    <definedName name="reagan33" localSheetId="10" hidden="1">{"reagan is",#N/A,FALSE,"CONS IS";"reagan na",#N/A,FALSE,"NOTE PAYMENTS";"reagan bs",#N/A,FALSE,"CONS BS";"reagan cf",#N/A,FALSE,"CONS BS";"reagan ds",#N/A,FALSE,"CONS BS"}</definedName>
    <definedName name="reagan33" hidden="1">{"reagan is",#N/A,FALSE,"CONS IS";"reagan na",#N/A,FALSE,"NOTE PAYMENTS";"reagan bs",#N/A,FALSE,"CONS BS";"reagan cf",#N/A,FALSE,"CONS BS";"reagan ds",#N/A,FALSE,"CONS BS"}</definedName>
    <definedName name="reagan4" localSheetId="10" hidden="1">{"reagan is",#N/A,FALSE,"CONS IS";"reagan na",#N/A,FALSE,"NOTE PAYMENTS";"reagan bs",#N/A,FALSE,"CONS BS";"reagan cf",#N/A,FALSE,"CONS BS";"reagan ds",#N/A,FALSE,"CONS BS"}</definedName>
    <definedName name="reagan4" hidden="1">{"reagan is",#N/A,FALSE,"CONS IS";"reagan na",#N/A,FALSE,"NOTE PAYMENTS";"reagan bs",#N/A,FALSE,"CONS BS";"reagan cf",#N/A,FALSE,"CONS BS";"reagan ds",#N/A,FALSE,"CONS BS"}</definedName>
    <definedName name="reagan44" localSheetId="10" hidden="1">{"reagan is",#N/A,FALSE,"CONS IS";"reagan na",#N/A,FALSE,"NOTE PAYMENTS";"reagan bs",#N/A,FALSE,"CONS BS";"reagan cf",#N/A,FALSE,"CONS BS";"reagan ds",#N/A,FALSE,"CONS BS"}</definedName>
    <definedName name="reagan44" hidden="1">{"reagan is",#N/A,FALSE,"CONS IS";"reagan na",#N/A,FALSE,"NOTE PAYMENTS";"reagan bs",#N/A,FALSE,"CONS BS";"reagan cf",#N/A,FALSE,"CONS BS";"reagan ds",#N/A,FALSE,"CONS BS"}</definedName>
    <definedName name="reagan5" localSheetId="10" hidden="1">{"reagan is",#N/A,FALSE,"CONS IS";"reagan na",#N/A,FALSE,"NOTE PAYMENTS";"reagan bs",#N/A,FALSE,"CONS BS";"reagan cf",#N/A,FALSE,"CONS BS";"reagan ds",#N/A,FALSE,"CONS BS"}</definedName>
    <definedName name="reagan5" hidden="1">{"reagan is",#N/A,FALSE,"CONS IS";"reagan na",#N/A,FALSE,"NOTE PAYMENTS";"reagan bs",#N/A,FALSE,"CONS BS";"reagan cf",#N/A,FALSE,"CONS BS";"reagan ds",#N/A,FALSE,"CONS BS"}</definedName>
    <definedName name="reagan55" localSheetId="10" hidden="1">{"reagan is",#N/A,FALSE,"CONS IS";"reagan na",#N/A,FALSE,"NOTE PAYMENTS";"reagan bs",#N/A,FALSE,"CONS BS";"reagan cf",#N/A,FALSE,"CONS BS";"reagan ds",#N/A,FALSE,"CONS BS"}</definedName>
    <definedName name="reagan55" hidden="1">{"reagan is",#N/A,FALSE,"CONS IS";"reagan na",#N/A,FALSE,"NOTE PAYMENTS";"reagan bs",#N/A,FALSE,"CONS BS";"reagan cf",#N/A,FALSE,"CONS BS";"reagan ds",#N/A,FALSE,"CONS BS"}</definedName>
    <definedName name="reagan7" localSheetId="10" hidden="1">{"reagan is",#N/A,FALSE,"CONS IS";"reagan na",#N/A,FALSE,"NOTE PAYMENTS";"reagan bs",#N/A,FALSE,"CONS BS";"reagan cf",#N/A,FALSE,"CONS BS";"reagan ds",#N/A,FALSE,"CONS BS"}</definedName>
    <definedName name="reagan7" hidden="1">{"reagan is",#N/A,FALSE,"CONS IS";"reagan na",#N/A,FALSE,"NOTE PAYMENTS";"reagan bs",#N/A,FALSE,"CONS BS";"reagan cf",#N/A,FALSE,"CONS BS";"reagan ds",#N/A,FALSE,"CONS BS"}</definedName>
    <definedName name="reagan9" localSheetId="10" hidden="1">{"reagan is",#N/A,FALSE,"CONS IS";"reagan na",#N/A,FALSE,"NOTE PAYMENTS";"reagan bs",#N/A,FALSE,"CONS BS";"reagan cf",#N/A,FALSE,"CONS BS";"reagan ds",#N/A,FALSE,"CONS BS"}</definedName>
    <definedName name="reagan9" hidden="1">{"reagan is",#N/A,FALSE,"CONS IS";"reagan na",#N/A,FALSE,"NOTE PAYMENTS";"reagan bs",#N/A,FALSE,"CONS BS";"reagan cf",#N/A,FALSE,"CONS BS";"reagan ds",#N/A,FALSE,"CONS BS"}</definedName>
    <definedName name="reagan99" localSheetId="10" hidden="1">{"reagan is",#N/A,FALSE,"CONS IS";"reagan na",#N/A,FALSE,"NOTE PAYMENTS";"reagan bs",#N/A,FALSE,"CONS BS";"reagan cf",#N/A,FALSE,"CONS BS";"reagan ds",#N/A,FALSE,"CONS BS"}</definedName>
    <definedName name="reagan99" hidden="1">{"reagan is",#N/A,FALSE,"CONS IS";"reagan na",#N/A,FALSE,"NOTE PAYMENTS";"reagan bs",#N/A,FALSE,"CONS BS";"reagan cf",#N/A,FALSE,"CONS BS";"reagan ds",#N/A,FALSE,"CONS BS"}</definedName>
    <definedName name="real" localSheetId="10" hidden="1">{"'777'!$A$1:$H$41"}</definedName>
    <definedName name="real" localSheetId="15" hidden="1">{"'777'!$A$1:$H$41"}</definedName>
    <definedName name="real" hidden="1">{"'777'!$A$1:$H$41"}</definedName>
    <definedName name="RebateRate">#REF!</definedName>
    <definedName name="Recap" localSheetId="10" hidden="1">{#N/A,#N/A,FALSE,"IPO";#N/A,#N/A,FALSE,"DCF";#N/A,#N/A,FALSE,"LBO";#N/A,#N/A,FALSE,"MULT_VAL";#N/A,#N/A,FALSE,"Status Quo";#N/A,#N/A,FALSE,"Recap"}</definedName>
    <definedName name="Recap" hidden="1">{#N/A,#N/A,FALSE,"IPO";#N/A,#N/A,FALSE,"DCF";#N/A,#N/A,FALSE,"LBO";#N/A,#N/A,FALSE,"MULT_VAL";#N/A,#N/A,FALSE,"Status Quo";#N/A,#N/A,FALSE,"Recap"}</definedName>
    <definedName name="Recap_1" localSheetId="10" hidden="1">{#N/A,#N/A,FALSE,"IPO";#N/A,#N/A,FALSE,"DCF";#N/A,#N/A,FALSE,"LBO";#N/A,#N/A,FALSE,"MULT_VAL";#N/A,#N/A,FALSE,"Status Quo";#N/A,#N/A,FALSE,"Recap"}</definedName>
    <definedName name="Recap_1" hidden="1">{#N/A,#N/A,FALSE,"IPO";#N/A,#N/A,FALSE,"DCF";#N/A,#N/A,FALSE,"LBO";#N/A,#N/A,FALSE,"MULT_VAL";#N/A,#N/A,FALSE,"Status Quo";#N/A,#N/A,FALSE,"Recap"}</definedName>
    <definedName name="RecCurrent" localSheetId="10">#REF!</definedName>
    <definedName name="RecCurrent">#REF!</definedName>
    <definedName name="Recent"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Recent" hidden="1">{#N/A,#N/A,FALSE,"Projections";#N/A,#N/A,FALSE,"AccrDil";#N/A,#N/A,FALSE,"PurchPriMult";#N/A,#N/A,FALSE,"Mults7_13";#N/A,#N/A,FALSE,"Mkt Mults";#N/A,#N/A,FALSE,"Acq Mults";#N/A,#N/A,FALSE,"StockPrices";#N/A,#N/A,FALSE,"Prem Paid";#N/A,#N/A,FALSE,"DCF";#N/A,#N/A,FALSE,"AUTO";#N/A,#N/A,FALSE,"Relative Trading";#N/A,#N/A,FALSE,"Mkt Val";#N/A,#N/A,FALSE,"Acq Val"}</definedName>
    <definedName name="recon">#REF!</definedName>
    <definedName name="RecPY4_Sel1" localSheetId="10">#REF!</definedName>
    <definedName name="RecPY4_Sel1">#REF!</definedName>
    <definedName name="RecRollFWD" localSheetId="10">#REF!</definedName>
    <definedName name="RecRollFWD">#REF!</definedName>
    <definedName name="recxv" localSheetId="10">{#N/A,#N/A,TRUE,"2432"}</definedName>
    <definedName name="recxv">{#N/A,#N/A,TRUE,"2432"}</definedName>
    <definedName name="recxy" localSheetId="10">{#N/A,#N/A,TRUE,"2432"}</definedName>
    <definedName name="recxy">{#N/A,#N/A,TRUE,"2432"}</definedName>
    <definedName name="RedefinePrintTableRange" localSheetId="10" hidden="1">#REF!</definedName>
    <definedName name="RedefinePrintTableRange" localSheetId="9" hidden="1">#REF!</definedName>
    <definedName name="RedefinePrintTableRange" localSheetId="8" hidden="1">#REF!</definedName>
    <definedName name="RedefinePrintTableRange" localSheetId="11" hidden="1">#REF!</definedName>
    <definedName name="RedefinePrintTableRange" localSheetId="16" hidden="1">#REF!</definedName>
    <definedName name="RedefinePrintTableRange" hidden="1">#REF!</definedName>
    <definedName name="redo" localSheetId="10" hidden="1">{#N/A,#N/A,FALSE,"ACQ_GRAPHS";#N/A,#N/A,FALSE,"T_1 GRAPHS";#N/A,#N/A,FALSE,"T_2 GRAPHS";#N/A,#N/A,FALSE,"COMB_GRAPHS"}</definedName>
    <definedName name="redo" localSheetId="15" hidden="1">{#N/A,#N/A,FALSE,"ACQ_GRAPHS";#N/A,#N/A,FALSE,"T_1 GRAPHS";#N/A,#N/A,FALSE,"T_2 GRAPHS";#N/A,#N/A,FALSE,"COMB_GRAPHS"}</definedName>
    <definedName name="redo" hidden="1">{#N/A,#N/A,FALSE,"ACQ_GRAPHS";#N/A,#N/A,FALSE,"T_1 GRAPHS";#N/A,#N/A,FALSE,"T_2 GRAPHS";#N/A,#N/A,FALSE,"COMB_GRAPHS"}</definedName>
    <definedName name="reeag" localSheetId="10" hidden="1">{"reagan is",#N/A,FALSE,"CONS IS";"reagan na",#N/A,FALSE,"NOTE PAYMENTS";"reagan bs",#N/A,FALSE,"CONS BS";"reagan cf",#N/A,FALSE,"CONS BS";"reagan ds",#N/A,FALSE,"CONS BS"}</definedName>
    <definedName name="reeag" hidden="1">{"reagan is",#N/A,FALSE,"CONS IS";"reagan na",#N/A,FALSE,"NOTE PAYMENTS";"reagan bs",#N/A,FALSE,"CONS BS";"reagan cf",#N/A,FALSE,"CONS BS";"reagan ds",#N/A,FALSE,"CONS BS"}</definedName>
    <definedName name="Ref_1" localSheetId="10">#REF!</definedName>
    <definedName name="Ref_1">#REF!</definedName>
    <definedName name="Ref_10" localSheetId="10">#REF!</definedName>
    <definedName name="Ref_10">#REF!</definedName>
    <definedName name="Ref_11" localSheetId="10">#REF!</definedName>
    <definedName name="Ref_11">#REF!</definedName>
    <definedName name="Ref_12">#REF!</definedName>
    <definedName name="Ref_13">#REF!</definedName>
    <definedName name="Ref_14">#REF!</definedName>
    <definedName name="Ref_15">#REF!</definedName>
    <definedName name="Ref_16">#REF!</definedName>
    <definedName name="Ref_17">#REF!</definedName>
    <definedName name="Ref_2">#REF!</definedName>
    <definedName name="Ref_3">#REF!</definedName>
    <definedName name="Ref_4">#REF!</definedName>
    <definedName name="Ref_5">#REF!</definedName>
    <definedName name="Ref_6">#REF!</definedName>
    <definedName name="Ref_7">#REF!</definedName>
    <definedName name="Ref_8">#REF!</definedName>
    <definedName name="Ref_9">#REF!</definedName>
    <definedName name="referrals" localSheetId="10" hidden="1">{"'777'!$A$1:$H$41"}</definedName>
    <definedName name="referrals" localSheetId="15" hidden="1">{"'777'!$A$1:$H$41"}</definedName>
    <definedName name="referrals" hidden="1">{"'777'!$A$1:$H$41"}</definedName>
    <definedName name="reggie" localSheetId="10">{#N/A,#N/A,FALSE,"Pharm";#N/A,#N/A,FALSE,"WWCM"}</definedName>
    <definedName name="reggie">{#N/A,#N/A,FALSE,"Pharm";#N/A,#N/A,FALSE,"WWCM"}</definedName>
    <definedName name="Region" localSheetId="10" hidden="1">#REF!</definedName>
    <definedName name="Region" hidden="1">#REF!</definedName>
    <definedName name="regtd" localSheetId="10" hidden="1">{"NOPCAPEVA",#N/A,FALSE,"Nopat";"FCFCSTAR",#N/A,FALSE,"FCFVAL";"EVAVL",#N/A,FALSE,"EVAVAL";"LEASE",#N/A,FALSE,"OpLease"}</definedName>
    <definedName name="regtd" hidden="1">{"NOPCAPEVA",#N/A,FALSE,"Nopat";"FCFCSTAR",#N/A,FALSE,"FCFVAL";"EVAVL",#N/A,FALSE,"EVAVAL";"LEASE",#N/A,FALSE,"OpLease"}</definedName>
    <definedName name="relativevalue2" localSheetId="10" hidden="1">{#N/A,#N/A,FALSE,"Bakersfield PCs";#N/A,#N/A,FALSE,"Bremer PCs";#N/A,#N/A,FALSE,"Bakersfield Notebooks"}</definedName>
    <definedName name="relativevalue2" hidden="1">{#N/A,#N/A,FALSE,"Bakersfield PCs";#N/A,#N/A,FALSE,"Bremer PCs";#N/A,#N/A,FALSE,"Bakersfield Notebooks"}</definedName>
    <definedName name="relativevalue3" localSheetId="10" hidden="1">{#N/A,#N/A,FALSE,"Bakersfield PCs";#N/A,#N/A,FALSE,"Bremer PCs";#N/A,#N/A,FALSE,"Bakersfield Notebooks"}</definedName>
    <definedName name="relativevalue3" hidden="1">{#N/A,#N/A,FALSE,"Bakersfield PCs";#N/A,#N/A,FALSE,"Bremer PCs";#N/A,#N/A,FALSE,"Bakersfield Notebooks"}</definedName>
    <definedName name="relCodes" localSheetId="10">#REF!</definedName>
    <definedName name="relCodes">#REF!</definedName>
    <definedName name="remove" localSheetId="10" hidden="1">{"banks",#N/A,FALSE,"BASIC"}</definedName>
    <definedName name="remove" hidden="1">{"banks",#N/A,FALSE,"BASIC"}</definedName>
    <definedName name="rena" localSheetId="10">#REF!</definedName>
    <definedName name="rena">#REF!</definedName>
    <definedName name="rename" localSheetId="10" hidden="1">#REF!</definedName>
    <definedName name="rename" hidden="1">#REF!</definedName>
    <definedName name="renj" localSheetId="10">#REF!</definedName>
    <definedName name="renj">#REF!</definedName>
    <definedName name="rent" localSheetId="10" hidden="1">{"1.accts",#N/A,FALSE,"2.Operations 6100";"2.accts",#N/A,FALSE,"2.Operations 6100"}</definedName>
    <definedName name="rent" localSheetId="15" hidden="1">{"1.accts",#N/A,FALSE,"2.Operations 6100";"2.accts",#N/A,FALSE,"2.Operations 6100"}</definedName>
    <definedName name="rent" hidden="1">{"1.accts",#N/A,FALSE,"2.Operations 6100";"2.accts",#N/A,FALSE,"2.Operations 6100"}</definedName>
    <definedName name="REP" hidden="1">#N/A</definedName>
    <definedName name="Report" localSheetId="10" hidden="1">{#N/A,#N/A,FALSE,"Report Print"}</definedName>
    <definedName name="Report" localSheetId="15" hidden="1">{#N/A,#N/A,FALSE,"Report Print"}</definedName>
    <definedName name="Report" hidden="1">{#N/A,#N/A,FALSE,"Report Print"}</definedName>
    <definedName name="ReportedEBITDAYear1">#REF!</definedName>
    <definedName name="ReportedEBITDAYear2">#REF!</definedName>
    <definedName name="ReportedEBITDAYear3">#REF!</definedName>
    <definedName name="ReportGroup" hidden="1">0</definedName>
    <definedName name="ReportMonth">#REF!</definedName>
    <definedName name="ReportPage1" localSheetId="10" hidden="1">{"Annual_Income",#N/A,FALSE,"Report Page";"Balance_Cash_Flow",#N/A,FALSE,"Report Page";"Quarterly_Income",#N/A,FALSE,"Report Page"}</definedName>
    <definedName name="ReportPage1" localSheetId="15"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portYr">#REF!</definedName>
    <definedName name="reps" localSheetId="10" hidden="1">{"FY03_Assets",#N/A,FALSE,"Fin Stmt Budget";"FY03_Liabilities",#N/A,FALSE,"Fin Stmt Budget";"FY03_Inc_Stmt",#N/A,FALSE,"Fin Stmt Budget";"FY03_SOCF",#N/A,FALSE,"Fin Stmt Budget"}</definedName>
    <definedName name="reps" localSheetId="15" hidden="1">{"FY03_Assets",#N/A,FALSE,"Fin Stmt Budget";"FY03_Liabilities",#N/A,FALSE,"Fin Stmt Budget";"FY03_Inc_Stmt",#N/A,FALSE,"Fin Stmt Budget";"FY03_SOCF",#N/A,FALSE,"Fin Stmt Budget"}</definedName>
    <definedName name="reps" hidden="1">{"FY03_Assets",#N/A,FALSE,"Fin Stmt Budget";"FY03_Liabilities",#N/A,FALSE,"Fin Stmt Budget";"FY03_Inc_Stmt",#N/A,FALSE,"Fin Stmt Budget";"FY03_SOCF",#N/A,FALSE,"Fin Stmt Budget"}</definedName>
    <definedName name="Request_Method">#REF!</definedName>
    <definedName name="rere" localSheetId="10" hidden="1">{#N/A,#N/A,FALSE,"ORIX CSC"}</definedName>
    <definedName name="rere" hidden="1">{#N/A,#N/A,FALSE,"ORIX CSC"}</definedName>
    <definedName name="rerere" localSheetId="10" hidden="1">{"mgmt forecast",#N/A,FALSE,"Mgmt Forecast";"dcf table",#N/A,FALSE,"Mgmt Forecast";"sensitivity",#N/A,FALSE,"Mgmt Forecast";"table inputs",#N/A,FALSE,"Mgmt Forecast";"calculations",#N/A,FALSE,"Mgmt Forecast"}</definedName>
    <definedName name="rerere" hidden="1">{"mgmt forecast",#N/A,FALSE,"Mgmt Forecast";"dcf table",#N/A,FALSE,"Mgmt Forecast";"sensitivity",#N/A,FALSE,"Mgmt Forecast";"table inputs",#N/A,FALSE,"Mgmt Forecast";"calculations",#N/A,FALSE,"Mgmt Forecast"}</definedName>
    <definedName name="Residual_difference">#REF!</definedName>
    <definedName name="resources" localSheetId="10" hidden="1">{#N/A,#N/A,FALSE,"Assessment";#N/A,#N/A,FALSE,"Staffing";#N/A,#N/A,FALSE,"Hires";#N/A,#N/A,FALSE,"Assumptions"}</definedName>
    <definedName name="resources" hidden="1">{#N/A,#N/A,FALSE,"Assessment";#N/A,#N/A,FALSE,"Staffing";#N/A,#N/A,FALSE,"Hires";#N/A,#N/A,FALSE,"Assumptions"}</definedName>
    <definedName name="resources_1" localSheetId="10" hidden="1">{#N/A,#N/A,FALSE,"Assessment";#N/A,#N/A,FALSE,"Staffing";#N/A,#N/A,FALSE,"Hires";#N/A,#N/A,FALSE,"Assumptions"}</definedName>
    <definedName name="resources_1" hidden="1">{#N/A,#N/A,FALSE,"Assessment";#N/A,#N/A,FALSE,"Staffing";#N/A,#N/A,FALSE,"Hires";#N/A,#N/A,FALSE,"Assumptions"}</definedName>
    <definedName name="resp." localSheetId="10">{#N/A,#N/A,FALSE,"Pharm";#N/A,#N/A,FALSE,"WWCM"}</definedName>
    <definedName name="resp.">{#N/A,#N/A,FALSE,"Pharm";#N/A,#N/A,FALSE,"WWCM"}</definedName>
    <definedName name="rest" localSheetId="10" hidden="1">{"Material",#N/A,TRUE,"Summary";"Mfg",#N/A,TRUE,"Summary";"mfgbymo",#N/A,TRUE,"By Month";"Mtlbymo",#N/A,TRUE,"By Month"}</definedName>
    <definedName name="rest" hidden="1">{"Material",#N/A,TRUE,"Summary";"Mfg",#N/A,TRUE,"Summary";"mfgbymo",#N/A,TRUE,"By Month";"Mtlbymo",#N/A,TRUE,"By Month"}</definedName>
    <definedName name="rest_1" localSheetId="10" hidden="1">{"Material",#N/A,TRUE,"Summary";"Mfg",#N/A,TRUE,"Summary";"mfgbymo",#N/A,TRUE,"By Month";"Mtlbymo",#N/A,TRUE,"By Month"}</definedName>
    <definedName name="rest_1" hidden="1">{"Material",#N/A,TRUE,"Summary";"Mfg",#N/A,TRUE,"Summary";"mfgbymo",#N/A,TRUE,"By Month";"Mtlbymo",#N/A,TRUE,"By Month"}</definedName>
    <definedName name="rest_1_1" localSheetId="10" hidden="1">{"Material",#N/A,TRUE,"Summary";"Mfg",#N/A,TRUE,"Summary";"mfgbymo",#N/A,TRUE,"By Month";"Mtlbymo",#N/A,TRUE,"By Month"}</definedName>
    <definedName name="rest_1_1" hidden="1">{"Material",#N/A,TRUE,"Summary";"Mfg",#N/A,TRUE,"Summary";"mfgbymo",#N/A,TRUE,"By Month";"Mtlbymo",#N/A,TRUE,"By Month"}</definedName>
    <definedName name="rest_2" localSheetId="10" hidden="1">{"Material",#N/A,TRUE,"Summary";"Mfg",#N/A,TRUE,"Summary";"mfgbymo",#N/A,TRUE,"By Month";"Mtlbymo",#N/A,TRUE,"By Month"}</definedName>
    <definedName name="rest_2" hidden="1">{"Material",#N/A,TRUE,"Summary";"Mfg",#N/A,TRUE,"Summary";"mfgbymo",#N/A,TRUE,"By Month";"Mtlbymo",#N/A,TRUE,"By Month"}</definedName>
    <definedName name="RestatedActuals" localSheetId="10" hidden="1">{#N/A,#N/A,FALSE,"Aging Summary";#N/A,#N/A,FALSE,"Ratio Analysis";#N/A,#N/A,FALSE,"Test 120 Day Accts";#N/A,#N/A,FALSE,"Tickmarks"}</definedName>
    <definedName name="RestatedActuals" localSheetId="15" hidden="1">{#N/A,#N/A,FALSE,"Aging Summary";#N/A,#N/A,FALSE,"Ratio Analysis";#N/A,#N/A,FALSE,"Test 120 Day Accts";#N/A,#N/A,FALSE,"Tickmarks"}</definedName>
    <definedName name="RestatedActuals" hidden="1">{#N/A,#N/A,FALSE,"Aging Summary";#N/A,#N/A,FALSE,"Ratio Analysis";#N/A,#N/A,FALSE,"Test 120 Day Accts";#N/A,#N/A,FALSE,"Tickmarks"}</definedName>
    <definedName name="Result">#REF!</definedName>
    <definedName name="resultatyk2"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tChar" hidden="1">"
"</definedName>
    <definedName name="Retire_Adj">#REF!</definedName>
    <definedName name="Retirement_ADJ">#REF!</definedName>
    <definedName name="Returns_5.5x" localSheetId="1" hidden="1">#REF!</definedName>
    <definedName name="Returns_5.5x" localSheetId="10" hidden="1">#REF!</definedName>
    <definedName name="Returns_5.5x" localSheetId="9" hidden="1">#REF!</definedName>
    <definedName name="Returns_5.5x" localSheetId="16" hidden="1">#REF!</definedName>
    <definedName name="Returns_5.5x" hidden="1">#REF!</definedName>
    <definedName name="returns2"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yu" localSheetId="10" hidden="1">{#N/A,#N/A,FALSE,"AD_Purchase";#N/A,#N/A,FALSE,"Credit";#N/A,#N/A,FALSE,"PF Acquisition";#N/A,#N/A,FALSE,"PF Offering"}</definedName>
    <definedName name="retyu" hidden="1">{#N/A,#N/A,FALSE,"AD_Purchase";#N/A,#N/A,FALSE,"Credit";#N/A,#N/A,FALSE,"PF Acquisition";#N/A,#N/A,FALSE,"PF Offering"}</definedName>
    <definedName name="retyu_1" localSheetId="10" hidden="1">{#N/A,#N/A,FALSE,"AD_Purchase";#N/A,#N/A,FALSE,"Credit";#N/A,#N/A,FALSE,"PF Acquisition";#N/A,#N/A,FALSE,"PF Offering"}</definedName>
    <definedName name="retyu_1" hidden="1">{#N/A,#N/A,FALSE,"AD_Purchase";#N/A,#N/A,FALSE,"Credit";#N/A,#N/A,FALSE,"PF Acquisition";#N/A,#N/A,FALSE,"PF Offering"}</definedName>
    <definedName name="Rev" localSheetId="10" hidden="1">#REF!</definedName>
    <definedName name="Rev" hidden="1">#REF!</definedName>
    <definedName name="Rev_Industry">#REF!</definedName>
    <definedName name="Rev_Mulitple">#REF!</definedName>
    <definedName name="RevByCustEngineering">#REF!</definedName>
    <definedName name="RevByCustHelpDesk">#REF!</definedName>
    <definedName name="RevByCustManagedServices">#REF!</definedName>
    <definedName name="RevByCustProduct">#REF!</definedName>
    <definedName name="Revenue">#REF!</definedName>
    <definedName name="Revenue__Net">#REF!</definedName>
    <definedName name="Revenue_Customer">#REF!</definedName>
    <definedName name="RevenueYear1" hidden="1">#REF!</definedName>
    <definedName name="RevenueYear2" hidden="1">#REF!</definedName>
    <definedName name="RevenueYear3" hidden="1">#REF!</definedName>
    <definedName name="Review">#REF!</definedName>
    <definedName name="Reviewed_IS" hidden="1">#REF!</definedName>
    <definedName name="rewq" localSheetId="10"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10" hidden="1">{#N/A,#N/A,FALSE,"Umsatz 99";#N/A,#N/A,FALSE,"ER 99 "}</definedName>
    <definedName name="rewtet" hidden="1">{#N/A,#N/A,FALSE,"Umsatz 99";#N/A,#N/A,FALSE,"ER 99 "}</definedName>
    <definedName name="rey" localSheetId="10" hidden="1">{"NOPCAPEVA",#N/A,FALSE,"Nopat";"FCFCSTAR",#N/A,FALSE,"FCFVAL";"EVAVL",#N/A,FALSE,"EVAVAL";"LEASE",#N/A,FALSE,"OpLease"}</definedName>
    <definedName name="rey" hidden="1">{"NOPCAPEVA",#N/A,FALSE,"Nopat";"FCFCSTAR",#N/A,FALSE,"FCFVAL";"EVAVL",#N/A,FALSE,"EVAVAL";"LEASE",#N/A,FALSE,"OpLease"}</definedName>
    <definedName name="rf" localSheetId="10">#REF!</definedName>
    <definedName name="rf">#REF!</definedName>
    <definedName name="rf2e" localSheetId="10">{#N/A,#N/A,FALSE,"Pharm";#N/A,#N/A,FALSE,"WWCM"}</definedName>
    <definedName name="rf2e">{#N/A,#N/A,FALSE,"Pharm";#N/A,#N/A,FALSE,"WWCM"}</definedName>
    <definedName name="rfgg" localSheetId="10" hidden="1">{#N/A,#N/A,FALSE,"sum-don";#N/A,#N/A,FALSE,"inc-don"}</definedName>
    <definedName name="rfgg" hidden="1">{#N/A,#N/A,FALSE,"sum-don";#N/A,#N/A,FALSE,"inc-don"}</definedName>
    <definedName name="rfgg_1" localSheetId="10" hidden="1">{#N/A,#N/A,FALSE,"sum-don";#N/A,#N/A,FALSE,"inc-don"}</definedName>
    <definedName name="rfgg_1" hidden="1">{#N/A,#N/A,FALSE,"sum-don";#N/A,#N/A,FALSE,"inc-don"}</definedName>
    <definedName name="rfrmtpp1">#REF!</definedName>
    <definedName name="rfrmtpp1a">#REF!</definedName>
    <definedName name="rfrmtpp1u">#REF!</definedName>
    <definedName name="rfrmtpp2a">#REF!</definedName>
    <definedName name="rfrmtpp2u">#REF!</definedName>
    <definedName name="rfrmtpp3a">#REF!</definedName>
    <definedName name="rfrmtpp3u">#REF!</definedName>
    <definedName name="rfrmtpp4a">#REF!</definedName>
    <definedName name="rfrmtpp4u">#REF!</definedName>
    <definedName name="rfrmtpp5a">#REF!</definedName>
    <definedName name="rfrmtpp5u">#REF!</definedName>
    <definedName name="R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RG"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g" hidden="1">#REF!</definedName>
    <definedName name="rg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rg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rgreg"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greg"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grg" localSheetId="10" hidden="1">{"profit statement",#N/A,FALSE,"P&amp;L STATEMENT"}</definedName>
    <definedName name="rgrg" hidden="1">{"profit statement",#N/A,FALSE,"P&amp;L STATEMENT"}</definedName>
    <definedName name="rgrsdg" localSheetId="10" hidden="1">{"manpower",#N/A,FALSE,"MANPOWER_PAYROLL"}</definedName>
    <definedName name="rgrsdg" hidden="1">{"manpower",#N/A,FALSE,"MANPOWER_PAYROLL"}</definedName>
    <definedName name="rgrsdgrsed" localSheetId="10" hidden="1">{"sga expense",#N/A,FALSE,"S,G&amp;A EXP"}</definedName>
    <definedName name="rgrsdgrsed" hidden="1">{"sga expense",#N/A,FALSE,"S,G&amp;A EXP"}</definedName>
    <definedName name="rgrsdgsr" localSheetId="10" hidden="1">{"sga expense",#N/A,FALSE,"S,G&amp;A EXP"}</definedName>
    <definedName name="rgrsdgsr" hidden="1">{"sga expense",#N/A,FALSE,"S,G&amp;A EXP"}</definedName>
    <definedName name="rgrsegsre" localSheetId="10" hidden="1">{"capital",#N/A,FALSE,"CAPITAL_DEP'N"}</definedName>
    <definedName name="rgrsegsre" hidden="1">{"capital",#N/A,FALSE,"CAPITAL_DEP'N"}</definedName>
    <definedName name="rgrsg" localSheetId="10" hidden="1">{"profit statement",#N/A,FALSE,"P&amp;L STATEMENT"}</definedName>
    <definedName name="rgrsg" hidden="1">{"profit statement",#N/A,FALSE,"P&amp;L STATEMENT"}</definedName>
    <definedName name="rgrsgr" localSheetId="10" hidden="1">{"sga expense",#N/A,FALSE,"S,G&amp;A EXP"}</definedName>
    <definedName name="rgrsgr" hidden="1">{"sga expense",#N/A,FALSE,"S,G&amp;A EXP"}</definedName>
    <definedName name="rgrsgrd" localSheetId="10" hidden="1">{"works expense",#N/A,FALSE,"WORKS EXPENSE"}</definedName>
    <definedName name="rgrsgrd" hidden="1">{"works expense",#N/A,FALSE,"WORKS EXPENSE"}</definedName>
    <definedName name="rgsdrg" localSheetId="10" hidden="1">{"sga expense",#N/A,FALSE,"S,G&amp;A EXP"}</definedName>
    <definedName name="rgsdrg" hidden="1">{"sga expense",#N/A,FALSE,"S,G&amp;A EXP"}</definedName>
    <definedName name="rgsrdg" localSheetId="10" hidden="1">{"product cost",#N/A,FALSE,"P&amp;L STATEMENT"}</definedName>
    <definedName name="rgsrdg" hidden="1">{"product cost",#N/A,FALSE,"P&amp;L STATEMENT"}</definedName>
    <definedName name="rgsredg" localSheetId="10" hidden="1">{"sga expense",#N/A,FALSE,"S,G&amp;A EXP"}</definedName>
    <definedName name="rgsredg" hidden="1">{"sga expense",#N/A,FALSE,"S,G&amp;A EXP"}</definedName>
    <definedName name="rgsrg" localSheetId="10" hidden="1">{"manpower",#N/A,FALSE,"MANPOWER_PAYROLL"}</definedName>
    <definedName name="rgsrg" hidden="1">{"manpower",#N/A,FALSE,"MANPOWER_PAYROLL"}</definedName>
    <definedName name="rhrs" localSheetId="10">{#N/A,#N/A,FALSE,"Aging Summary";#N/A,#N/A,FALSE,"Ratio Analysis";#N/A,#N/A,FALSE,"Test 120 Day Accts";#N/A,#N/A,FALSE,"Tickmarks"}</definedName>
    <definedName name="rhrs">{#N/A,#N/A,FALSE,"Aging Summary";#N/A,#N/A,FALSE,"Ratio Analysis";#N/A,#N/A,FALSE,"Test 120 Day Accts";#N/A,#N/A,FALSE,"Tickmarks"}</definedName>
    <definedName name="rich" localSheetId="10" hidden="1">{"Capital Plan CA Schedule",#N/A,TRUE,"Capital Plan";"Capital Plan Summary",#N/A,TRUE,"Capital Plan"}</definedName>
    <definedName name="rich" hidden="1">{"Capital Plan CA Schedule",#N/A,TRUE,"Capital Plan";"Capital Plan Summary",#N/A,TRUE,"Capital Plan"}</definedName>
    <definedName name="rich_1" localSheetId="10" hidden="1">{"Capital Plan CA Schedule",#N/A,TRUE,"Capital Plan";"Capital Plan Summary",#N/A,TRUE,"Capital Plan"}</definedName>
    <definedName name="rich_1" hidden="1">{"Capital Plan CA Schedule",#N/A,TRUE,"Capital Plan";"Capital Plan Summary",#N/A,TRUE,"Capital Plan"}</definedName>
    <definedName name="rich_2" localSheetId="10" hidden="1">{"Capital Plan CA Schedule",#N/A,TRUE,"Capital Plan";"Capital Plan Summary",#N/A,TRUE,"Capital Plan"}</definedName>
    <definedName name="rich_2" hidden="1">{"Capital Plan CA Schedule",#N/A,TRUE,"Capital Plan";"Capital Plan Summary",#N/A,TRUE,"Capital Plan"}</definedName>
    <definedName name="rich_3" localSheetId="10" hidden="1">{"Capital Plan CA Schedule",#N/A,TRUE,"Capital Plan";"Capital Plan Summary",#N/A,TRUE,"Capital Plan"}</definedName>
    <definedName name="rich_3" hidden="1">{"Capital Plan CA Schedule",#N/A,TRUE,"Capital Plan";"Capital Plan Summary",#N/A,TRUE,"Capital Plan"}</definedName>
    <definedName name="rich_4" localSheetId="10" hidden="1">{"Capital Plan CA Schedule",#N/A,TRUE,"Capital Plan";"Capital Plan Summary",#N/A,TRUE,"Capital Plan"}</definedName>
    <definedName name="rich_4" hidden="1">{"Capital Plan CA Schedule",#N/A,TRUE,"Capital Plan";"Capital Plan Summary",#N/A,TRUE,"Capital Plan"}</definedName>
    <definedName name="rich_5" localSheetId="10" hidden="1">{"Capital Plan CA Schedule",#N/A,TRUE,"Capital Plan";"Capital Plan Summary",#N/A,TRUE,"Capital Plan"}</definedName>
    <definedName name="rich_5" hidden="1">{"Capital Plan CA Schedule",#N/A,TRUE,"Capital Plan";"Capital Plan Summary",#N/A,TRUE,"Capital Plan"}</definedName>
    <definedName name="Rick"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localSheetId="15"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D" localSheetId="10">#REF!</definedName>
    <definedName name="RID">#REF!</definedName>
    <definedName name="ris" localSheetId="10" hidden="1">{"BALANCE SHEET",#N/A,FALSE,"FINANCIALS";"INCOME",#N/A,FALSE,"FINANCIALS";"RETAINED EARNINGS",#N/A,FALSE,"FINANCIALS";"SOCFP",#N/A,FALSE,"FINANCIALS";"TRIAL BALANCE",#N/A,FALSE,"FINANCIALS"}</definedName>
    <definedName name="ris" localSheetId="15" hidden="1">{"BALANCE SHEET",#N/A,FALSE,"FINANCIALS";"INCOME",#N/A,FALSE,"FINANCIALS";"RETAINED EARNINGS",#N/A,FALSE,"FINANCIALS";"SOCFP",#N/A,FALSE,"FINANCIALS";"TRIAL BALANCE",#N/A,FALSE,"FINANCIALS"}</definedName>
    <definedName name="ris" hidden="1">{"BALANCE SHEET",#N/A,FALSE,"FINANCIALS";"INCOME",#N/A,FALSE,"FINANCIALS";"RETAINED EARNINGS",#N/A,FALSE,"FINANCIALS";"SOCFP",#N/A,FALSE,"FINANCIALS";"TRIAL BALANCE",#N/A,FALSE,"FINANCIALS"}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xi" localSheetId="10" hidden="1">{"oct_res_comm",#N/A,FALSE,"VarToBud"}</definedName>
    <definedName name="rixi" hidden="1">{"oct_res_comm",#N/A,FALSE,"VarToBud"}</definedName>
    <definedName name="rjod" localSheetId="10" hidden="1">{"detail",#N/A,FALSE,"mfg";"summary",#N/A,FALSE,"mfg"}</definedName>
    <definedName name="rjod" hidden="1">{"detail",#N/A,FALSE,"mfg";"summary",#N/A,FALSE,"mfg"}</definedName>
    <definedName name="rkods" localSheetId="10" hidden="1">{"detail",#N/A,FALSE,"mfg";"summary",#N/A,FALSE,"mfg"}</definedName>
    <definedName name="rkods" hidden="1">{"detail",#N/A,FALSE,"mfg";"summary",#N/A,FALSE,"mfg"}</definedName>
    <definedName name="RM" hidden="1">#REF!</definedName>
    <definedName name="rmarkettotal" localSheetId="10">#REF!</definedName>
    <definedName name="rmarkettotal">#REF!</definedName>
    <definedName name="RMCOptions">"*100000000000000"</definedName>
    <definedName name="rngComments" hidden="1">#REF!</definedName>
    <definedName name="rngDialogType" hidden="1">#REF!</definedName>
    <definedName name="rngEndDate" hidden="1">#REF!</definedName>
    <definedName name="rngHeader">#REF!</definedName>
    <definedName name="rngLastCount">#REF!</definedName>
    <definedName name="rngLastQuery" hidden="1">#REF!</definedName>
    <definedName name="rngLastRefreshOffline" hidden="1">#REF!</definedName>
    <definedName name="rngLastTitle">#REF!</definedName>
    <definedName name="rngLibraryList">#REF!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esults">#REF!</definedName>
    <definedName name="rngScenarios" hidden="1">#REF!</definedName>
    <definedName name="rngShow" hidden="1">#REF!</definedName>
    <definedName name="rngSqlStatement">#REF!</definedName>
    <definedName name="rngStartDate" hidden="1">#REF!</definedName>
    <definedName name="rngStoredProcedure" hidden="1">#REF!</definedName>
    <definedName name="rngSystem">#REF!</definedName>
    <definedName name="rngTitle">#REF!</definedName>
    <definedName name="rngUID" hidden="1">#REF!</definedName>
    <definedName name="rngUnplugged" hidden="1">#REF!</definedName>
    <definedName name="rngUserName">#REF!</definedName>
    <definedName name="rngVersion" hidden="1">#REF!</definedName>
    <definedName name="Robert2" localSheetId="10" hidden="1">{"DCF",#N/A,FALSE,"CF"}</definedName>
    <definedName name="Robert2" hidden="1">{"DCF",#N/A,FALSE,"CF"}</definedName>
    <definedName name="RowTitleRegion1..I1" localSheetId="10">#REF!</definedName>
    <definedName name="RowTitleRegion1..I1">#REF!</definedName>
    <definedName name="Royalty" localSheetId="10">#REF!</definedName>
    <definedName name="Royalty">#REF!</definedName>
    <definedName name="rpp" localSheetId="10">#REF!</definedName>
    <definedName name="rpp">#REF!</definedName>
    <definedName name="rpt_6307">#REF!</definedName>
    <definedName name="rpt_BS">#REF!</definedName>
    <definedName name="rpt_PL">#REF!</definedName>
    <definedName name="rpt_PL_All">#REF!</definedName>
    <definedName name="rr" localSheetId="10" hidden="1">{"capital",#N/A,FALSE,"CAPITAL_DEP'N"}</definedName>
    <definedName name="rr" hidden="1">{"capital",#N/A,FALSE,"CAPITAL_DEP'N"}</definedName>
    <definedName name="rr.kk" localSheetId="10"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1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 localSheetId="15"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rrrr" localSheetId="10" hidden="1">{"vol data",#N/A,FALSE,"Datasheet";"vol graph",#N/A,FALSE,"Volume";"price data",#N/A,FALSE,"Datasheet";"price graph",#N/A,FALSE,"Price";"dp data",#N/A,FALSE,"Datasheet";"dp graph",#N/A,FALSE,"DirectProfit"}</definedName>
    <definedName name="rrrr" hidden="1">{"vol data",#N/A,FALSE,"Datasheet";"vol graph",#N/A,FALSE,"Volume";"price data",#N/A,FALSE,"Datasheet";"price graph",#N/A,FALSE,"Price";"dp data",#N/A,FALSE,"Datasheet";"dp graph",#N/A,FALSE,"DirectProfit"}</definedName>
    <definedName name="rrrrr" localSheetId="10" hidden="1">{#N/A,#N/A,FALSE,"BANNERS";#N/A,#N/A,FALSE,"Market";#N/A,#N/A,FALSE,"Tel Rev";#N/A,#N/A,FALSE,"Revenues IOL";#N/A,#N/A,FALSE,"Invest";#N/A,#N/A,FALSE,"Op Cost1";#N/A,#N/A,FALSE,"Op Cost2";#N/A,#N/A,FALSE,"Oth_&amp;_Tot_Revenues";#N/A,#N/A,FALSE,"Fin Mod";#N/A,#N/A,FALSE,"FinMod_RoW";#N/A,#N/A,FALSE,"P&amp;E Burocrat";#N/A,#N/A,FALSE,"cash flow"}</definedName>
    <definedName name="rrrrr" localSheetId="15" hidden="1">{#N/A,#N/A,FALSE,"BANNERS";#N/A,#N/A,FALSE,"Market";#N/A,#N/A,FALSE,"Tel Rev";#N/A,#N/A,FALSE,"Revenues IOL";#N/A,#N/A,FALSE,"Invest";#N/A,#N/A,FALSE,"Op Cost1";#N/A,#N/A,FALSE,"Op Cost2";#N/A,#N/A,FALSE,"Oth_&amp;_Tot_Revenues";#N/A,#N/A,FALSE,"Fin Mod";#N/A,#N/A,FALSE,"FinMod_RoW";#N/A,#N/A,FALSE,"P&amp;E Burocrat";#N/A,#N/A,FALSE,"cash flow"}</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rrrrrrww" hidden="1">#REF!</definedName>
    <definedName name="rs" localSheetId="10" hidden="1">{"FCB_ALL",#N/A,FALSE,"FCB"}</definedName>
    <definedName name="rs" localSheetId="15" hidden="1">{"FCB_ALL",#N/A,FALSE,"FCB"}</definedName>
    <definedName name="rs" hidden="1">{"FCB_ALL",#N/A,FALSE,"FCB"}</definedName>
    <definedName name="rsac" localSheetId="10"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safd" localSheetId="10" hidden="1">{"AnnInc",#N/A,TRUE,"Inc";"QtrInc1",#N/A,TRUE,"Inc";"Balance",#N/A,TRUE,"Bal";"Cflow",#N/A,TRUE,"Cash"}</definedName>
    <definedName name="rsafd" hidden="1">{"AnnInc",#N/A,TRUE,"Inc";"QtrInc1",#N/A,TRUE,"Inc";"Balance",#N/A,TRUE,"Bal";"Cflow",#N/A,TRUE,"Cash"}</definedName>
    <definedName name="rse" localSheetId="10" hidden="1">{"FCB_ALL",#N/A,FALSE,"FCB"}</definedName>
    <definedName name="rse" localSheetId="15" hidden="1">{"FCB_ALL",#N/A,FALSE,"FCB"}</definedName>
    <definedName name="rse" hidden="1">{"FCB_ALL",#N/A,FALSE,"FCB"}</definedName>
    <definedName name="rsem" localSheetId="10" hidden="1">{#N/A,#N/A,FALSE,"1996";#N/A,#N/A,FALSE,"1995";#N/A,#N/A,FALSE,"1994"}</definedName>
    <definedName name="rsem" localSheetId="15" hidden="1">{#N/A,#N/A,FALSE,"1996";#N/A,#N/A,FALSE,"1995";#N/A,#N/A,FALSE,"1994"}</definedName>
    <definedName name="rsem" hidden="1">{#N/A,#N/A,FALSE,"1996";#N/A,#N/A,FALSE,"1995";#N/A,#N/A,FALSE,"1994"}</definedName>
    <definedName name="rsrgsrdg"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srgsrdg"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rst" localSheetId="10"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rst" hidden="1">{#N/A,#N/A,TRUE,"HVAC CONS SK";#N/A,#N/A,TRUE,"HVAC CONS RG";#N/A,#N/A,TRUE,"HVAC CONS SK BC";#N/A,#N/A,TRUE,"HVAC CONS RG BC";#N/A,#N/A,TRUE,"ALCO SK";#N/A,#N/A,TRUE,"ALCO RG";#N/A,#N/A,TRUE,"ALCO SK BC";#N/A,#N/A,TRUE,"ALCO RG BC";#N/A,#N/A,TRUE,"VALY SK";#N/A,#N/A,TRUE,"VALY RG";#N/A,#N/A,TRUE,"COP CONS SK";#N/A,#N/A,TRUE,"COP CONS RG";#N/A,#N/A,TRUE,"COP CONS SK BC";#N/A,#N/A,TRUE,"COP CONS RG BC";#N/A,#N/A,TRUE,"ALLIANCE SK";#N/A,#N/A,TRUE,"ALLIANCE RG";#N/A,#N/A,TRUE,"CPC SK";#N/A,#N/A,TRUE,"CPC RG";#N/A,#N/A,TRUE,"EHMD SK";#N/A,#N/A,TRUE,"EHMD RG";#N/A,#N/A,TRUE,"FUSITE SK";#N/A,#N/A,TRUE,"FUSITE RG";#N/A,#N/A,TRUE,"WHITE-RODGERS SK";#N/A,#N/A,TRUE,"WHITE-RODGERS RG";#N/A,#N/A,TRUE,"WHITE-RODGERS SK BC";#N/A,#N/A,TRUE,"WHITE-RODGERS RG BC";#N/A,#N/A,TRUE,"GENERAL CONTROLS SK";#N/A,#N/A,TRUE,"GENERAL CONTROLS RG";#N/A,#N/A,TRUE,"PACTROL SK";#N/A,#N/A,TRUE,"PACTROL RG"}</definedName>
    <definedName name="rt" hidden="1">#REF!</definedName>
    <definedName name="rt_1" localSheetId="10" hidden="1">{#N/A,#N/A,FALSE,"Second";#N/A,#N/A,FALSE,"ownership";#N/A,#N/A,FALSE,"Valuation";#N/A,#N/A,FALSE,"Eqiv";#N/A,#N/A,FALSE,"Mults";#N/A,#N/A,FALSE,"ISCG Graphics"}</definedName>
    <definedName name="rt_1" hidden="1">{#N/A,#N/A,FALSE,"Second";#N/A,#N/A,FALSE,"ownership";#N/A,#N/A,FALSE,"Valuation";#N/A,#N/A,FALSE,"Eqiv";#N/A,#N/A,FALSE,"Mults";#N/A,#N/A,FALSE,"ISCG Graphics"}</definedName>
    <definedName name="RT_Company" localSheetId="10">#REF!</definedName>
    <definedName name="RT_Company">#REF!</definedName>
    <definedName name="RtApp" localSheetId="10">#REF!</definedName>
    <definedName name="RtApp">#REF!</definedName>
    <definedName name="rtds" localSheetId="10" hidden="1">{"ICD Details",#N/A,FALSE,"Current Yr";"ICD Details",#N/A,FALSE,"Budget";"ICD Details",#N/A,FALSE,"Prior Year"}</definedName>
    <definedName name="rtds" hidden="1">{"ICD Details",#N/A,FALSE,"Current Yr";"ICD Details",#N/A,FALSE,"Budget";"ICD Details",#N/A,FALSE,"Prior Year"}</definedName>
    <definedName name="rte" hidden="1">#REF!</definedName>
    <definedName name="rtfg" localSheetId="10"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10" hidden="1">{#N/A,#N/A,TRUE,"Sheet1";#N/A,#N/A,TRUE,"Sheet2";#N/A,#N/A,TRUE,"Sheet3";#N/A,#N/A,TRUE,"Sheet4";#N/A,#N/A,TRUE,"Sheet5";#N/A,#N/A,TRUE,"Sheet6";#N/A,#N/A,TRUE,"Sheet7"}</definedName>
    <definedName name="rtgh" hidden="1">{#N/A,#N/A,TRUE,"Sheet1";#N/A,#N/A,TRUE,"Sheet2";#N/A,#N/A,TRUE,"Sheet3";#N/A,#N/A,TRUE,"Sheet4";#N/A,#N/A,TRUE,"Sheet5";#N/A,#N/A,TRUE,"Sheet6";#N/A,#N/A,TRUE,"Sheet7"}</definedName>
    <definedName name="RtISList" localSheetId="10">#REF!</definedName>
    <definedName name="RtISList">#REF!</definedName>
    <definedName name="RTName" localSheetId="10">#REF!</definedName>
    <definedName name="RTName">#REF!</definedName>
    <definedName name="rtnb" localSheetId="10"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10"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y" localSheetId="10"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 localSheetId="1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hgf" localSheetId="10" hidden="1">{"NOPCAPEVA",#N/A,FALSE,"Nopat";"FCFCSTAR",#N/A,FALSE,"FCFVAL";"EVAVL",#N/A,FALSE,"EVAVAL";"LEASE",#N/A,FALSE,"OpLease"}</definedName>
    <definedName name="rtyhgf" hidden="1">{"NOPCAPEVA",#N/A,FALSE,"Nopat";"FCFCSTAR",#N/A,FALSE,"FCFVAL";"EVAVL",#N/A,FALSE,"EVAVAL";"LEASE",#N/A,FALSE,"OpLease"}</definedName>
    <definedName name="rtyu" localSheetId="10" hidden="1">{"BA detail",#N/A,FALSE,"Q3YTD "}</definedName>
    <definedName name="rtyu" hidden="1">{"BA detail",#N/A,FALSE,"Q3YTD "}</definedName>
    <definedName name="run"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p" localSheetId="10" hidden="1">{"AnnInc",#N/A,TRUE,"Inc";"QtrInc1",#N/A,TRUE,"Inc";"Balance",#N/A,TRUE,"Bal";"Cflow",#N/A,TRUE,"Cash"}</definedName>
    <definedName name="rup" hidden="1">{"AnnInc",#N/A,TRUE,"Inc";"QtrInc1",#N/A,TRUE,"Inc";"Balance",#N/A,TRUE,"Bal";"Cflow",#N/A,TRUE,"Cash"}</definedName>
    <definedName name="russ" localSheetId="10" hidden="1">{"'Inventory &amp; Anal-Cur Wkbk'!$A$7:$AP$71"}</definedName>
    <definedName name="russ" hidden="1">{"'Inventory &amp; Anal-Cur Wkbk'!$A$7:$AP$71"}</definedName>
    <definedName name="ruufo" localSheetId="10" hidden="1">{"detail",#N/A,FALSE,"mfg";"summary",#N/A,FALSE,"mfg"}</definedName>
    <definedName name="ruufo" hidden="1">{"detail",#N/A,FALSE,"mfg";"summary",#N/A,FALSE,"mfg"}</definedName>
    <definedName name="rv" localSheetId="10"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ve" hidden="1">#REF!</definedName>
    <definedName name="rvtrvtrv" hidden="1">#REF!</definedName>
    <definedName name="rw" localSheetId="10"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 hidden="1">#REF!</definedName>
    <definedName name="rweq" localSheetId="10"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10">{#N/A,#N/A,FALSE,"Pharm";#N/A,#N/A,FALSE,"WWCM"}</definedName>
    <definedName name="rwert">{#N/A,#N/A,FALSE,"Pharm";#N/A,#N/A,FALSE,"WWCM"}</definedName>
    <definedName name="rwew" localSheetId="10"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jf" localSheetId="10" hidden="1">{#N/A,#N/A,FALSE,"BS";#N/A,#N/A,FALSE,"PL";#N/A,#N/A,FALSE,"SOE";#N/A,#N/A,FALSE,"SCF"}</definedName>
    <definedName name="rwjf" localSheetId="15" hidden="1">{#N/A,#N/A,FALSE,"BS";#N/A,#N/A,FALSE,"PL";#N/A,#N/A,FALSE,"SOE";#N/A,#N/A,FALSE,"SCF"}</definedName>
    <definedName name="rwjf" hidden="1">{#N/A,#N/A,FALSE,"BS";#N/A,#N/A,FALSE,"PL";#N/A,#N/A,FALSE,"SOE";#N/A,#N/A,FALSE,"SCF"}</definedName>
    <definedName name="rwsz" localSheetId="10" hidden="1">{"Commentary",#N/A,FALSE,"May"}</definedName>
    <definedName name="rwsz" hidden="1">{"Commentary",#N/A,FALSE,"May"}</definedName>
    <definedName name="Rwvu.CapersView." hidden="1">#REF!</definedName>
    <definedName name="Rwvu.Japan_Capers_Ed_Pub." hidden="1">#REF!</definedName>
    <definedName name="Rwvu.KJP_CC." hidden="1">#REF!</definedName>
    <definedName name="Rwvu.PRT." hidden="1">#REF!,#REF!</definedName>
    <definedName name="rwxz" localSheetId="10"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_Demographics_Range" hidden="1">#REF!</definedName>
    <definedName name="Rx_Formulary_Analysis_Range" hidden="1">#REF!</definedName>
    <definedName name="Rx_Key_Statistics_Range" hidden="1">#REF!</definedName>
    <definedName name="Rx_Network_Analysis_Savings_Range" hidden="1">#REF!</definedName>
    <definedName name="Rx_paid_amt_prior" hidden="1">#REF!</definedName>
    <definedName name="Rx_Retail_vs_MOD_Impact_Range" hidden="1">#REF!</definedName>
    <definedName name="Rx_Top_30_Drugs_by_Claims_Range" hidden="1">#REF!</definedName>
    <definedName name="Rx_Top_30_Drugs_by_Paid_Range" hidden="1">#REF!</definedName>
    <definedName name="rxs" localSheetId="10"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s" localSheetId="10" hidden="1">#REF!</definedName>
    <definedName name="s" localSheetId="9" hidden="1">#REF!</definedName>
    <definedName name="s" localSheetId="8" hidden="1">#REF!</definedName>
    <definedName name="s" localSheetId="16" hidden="1">#REF!</definedName>
    <definedName name="s" hidden="1">#REF!</definedName>
    <definedName name="s_1" localSheetId="10" hidden="1">{"page1",#N/A,FALSE,"GIRLBO";"page2",#N/A,FALSE,"GIRLBO";"page3",#N/A,FALSE,"GIRLBO";"page4",#N/A,FALSE,"GIRLBO";"page5",#N/A,FALSE,"GIRLBO"}</definedName>
    <definedName name="s_1" hidden="1">{"page1",#N/A,FALSE,"GIRLBO";"page2",#N/A,FALSE,"GIRLBO";"page3",#N/A,FALSE,"GIRLBO";"page4",#N/A,FALSE,"GIRLBO";"page5",#N/A,FALSE,"GIRLBO"}</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a" localSheetId="10">{"Cover",#N/A,FALSE,"Cover";"trans_sum_print",#N/A,FALSE,"Transaction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sa">{"Cover",#N/A,FALSE,"Cover";"trans_sum_print",#N/A,FALSE,"Transaction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sa_1" localSheetId="10" hidden="1">{#N/A,#N/A,FALSE,"IPO";#N/A,#N/A,FALSE,"DCF";#N/A,#N/A,FALSE,"LBO";#N/A,#N/A,FALSE,"MULT_VAL";#N/A,#N/A,FALSE,"Status Quo";#N/A,#N/A,FALSE,"Recap"}</definedName>
    <definedName name="sa_1" hidden="1">{#N/A,#N/A,FALSE,"IPO";#N/A,#N/A,FALSE,"DCF";#N/A,#N/A,FALSE,"LBO";#N/A,#N/A,FALSE,"MULT_VAL";#N/A,#N/A,FALSE,"Status Quo";#N/A,#N/A,FALSE,"Recap"}</definedName>
    <definedName name="saa" localSheetId="10" hidden="1">{"rtn",#N/A,FALSE,"RTN";"tables",#N/A,FALSE,"RTN";"cf",#N/A,FALSE,"CF";"stats",#N/A,FALSE,"Stats";"prop",#N/A,FALSE,"Prop"}</definedName>
    <definedName name="saa" hidden="1">{"rtn",#N/A,FALSE,"RTN";"tables",#N/A,FALSE,"RTN";"cf",#N/A,FALSE,"CF";"stats",#N/A,FALSE,"Stats";"prop",#N/A,FALSE,"Prop"}</definedName>
    <definedName name="SAC" localSheetId="10">{#N/A,#N/A,FALSE,"Projections";#N/A,#N/A,FALSE,"Multiples Valuation";#N/A,#N/A,FALSE,"LBO";#N/A,#N/A,FALSE,"Multiples_Sensitivity";#N/A,#N/A,FALSE,"Summary"}</definedName>
    <definedName name="SAC">{#N/A,#N/A,FALSE,"Projections";#N/A,#N/A,FALSE,"Multiples Valuation";#N/A,#N/A,FALSE,"LBO";#N/A,#N/A,FALSE,"Multiples_Sensitivity";#N/A,#N/A,FALSE,"Summary"}</definedName>
    <definedName name="sad" localSheetId="10" hidden="1">#REF!</definedName>
    <definedName name="sad" localSheetId="9" hidden="1">#REF!</definedName>
    <definedName name="sad" localSheetId="8" hidden="1">#REF!</definedName>
    <definedName name="sad" localSheetId="16" hidden="1">#REF!</definedName>
    <definedName name="sad" hidden="1">#REF!</definedName>
    <definedName name="sadf" localSheetId="10"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a" localSheetId="10">{#N/A,#N/A,TRUE,"Notes";#N/A,#N/A,TRUE,"Cap Struct";#N/A,#N/A,TRUE,"OBS";#N/A,#N/A,TRUE,"bal Sheet";#N/A,#N/A,TRUE,"Inc stmt";#N/A,#N/A,TRUE,"csh flw";#N/A,#N/A,TRUE,"debt";#N/A,#N/A,TRUE,"detail 96,97";#N/A,#N/A,TRUE,"Covenants"}</definedName>
    <definedName name="sadfa">{#N/A,#N/A,TRUE,"Notes";#N/A,#N/A,TRUE,"Cap Struct";#N/A,#N/A,TRUE,"OBS";#N/A,#N/A,TRUE,"bal Sheet";#N/A,#N/A,TRUE,"Inc stmt";#N/A,#N/A,TRUE,"csh flw";#N/A,#N/A,TRUE,"debt";#N/A,#N/A,TRUE,"detail 96,97";#N/A,#N/A,TRUE,"Covenants"}</definedName>
    <definedName name="sadfasdfasdfasdfasdfasdf" localSheetId="10" hidden="1">{"inputs raw data",#N/A,TRUE,"INPUT"}</definedName>
    <definedName name="sadfasdfasdfasdfasdfasdf" hidden="1">{"inputs raw data",#N/A,TRUE,"INPUT"}</definedName>
    <definedName name="sadfasdfsa" localSheetId="10" hidden="1">{"summary1",#N/A,TRUE,"Comps";"summary2",#N/A,TRUE,"Comps";"summary3",#N/A,TRUE,"Comps"}</definedName>
    <definedName name="sadfasdfsa" hidden="1">{"summary1",#N/A,TRUE,"Comps";"summary2",#N/A,TRUE,"Comps";"summary3",#N/A,TRUE,"Comps"}</definedName>
    <definedName name="sadsadsa" localSheetId="10" hidden="1">{"e_Target Assumptions",#N/A,FALSE,"Financials";"f_Target Income Statement",#N/A,FALSE,"Financials";"g_Target Balance Sheet",#N/A,FALSE,"Financials";"h_Target Cashflow Statement",#N/A,FALSE,"Financials"}</definedName>
    <definedName name="sadsadsa" hidden="1">{"e_Target Assumptions",#N/A,FALSE,"Financials";"f_Target Income Statement",#N/A,FALSE,"Financials";"g_Target Balance Sheet",#N/A,FALSE,"Financials";"h_Target Cashflow Statement",#N/A,FALSE,"Financials"}</definedName>
    <definedName name="sadsadsa_1" localSheetId="10" hidden="1">{"e_Target Assumptions",#N/A,FALSE,"Financials";"f_Target Income Statement",#N/A,FALSE,"Financials";"g_Target Balance Sheet",#N/A,FALSE,"Financials";"h_Target Cashflow Statement",#N/A,FALSE,"Financials"}</definedName>
    <definedName name="sadsadsa_1" hidden="1">{"e_Target Assumptions",#N/A,FALSE,"Financials";"f_Target Income Statement",#N/A,FALSE,"Financials";"g_Target Balance Sheet",#N/A,FALSE,"Financials";"h_Target Cashflow Statement",#N/A,FALSE,"Financials"}</definedName>
    <definedName name="sadsadsa_1_1" localSheetId="10" hidden="1">{"e_Target Assumptions",#N/A,FALSE,"Financials";"f_Target Income Statement",#N/A,FALSE,"Financials";"g_Target Balance Sheet",#N/A,FALSE,"Financials";"h_Target Cashflow Statement",#N/A,FALSE,"Financials"}</definedName>
    <definedName name="sadsadsa_1_1" hidden="1">{"e_Target Assumptions",#N/A,FALSE,"Financials";"f_Target Income Statement",#N/A,FALSE,"Financials";"g_Target Balance Sheet",#N/A,FALSE,"Financials";"h_Target Cashflow Statement",#N/A,FALSE,"Financials"}</definedName>
    <definedName name="sadsadsa_2" localSheetId="10" hidden="1">{"e_Target Assumptions",#N/A,FALSE,"Financials";"f_Target Income Statement",#N/A,FALSE,"Financials";"g_Target Balance Sheet",#N/A,FALSE,"Financials";"h_Target Cashflow Statement",#N/A,FALSE,"Financials"}</definedName>
    <definedName name="sadsadsa_2" hidden="1">{"e_Target Assumptions",#N/A,FALSE,"Financials";"f_Target Income Statement",#N/A,FALSE,"Financials";"g_Target Balance Sheet",#N/A,FALSE,"Financials";"h_Target Cashflow Statement",#N/A,FALSE,"Financials"}</definedName>
    <definedName name="saf" localSheetId="10">{#N/A,#N/A,FALSE,"Projections";#N/A,#N/A,FALSE,"Contribution_Stock";#N/A,#N/A,FALSE,"PF_Combo_Stock";#N/A,#N/A,FALSE,"Projections";#N/A,#N/A,FALSE,"Contribution_Cash";#N/A,#N/A,FALSE,"PF_Combo_Cash";#N/A,#N/A,FALSE,"IPO_Cash"}</definedName>
    <definedName name="saf">{#N/A,#N/A,FALSE,"Projections";#N/A,#N/A,FALSE,"Contribution_Stock";#N/A,#N/A,FALSE,"PF_Combo_Stock";#N/A,#N/A,FALSE,"Projections";#N/A,#N/A,FALSE,"Contribution_Cash";#N/A,#N/A,FALSE,"PF_Combo_Cash";#N/A,#N/A,FALSE,"IPO_Cash"}</definedName>
    <definedName name="safd" localSheetId="10" hidden="1">#REF!</definedName>
    <definedName name="safd" hidden="1">#REF!</definedName>
    <definedName name="SAG" localSheetId="10" hidden="1">#REF!</definedName>
    <definedName name="SAG" localSheetId="9" hidden="1">#REF!</definedName>
    <definedName name="SAG" localSheetId="8" hidden="1">#REF!</definedName>
    <definedName name="SAG" localSheetId="16" hidden="1">#REF!</definedName>
    <definedName name="SAG" hidden="1">#REF!</definedName>
    <definedName name="sales">#REF!</definedName>
    <definedName name="Sales_1">#REF!</definedName>
    <definedName name="Sales_2">#REF!</definedName>
    <definedName name="Sales_3">#REF!</definedName>
    <definedName name="Sales_4">#REF!</definedName>
    <definedName name="Sales_5">#REF!</definedName>
    <definedName name="Sales_Classification">#REF!</definedName>
    <definedName name="Sales_price_unit">#REF!</definedName>
    <definedName name="Sales_price_unit_COPY">#REF!</definedName>
    <definedName name="Sales_volume_units">#REF!</definedName>
    <definedName name="sales2">#REF!</definedName>
    <definedName name="Salespp" localSheetId="10" hidden="1">{"detail",#N/A,FALSE,"mfg";"summary",#N/A,FALSE,"mfg"}</definedName>
    <definedName name="Salespp" hidden="1">{"detail",#N/A,FALSE,"mfg";"summary",#N/A,FALSE,"mfg"}</definedName>
    <definedName name="sally" localSheetId="10">{#N/A,#N/A,FALSE,"Pharm";#N/A,#N/A,FALSE,"WWCM"}</definedName>
    <definedName name="sally">{#N/A,#N/A,FALSE,"Pharm";#N/A,#N/A,FALSE,"WWCM"}</definedName>
    <definedName name="Saltillo" localSheetId="10">{#N/A,#N/A,FALSE,"Combined LongSheet"}</definedName>
    <definedName name="Saltillo">{#N/A,#N/A,FALSE,"Combined LongSheet"}</definedName>
    <definedName name="samsum">#REF!</definedName>
    <definedName name="SANEM"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ity_Check" localSheetId="10">#REF!</definedName>
    <definedName name="Sanity_Check">#REF!</definedName>
    <definedName name="SAPBEXdnldView" hidden="1">"D2W4R5MBP08ARFN2PBOGUS7HV"</definedName>
    <definedName name="SAPBEXhrIndnt">1</definedName>
    <definedName name="SAPBEXrevision">1</definedName>
    <definedName name="SAPBEXsysID">"PBL"</definedName>
    <definedName name="SAPBEXwbID">"3JWXP1JGVR0V27DB0INATEIH7"</definedName>
    <definedName name="SAPFuncF4Help" localSheetId="10" hidden="1">Main.SAPF4Help()</definedName>
    <definedName name="SAPFuncF4Help" localSheetId="15" hidden="1">Main.SAPF4Help()</definedName>
    <definedName name="SAPFuncF4Help" hidden="1">Main.SAPF4Help()</definedName>
    <definedName name="SAPsysID" hidden="1">"708C5W7SBKP804JT78WJ0JNKI"</definedName>
    <definedName name="SAPwbID" hidden="1">"ARS"</definedName>
    <definedName name="sas" localSheetId="10"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da" hidden="1">42181.8486574074</definedName>
    <definedName name="sasdfkj" localSheetId="10" hidden="1">{"FCB_ALL",#N/A,FALSE,"FCB"}</definedName>
    <definedName name="sasdfkj" localSheetId="15" hidden="1">{"FCB_ALL",#N/A,FALSE,"FCB"}</definedName>
    <definedName name="sasdfkj" hidden="1">{"FCB_ALL",#N/A,FALSE,"FCB"}</definedName>
    <definedName name="SaveNewFile">#REF!</definedName>
    <definedName name="sb" localSheetId="10" hidden="1">{"bs",#N/A,FALSE,"SCF"}</definedName>
    <definedName name="sb" hidden="1">{"bs",#N/A,FALSE,"SCF"}</definedName>
    <definedName name="sbp_allowed_amt" hidden="1">#REF!</definedName>
    <definedName name="SBP_Network_Discount_Savings_Percent" hidden="1">#REF!</definedName>
    <definedName name="SBP_Percent_Allowed_Amount" hidden="1">#REF!</definedName>
    <definedName name="sc" localSheetId="10">{#N/A,#N/A,TRUE,"Condensed IS";#N/A,#N/A,TRUE,"Condensed BS";#N/A,#N/A,TRUE,"Outlook";#N/A,#N/A,TRUE,"Condensed CF";#N/A,#N/A,TRUE,"Condensed CF - qtr"}</definedName>
    <definedName name="sc">{#N/A,#N/A,TRUE,"Condensed IS";#N/A,#N/A,TRUE,"Condensed BS";#N/A,#N/A,TRUE,"Outlook";#N/A,#N/A,TRUE,"Condensed CF";#N/A,#N/A,TRUE,"Condensed CF - qtr"}</definedName>
    <definedName name="SCEN" localSheetId="10">#REF!</definedName>
    <definedName name="SCEN">#REF!</definedName>
    <definedName name="scena"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scena" hidden="1">{#N/A,#N/A,FALSE,"Projections";#N/A,#N/A,FALSE,"AccrDil";#N/A,#N/A,FALSE,"PurchPriMult";#N/A,#N/A,FALSE,"Mults7_13";#N/A,#N/A,FALSE,"Mkt Mults";#N/A,#N/A,FALSE,"Acq Mults";#N/A,#N/A,FALSE,"StockPrices";#N/A,#N/A,FALSE,"Prem Paid";#N/A,#N/A,FALSE,"DCF";#N/A,#N/A,FALSE,"AUTO";#N/A,#N/A,FALSE,"Relative Trading";#N/A,#N/A,FALSE,"Mkt Val";#N/A,#N/A,FALSE,"Acq Val"}</definedName>
    <definedName name="scenario.1" localSheetId="10">#REF!</definedName>
    <definedName name="scenario.1">#REF!</definedName>
    <definedName name="scenario.2" localSheetId="10">#REF!</definedName>
    <definedName name="scenario.2">#REF!</definedName>
    <definedName name="scg" localSheetId="10" hidden="1">{"profit statement",#N/A,FALSE,"P&amp;L STATEMENT"}</definedName>
    <definedName name="scg" hidden="1">{"profit statement",#N/A,FALSE,"P&amp;L STATEMENT"}</definedName>
    <definedName name="schC" localSheetId="10">{#N/A,#N/A,FALSE,"Combined LongSheet"}</definedName>
    <definedName name="schC">{#N/A,#N/A,FALSE,"Combined LongSheet"}</definedName>
    <definedName name="ScheduledNumberOfPayments" localSheetId="10">#REF!</definedName>
    <definedName name="ScheduledNumberOfPayments">#REF!</definedName>
    <definedName name="ScheduledPayment" localSheetId="10">#REF!</definedName>
    <definedName name="ScheduledPayment">#REF!</definedName>
    <definedName name="Schedules_BS" localSheetId="10">#REF!</definedName>
    <definedName name="Schedules_BS">#REF!</definedName>
    <definedName name="Schedules_PL">#REF!</definedName>
    <definedName name="SCN">#REF!</definedName>
    <definedName name="score" localSheetId="10" hidden="1">{"detail",#N/A,FALSE,"mfg";"summary",#N/A,FALSE,"mfg"}</definedName>
    <definedName name="score" hidden="1">{"detail",#N/A,FALSE,"mfg";"summary",#N/A,FALSE,"mfg"}</definedName>
    <definedName name="scorecardfy00" localSheetId="10" hidden="1">{"Comp_of_Price_Effect",#N/A,FALSE,"QTRDPVAR"}</definedName>
    <definedName name="scorecardfy00" hidden="1">{"Comp_of_Price_Effect",#N/A,FALSE,"QTRDPVAR"}</definedName>
    <definedName name="scot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RAP" localSheetId="10" hidden="1">{"'subnets'!$A$1:$F$20"}</definedName>
    <definedName name="SCRAP" hidden="1">{"'subnets'!$A$1:$F$20"}</definedName>
    <definedName name="SD" localSheetId="10">{#N/A,#N/A,FALSE,"Pharm";#N/A,#N/A,FALSE,"WWCM"}</definedName>
    <definedName name="SD">{#N/A,#N/A,FALSE,"Pharm";#N/A,#N/A,FALSE,"WWCM"}</definedName>
    <definedName name="sd_1" localSheetId="10" hidden="1">{"e_Target Assumptions",#N/A,FALSE,"Financials";"f_Target Income Statement",#N/A,FALSE,"Financials";"g_Target Balance Sheet",#N/A,FALSE,"Financials";"h_Target Cashflow Statement",#N/A,FALSE,"Financials"}</definedName>
    <definedName name="sd_1" hidden="1">{"e_Target Assumptions",#N/A,FALSE,"Financials";"f_Target Income Statement",#N/A,FALSE,"Financials";"g_Target Balance Sheet",#N/A,FALSE,"Financials";"h_Target Cashflow Statement",#N/A,FALSE,"Financials"}</definedName>
    <definedName name="sd_1_1" localSheetId="10" hidden="1">{"e_Target Assumptions",#N/A,FALSE,"Financials";"f_Target Income Statement",#N/A,FALSE,"Financials";"g_Target Balance Sheet",#N/A,FALSE,"Financials";"h_Target Cashflow Statement",#N/A,FALSE,"Financials"}</definedName>
    <definedName name="sd_1_1" hidden="1">{"e_Target Assumptions",#N/A,FALSE,"Financials";"f_Target Income Statement",#N/A,FALSE,"Financials";"g_Target Balance Sheet",#N/A,FALSE,"Financials";"h_Target Cashflow Statement",#N/A,FALSE,"Financials"}</definedName>
    <definedName name="sd_2" localSheetId="10" hidden="1">{"e_Target Assumptions",#N/A,FALSE,"Financials";"f_Target Income Statement",#N/A,FALSE,"Financials";"g_Target Balance Sheet",#N/A,FALSE,"Financials";"h_Target Cashflow Statement",#N/A,FALSE,"Financials"}</definedName>
    <definedName name="sd_2" hidden="1">{"e_Target Assumptions",#N/A,FALSE,"Financials";"f_Target Income Statement",#N/A,FALSE,"Financials";"g_Target Balance Sheet",#N/A,FALSE,"Financials";"h_Target Cashflow Statement",#N/A,FALSE,"Financials"}</definedName>
    <definedName name="sda" localSheetId="10" hidden="1">{#N/A,#N/A,FALSE,"TS";#N/A,#N/A,FALSE,"Combo";#N/A,#N/A,FALSE,"FAIR";#N/A,#N/A,FALSE,"RBC";#N/A,#N/A,FALSE,"xxxx";#N/A,#N/A,FALSE,"A_D";#N/A,#N/A,FALSE,"WACC";#N/A,#N/A,FALSE,"DCF";#N/A,#N/A,FALSE,"LBO";#N/A,#N/A,FALSE,"AcqMults";#N/A,#N/A,FALSE,"CompMults"}</definedName>
    <definedName name="sda" hidden="1">{#N/A,#N/A,FALSE,"TS";#N/A,#N/A,FALSE,"Combo";#N/A,#N/A,FALSE,"FAIR";#N/A,#N/A,FALSE,"RBC";#N/A,#N/A,FALSE,"xxxx";#N/A,#N/A,FALSE,"A_D";#N/A,#N/A,FALSE,"WACC";#N/A,#N/A,FALSE,"DCF";#N/A,#N/A,FALSE,"LBO";#N/A,#N/A,FALSE,"AcqMults";#N/A,#N/A,FALSE,"CompMults"}</definedName>
    <definedName name="sda_1" localSheetId="10" hidden="1">{#N/A,#N/A,FALSE,"TS";#N/A,#N/A,FALSE,"Combo";#N/A,#N/A,FALSE,"FAIR";#N/A,#N/A,FALSE,"RBC";#N/A,#N/A,FALSE,"xxxx";#N/A,#N/A,FALSE,"A_D";#N/A,#N/A,FALSE,"WACC";#N/A,#N/A,FALSE,"DCF";#N/A,#N/A,FALSE,"LBO";#N/A,#N/A,FALSE,"AcqMults";#N/A,#N/A,FALSE,"CompMults"}</definedName>
    <definedName name="sda_1" hidden="1">{#N/A,#N/A,FALSE,"TS";#N/A,#N/A,FALSE,"Combo";#N/A,#N/A,FALSE,"FAIR";#N/A,#N/A,FALSE,"RBC";#N/A,#N/A,FALSE,"xxxx";#N/A,#N/A,FALSE,"A_D";#N/A,#N/A,FALSE,"WACC";#N/A,#N/A,FALSE,"DCF";#N/A,#N/A,FALSE,"LBO";#N/A,#N/A,FALSE,"AcqMults";#N/A,#N/A,FALSE,"CompMults"}</definedName>
    <definedName name="sdafe" localSheetId="10" hidden="1">{"FCB_ALL",#N/A,FALSE,"FCB";"GREY_ALL",#N/A,FALSE,"GREY"}</definedName>
    <definedName name="sdafe" localSheetId="15" hidden="1">{"FCB_ALL",#N/A,FALSE,"FCB";"GREY_ALL",#N/A,FALSE,"GREY"}</definedName>
    <definedName name="sdafe" hidden="1">{"FCB_ALL",#N/A,FALSE,"FCB";"GREY_ALL",#N/A,FALSE,"GREY"}</definedName>
    <definedName name="sdafgs" localSheetId="10">{#N/A,#N/A,FALSE,"Pharm";#N/A,#N/A,FALSE,"WWCM"}</definedName>
    <definedName name="sdafgs">{#N/A,#N/A,FALSE,"Pharm";#N/A,#N/A,FALSE,"WWCM"}</definedName>
    <definedName name="sdaflkej" localSheetId="10" hidden="1">{"FCB_ALL",#N/A,FALSE,"FCB";"GREY_ALL",#N/A,FALSE,"GREY"}</definedName>
    <definedName name="sdaflkej" localSheetId="15" hidden="1">{"FCB_ALL",#N/A,FALSE,"FCB";"GREY_ALL",#N/A,FALSE,"GREY"}</definedName>
    <definedName name="sdaflkej" hidden="1">{"FCB_ALL",#N/A,FALSE,"FCB";"GREY_ALL",#N/A,FALSE,"GREY"}</definedName>
    <definedName name="sdasd" localSheetId="10" hidden="1">{"FCB_ALL",#N/A,FALSE,"FCB";"GREY_ALL",#N/A,FALSE,"GREY"}</definedName>
    <definedName name="sdasd" localSheetId="15" hidden="1">{"FCB_ALL",#N/A,FALSE,"FCB";"GREY_ALL",#N/A,FALSE,"GREY"}</definedName>
    <definedName name="sdasd" hidden="1">{"FCB_ALL",#N/A,FALSE,"FCB";"GREY_ALL",#N/A,FALSE,"GREY"}</definedName>
    <definedName name="sddd" localSheetId="10" hidden="1">{"bs",#N/A,FALSE,"SCF"}</definedName>
    <definedName name="sddd" hidden="1">{"bs",#N/A,FALSE,"SCF"}</definedName>
    <definedName name="sddfsaf" localSheetId="10" hidden="1">#REF!</definedName>
    <definedName name="sddfsaf" hidden="1">#REF!</definedName>
    <definedName name="sdes" localSheetId="10" hidden="1">{"PACKAGE",#N/A,FALSE,"CM"}</definedName>
    <definedName name="sdes" hidden="1">{"PACKAGE",#N/A,FALSE,"CM"}</definedName>
    <definedName name="sdf" localSheetId="10" hidden="1">#REF!</definedName>
    <definedName name="sdf" localSheetId="9" hidden="1">#REF!</definedName>
    <definedName name="sdf" localSheetId="8" hidden="1">#REF!</definedName>
    <definedName name="sdf" localSheetId="16" hidden="1">#REF!</definedName>
    <definedName name="sdf" hidden="1">#REF!</definedName>
    <definedName name="sdf_1" localSheetId="10" hidden="1">{"e_Target Assumptions",#N/A,FALSE,"Financials";"f_Target Income Statement",#N/A,FALSE,"Financials";"g_Target Balance Sheet",#N/A,FALSE,"Financials";"h_Target Cashflow Statement",#N/A,FALSE,"Financials"}</definedName>
    <definedName name="sdf_1" hidden="1">{"e_Target Assumptions",#N/A,FALSE,"Financials";"f_Target Income Statement",#N/A,FALSE,"Financials";"g_Target Balance Sheet",#N/A,FALSE,"Financials";"h_Target Cashflow Statement",#N/A,FALSE,"Financials"}</definedName>
    <definedName name="sdf_1_1" localSheetId="10" hidden="1">{"e_Target Assumptions",#N/A,FALSE,"Financials";"f_Target Income Statement",#N/A,FALSE,"Financials";"g_Target Balance Sheet",#N/A,FALSE,"Financials";"h_Target Cashflow Statement",#N/A,FALSE,"Financials"}</definedName>
    <definedName name="sdf_1_1" hidden="1">{"e_Target Assumptions",#N/A,FALSE,"Financials";"f_Target Income Statement",#N/A,FALSE,"Financials";"g_Target Balance Sheet",#N/A,FALSE,"Financials";"h_Target Cashflow Statement",#N/A,FALSE,"Financials"}</definedName>
    <definedName name="sdf_2" localSheetId="10" hidden="1">{"e_Target Assumptions",#N/A,FALSE,"Financials";"f_Target Income Statement",#N/A,FALSE,"Financials";"g_Target Balance Sheet",#N/A,FALSE,"Financials";"h_Target Cashflow Statement",#N/A,FALSE,"Financials"}</definedName>
    <definedName name="sdf_2" hidden="1">{"e_Target Assumptions",#N/A,FALSE,"Financials";"f_Target Income Statement",#N/A,FALSE,"Financials";"g_Target Balance Sheet",#N/A,FALSE,"Financials";"h_Target Cashflow Statement",#N/A,FALSE,"Financials"}</definedName>
    <definedName name="sdfa"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fa"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fasr" localSheetId="10" hidden="1">{"FCB_ALL",#N/A,FALSE,"FCB"}</definedName>
    <definedName name="sdfasr" localSheetId="15" hidden="1">{"FCB_ALL",#N/A,FALSE,"FCB"}</definedName>
    <definedName name="sdfasr" hidden="1">{"FCB_ALL",#N/A,FALSE,"FCB"}</definedName>
    <definedName name="sdfass" localSheetId="10"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dsaf" localSheetId="10"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 localSheetId="10" hidden="1">{"FCB_ALL",#N/A,FALSE,"FCB";"GREY_ALL",#N/A,FALSE,"GREY"}</definedName>
    <definedName name="sdfdsf" localSheetId="15" hidden="1">{"FCB_ALL",#N/A,FALSE,"FCB";"GREY_ALL",#N/A,FALSE,"GREY"}</definedName>
    <definedName name="sdfdsf" hidden="1">{"FCB_ALL",#N/A,FALSE,"FCB";"GREY_ALL",#N/A,FALSE,"GREY"}</definedName>
    <definedName name="sdfg" localSheetId="10" hidden="1">{"FCB_ALL",#N/A,FALSE,"FCB";"GREY_ALL",#N/A,FALSE,"GREY"}</definedName>
    <definedName name="sdfg" localSheetId="15" hidden="1">{"FCB_ALL",#N/A,FALSE,"FCB";"GREY_ALL",#N/A,FALSE,"GREY"}</definedName>
    <definedName name="sdfg" hidden="1">{"FCB_ALL",#N/A,FALSE,"FCB";"GREY_ALL",#N/A,FALSE,"GREY"}</definedName>
    <definedName name="sdfgrg" localSheetId="10" hidden="1">{"profit statement",#N/A,FALSE,"P&amp;L STATEMENT"}</definedName>
    <definedName name="sdfgrg" hidden="1">{"profit statement",#N/A,FALSE,"P&amp;L STATEMENT"}</definedName>
    <definedName name="sdfgs5rtsdrgsdfgre" localSheetId="10" hidden="1">{"sga expense",#N/A,FALSE,"S,G&amp;A EXP"}</definedName>
    <definedName name="sdfgs5rtsdrgsdfgre" hidden="1">{"sga expense",#N/A,FALSE,"S,G&amp;A EXP"}</definedName>
    <definedName name="sdfgsdfg" localSheetId="10" hidden="1">{"profit statement",#N/A,FALSE,"P&amp;L STATEMENT"}</definedName>
    <definedName name="sdfgsdfg" hidden="1">{"profit statement",#N/A,FALSE,"P&amp;L STATEMENT"}</definedName>
    <definedName name="sdfgsdftrg" localSheetId="10" hidden="1">{"works expense",#N/A,FALSE,"WORKS EXPENSE"}</definedName>
    <definedName name="sdfgsdftrg" hidden="1">{"works expense",#N/A,FALSE,"WORKS EXPENSE"}</definedName>
    <definedName name="sdfgsdrg" localSheetId="10" hidden="1">{"capital",#N/A,FALSE,"CAPITAL_DEP'N"}</definedName>
    <definedName name="sdfgsdrg" hidden="1">{"capital",#N/A,FALSE,"CAPITAL_DEP'N"}</definedName>
    <definedName name="sdfgsf" localSheetId="10" hidden="1">{"works expense",#N/A,FALSE,"WORKS EXPENSE"}</definedName>
    <definedName name="sdfgsf" hidden="1">{"works expense",#N/A,FALSE,"WORKS EXPENSE"}</definedName>
    <definedName name="sdfgsfg" localSheetId="10" hidden="1">{"fdsup:app=SCRIPT&amp;creator=factset&amp;CMD=INSTRUCTION&amp;WINDOW=NEW&amp;TARGET_APP=EDGAR\Search by Symbol&amp;INSTRUCTION_NAME=VIEW_DOCUMENT&amp;display_string=View Document&amp;IDENTIFIER=SIRI&amp;START_DATE=20080229&amp;END_DATE=20080229&amp;FILING=10-K"}</definedName>
    <definedName name="sdfgsfg" hidden="1">{"fdsup:app=SCRIPT&amp;creator=factset&amp;CMD=INSTRUCTION&amp;WINDOW=NEW&amp;TARGET_APP=EDGAR\Search by Symbol&amp;INSTRUCTION_NAME=VIEW_DOCUMENT&amp;display_string=View Document&amp;IDENTIFIER=SIRI&amp;START_DATE=20080229&amp;END_DATE=20080229&amp;FILING=10-K"}</definedName>
    <definedName name="sdfgsrgr" localSheetId="10" hidden="1">{"profit statement",#N/A,FALSE,"P&amp;L STATEMENT"}</definedName>
    <definedName name="sdfgsrgr" hidden="1">{"profit statement",#N/A,FALSE,"P&amp;L STATEMENT"}</definedName>
    <definedName name="sdfh" localSheetId="10" hidden="1">{"FCB_ALL",#N/A,FALSE,"FCB"}</definedName>
    <definedName name="sdfh" localSheetId="15" hidden="1">{"FCB_ALL",#N/A,FALSE,"FCB"}</definedName>
    <definedName name="sdfh" hidden="1">{"FCB_ALL",#N/A,FALSE,"FCB"}</definedName>
    <definedName name="SDFHG" localSheetId="10" hidden="1">{"Agg Output",#N/A,FALSE,"Operational Drivers Output";"NW Output",#N/A,FALSE,"Operational Drivers Output";"South Output",#N/A,FALSE,"Operational Drivers Output";"Central Output",#N/A,FALSE,"Operational Drivers Output"}</definedName>
    <definedName name="SDFHG" localSheetId="15"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j" localSheetId="10"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localSheetId="10"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10"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 localSheetId="10">#REF!</definedName>
    <definedName name="sdfs">#REF!</definedName>
    <definedName name="sdfsadfaasf"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df" localSheetId="10">#REF!</definedName>
    <definedName name="sdfsdf">#REF!</definedName>
    <definedName name="sdfssd" localSheetId="10" hidden="1">#REF!</definedName>
    <definedName name="sdfssd" hidden="1">#REF!</definedName>
    <definedName name="sdft" localSheetId="10" hidden="1">{#N/A,#N/A,FALSE,"SUMMARY";#N/A,#N/A,FALSE,"mcsh";#N/A,#N/A,FALSE,"vol&amp;rev";#N/A,#N/A,FALSE,"wkgcap";#N/A,#N/A,FALSE,"DEPR&amp;DT";#N/A,#N/A,FALSE,"ASSETS";#N/A,#N/A,FALSE,"NI&amp;OTH&amp;DIV";#N/A,#N/A,FALSE,"CASHFLOW";#N/A,#N/A,FALSE,"CAPEMPL";#N/A,#N/A,FALSE,"ROCE"}</definedName>
    <definedName name="sdft" localSheetId="15"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g" localSheetId="10" hidden="1">{"capital",#N/A,FALSE,"CAPITAL_DEP'N"}</definedName>
    <definedName name="sdg" hidden="1">{"capital",#N/A,FALSE,"CAPITAL_DEP'N"}</definedName>
    <definedName name="sdgagf" localSheetId="10">{#N/A,#N/A,FALSE,"Pharm";#N/A,#N/A,FALSE,"WWCM"}</definedName>
    <definedName name="sdgagf">{#N/A,#N/A,FALSE,"Pharm";#N/A,#N/A,FALSE,"WWCM"}</definedName>
    <definedName name="sdgds">#REF!</definedName>
    <definedName name="sdgh" localSheetId="10" hidden="1">{"qty and inventory value",#N/A,FALSE,"MPartners";"general ledger entries",#N/A,FALSE,"MPartners"}</definedName>
    <definedName name="sdgh" hidden="1">{"qty and inventory value",#N/A,FALSE,"MPartners";"general ledger entries",#N/A,FALSE,"MPartners"}</definedName>
    <definedName name="sdgrf" localSheetId="10" hidden="1">{"works expense",#N/A,FALSE,"WORKS EXPENSE"}</definedName>
    <definedName name="sdgrf" hidden="1">{"works expense",#N/A,FALSE,"WORKS EXPENSE"}</definedName>
    <definedName name="sdgrgr" localSheetId="10" hidden="1">{"profit statement",#N/A,FALSE,"P&amp;L STATEMENT"}</definedName>
    <definedName name="sdgrgr" hidden="1">{"profit statement",#N/A,FALSE,"P&amp;L STATEMENT"}</definedName>
    <definedName name="sdhdhfdfhh" localSheetId="10" hidden="1">{#N/A,#N/A,FALSE,"Balance Sheet";#N/A,#N/A,FALSE,"Income Statement";#N/A,#N/A,FALSE,"Changes in Financial Position"}</definedName>
    <definedName name="sdhdhfdfhh" localSheetId="15" hidden="1">{#N/A,#N/A,FALSE,"Balance Sheet";#N/A,#N/A,FALSE,"Income Statement";#N/A,#N/A,FALSE,"Changes in Financial Position"}</definedName>
    <definedName name="sdhdhfdfhh" hidden="1">{#N/A,#N/A,FALSE,"Balance Sheet";#N/A,#N/A,FALSE,"Income Statement";#N/A,#N/A,FALSE,"Changes in Financial Position"}</definedName>
    <definedName name="sdhr" localSheetId="10" hidden="1">{"FCB_ALL",#N/A,FALSE,"FCB";"GREY_ALL",#N/A,FALSE,"GREY"}</definedName>
    <definedName name="sdhr" localSheetId="15" hidden="1">{"FCB_ALL",#N/A,FALSE,"FCB";"GREY_ALL",#N/A,FALSE,"GREY"}</definedName>
    <definedName name="sdhr" hidden="1">{"FCB_ALL",#N/A,FALSE,"FCB";"GREY_ALL",#N/A,FALSE,"GREY"}</definedName>
    <definedName name="SDKLFJSKL" localSheetId="10" hidden="1">{0,0,0,0;0,#VALUE!,0,FALSE;0,0,TRUE,0}</definedName>
    <definedName name="SDKLFJSKL" hidden="1">{0,0,0,0;0,#VALUE!,0,FALSE;0,0,TRUE,0}</definedName>
    <definedName name="sdrfrs"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frs"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gsrdgsr" localSheetId="10" hidden="1">{"profit statement",#N/A,FALSE,"P&amp;L STATEMENT"}</definedName>
    <definedName name="sdrgsrdgsr" hidden="1">{"profit statement",#N/A,FALSE,"P&amp;L STATEMENT"}</definedName>
    <definedName name="sdrgsrs" localSheetId="10" hidden="1">{"works expense",#N/A,FALSE,"WORKS EXPENSE"}</definedName>
    <definedName name="sdrgsrs" hidden="1">{"works expense",#N/A,FALSE,"WORKS EXPENSE"}</definedName>
    <definedName name="sdr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drse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drses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DS" hidden="1">#REF!</definedName>
    <definedName name="sdsadasd" localSheetId="10">{#N/A,#N/A,FALSE,"Pharm";#N/A,#N/A,FALSE,"WWCM"}</definedName>
    <definedName name="sdsadasd">{#N/A,#N/A,FALSE,"Pharm";#N/A,#N/A,FALSE,"WWCM"}</definedName>
    <definedName name="sdsd" localSheetId="10">{#N/A,#N/A,FALSE,"REPORT"}</definedName>
    <definedName name="sdsd">{#N/A,#N/A,FALSE,"REPORT"}</definedName>
    <definedName name="sdsdasdasd" localSheetId="10" hidden="1">{"first",#N/A,FALSE,"FLEXPAC2";"second",#N/A,FALSE,"FLEXPAC2"}</definedName>
    <definedName name="sdsdasdasd" hidden="1">{"first",#N/A,FALSE,"FLEXPAC2";"second",#N/A,FALSE,"FLEXPAC2"}</definedName>
    <definedName name="sdsdsdd" localSheetId="10" hidden="1">{"e_Target Assumptions",#N/A,FALSE,"Financials";"f_Target Income Statement",#N/A,FALSE,"Financials";"g_Target Balance Sheet",#N/A,FALSE,"Financials";"h_Target Cashflow Statement",#N/A,FALSE,"Financials"}</definedName>
    <definedName name="sdsdsdd" hidden="1">{"e_Target Assumptions",#N/A,FALSE,"Financials";"f_Target Income Statement",#N/A,FALSE,"Financials";"g_Target Balance Sheet",#N/A,FALSE,"Financials";"h_Target Cashflow Statement",#N/A,FALSE,"Financials"}</definedName>
    <definedName name="sdsdsdd_1" localSheetId="10" hidden="1">{"e_Target Assumptions",#N/A,FALSE,"Financials";"f_Target Income Statement",#N/A,FALSE,"Financials";"g_Target Balance Sheet",#N/A,FALSE,"Financials";"h_Target Cashflow Statement",#N/A,FALSE,"Financials"}</definedName>
    <definedName name="sdsdsdd_1" hidden="1">{"e_Target Assumptions",#N/A,FALSE,"Financials";"f_Target Income Statement",#N/A,FALSE,"Financials";"g_Target Balance Sheet",#N/A,FALSE,"Financials";"h_Target Cashflow Statement",#N/A,FALSE,"Financials"}</definedName>
    <definedName name="sdsdsdd_1_1" localSheetId="10" hidden="1">{"e_Target Assumptions",#N/A,FALSE,"Financials";"f_Target Income Statement",#N/A,FALSE,"Financials";"g_Target Balance Sheet",#N/A,FALSE,"Financials";"h_Target Cashflow Statement",#N/A,FALSE,"Financials"}</definedName>
    <definedName name="sdsdsdd_1_1" hidden="1">{"e_Target Assumptions",#N/A,FALSE,"Financials";"f_Target Income Statement",#N/A,FALSE,"Financials";"g_Target Balance Sheet",#N/A,FALSE,"Financials";"h_Target Cashflow Statement",#N/A,FALSE,"Financials"}</definedName>
    <definedName name="sdsdsdd_2" localSheetId="10" hidden="1">{"e_Target Assumptions",#N/A,FALSE,"Financials";"f_Target Income Statement",#N/A,FALSE,"Financials";"g_Target Balance Sheet",#N/A,FALSE,"Financials";"h_Target Cashflow Statement",#N/A,FALSE,"Financials"}</definedName>
    <definedName name="sdsdsdd_2" hidden="1">{"e_Target Assumptions",#N/A,FALSE,"Financials";"f_Target Income Statement",#N/A,FALSE,"Financials";"g_Target Balance Sheet",#N/A,FALSE,"Financials";"h_Target Cashflow Statement",#N/A,FALSE,"Financials"}</definedName>
    <definedName name="sdsdsdsd" localSheetId="10" hidden="1">{"FCB_ALL",#N/A,FALSE,"FCB"}</definedName>
    <definedName name="sdsdsdsd" hidden="1">{"FCB_ALL",#N/A,FALSE,"FCB"}</definedName>
    <definedName name="sdvcx" localSheetId="10" hidden="1">#REF!</definedName>
    <definedName name="sdvcx" localSheetId="9" hidden="1">#REF!</definedName>
    <definedName name="sdvcx" localSheetId="8" hidden="1">#REF!</definedName>
    <definedName name="sdvcx" localSheetId="16" hidden="1">#REF!</definedName>
    <definedName name="sdvcx" hidden="1">#REF!</definedName>
    <definedName name="sdw" localSheetId="10" hidden="1">{#N/A,#N/A,FALSE,"Admin";#N/A,#N/A,FALSE,"Other"}</definedName>
    <definedName name="sdw" localSheetId="15" hidden="1">{#N/A,#N/A,FALSE,"Admin";#N/A,#N/A,FALSE,"Other"}</definedName>
    <definedName name="sdw" hidden="1">{#N/A,#N/A,FALSE,"Admin";#N/A,#N/A,FALSE,"Other"}</definedName>
    <definedName name="sdz" localSheetId="10" hidden="1">{"FCB_ALL",#N/A,FALSE,"FCB"}</definedName>
    <definedName name="sdz" localSheetId="15" hidden="1">{"FCB_ALL",#N/A,FALSE,"FCB"}</definedName>
    <definedName name="sdz" hidden="1">{"FCB_ALL",#N/A,FALSE,"FCB"}</definedName>
    <definedName name="SE" localSheetId="10" hidden="1">{#N/A,#N/A,FALSE,"OScks"}</definedName>
    <definedName name="SE" hidden="1">{#N/A,#N/A,FALSE,"OScks"}</definedName>
    <definedName name="sea" localSheetId="10" hidden="1">{"oct_res_comm",#N/A,FALSE,"VarToBud"}</definedName>
    <definedName name="sea" hidden="1">{"oct_res_comm",#N/A,FALSE,"VarToBud"}</definedName>
    <definedName name="SearchForUnrecorded">#REF!</definedName>
    <definedName name="sec1_1a" localSheetId="10">#REF!</definedName>
    <definedName name="sec1_1a">#REF!</definedName>
    <definedName name="sec1_1b" localSheetId="10">#REF!</definedName>
    <definedName name="sec1_1b">#REF!</definedName>
    <definedName name="sec1_2">#REF!</definedName>
    <definedName name="sec1_3">#REF!</definedName>
    <definedName name="sec1_4">#REF!</definedName>
    <definedName name="sec1_6">#REF!</definedName>
    <definedName name="Second_Reporting_Year" localSheetId="10">#REF!</definedName>
    <definedName name="Second_Reporting_Year">'STOC Accounting Diligence Datab'!$B$23</definedName>
    <definedName name="secondaries" localSheetId="10"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fs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fs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gmentBudget" localSheetId="10" hidden="1">{"oct_res_comm",#N/A,FALSE,"VarToBud"}</definedName>
    <definedName name="SegmentBudget" hidden="1">{"oct_res_comm",#N/A,FALSE,"VarToBud"}</definedName>
    <definedName name="SegmentedDataEntryRange">OFFSET(#REF!,1,0,COUNTA(#REF!)-1,1)</definedName>
    <definedName name="SegmentedDataEntryYr2">OFFSET(#REF!,1,0,COUNTA(#REF!)-1,1)</definedName>
    <definedName name="SegmentedDataEntryYr3">OFFSET(#REF!,1,0,COUNTA(#REF!)-1,1)</definedName>
    <definedName name="SelectedDate">#REF!</definedName>
    <definedName name="Sell_Gas_yes_no_cell">#REF!</definedName>
    <definedName name="Semi" localSheetId="10" hidden="1">{"capital",#N/A,FALSE,"CAPITAL_DEP'N"}</definedName>
    <definedName name="Semi" hidden="1">{"capital",#N/A,FALSE,"CAPITAL_DEP'N"}</definedName>
    <definedName name="sencount" hidden="1">1</definedName>
    <definedName name="SEP" localSheetId="10" hidden="1">{"Statement of Income",#N/A,TRUE,"Mar99";"Balance Sheet",#N/A,TRUE,"Mar99"}</definedName>
    <definedName name="SEP" localSheetId="15" hidden="1">{"Statement of Income",#N/A,TRUE,"Mar99";"Balance Sheet",#N/A,TRUE,"Mar99"}</definedName>
    <definedName name="SEP" hidden="1">{"Statement of Income",#N/A,TRUE,"Mar99";"Balance Sheet",#N/A,TRUE,"Mar99"}</definedName>
    <definedName name="SEPTDB" localSheetId="10" hidden="1">#REF!</definedName>
    <definedName name="SEPTDB" localSheetId="9" hidden="1">#REF!</definedName>
    <definedName name="SEPTDB" localSheetId="8" hidden="1">#REF!</definedName>
    <definedName name="SEPTDB" localSheetId="16" hidden="1">#REF!</definedName>
    <definedName name="SEPTDB" hidden="1">#REF!</definedName>
    <definedName name="September">#REF!</definedName>
    <definedName name="se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es" localSheetId="10" hidden="1">{"Vol Qtr 1",#N/A,TRUE,"Wk-CV";"Vol Qtr 2",#N/A,TRUE,"Wk-CV";"Vol Qtr 3",#N/A,TRUE,"Wk-CV";"Vol Qtr 4",#N/A,TRUE,"Wk-CV"}</definedName>
    <definedName name="seres" hidden="1">{"Vol Qtr 1",#N/A,TRUE,"Wk-CV";"Vol Qtr 2",#N/A,TRUE,"Wk-CV";"Vol Qtr 3",#N/A,TRUE,"Wk-CV";"Vol Qtr 4",#N/A,TRUE,"Wk-CV"}</definedName>
    <definedName name="sergsere"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gser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gsre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gsreer"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er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Service_Personnel">#REF!</definedName>
    <definedName name="Set">" "</definedName>
    <definedName name="sety" localSheetId="10" hidden="1">{"LAPO2N2",#N/A,FALSE,"CM"}</definedName>
    <definedName name="sety" hidden="1">{"LAPO2N2",#N/A,FALSE,"CM"}</definedName>
    <definedName name="sf" localSheetId="10">{#N/A,#N/A,FALSE,"Sales Graph";#N/A,#N/A,FALSE,"BUC Graph";#N/A,#N/A,FALSE,"P&amp;L - YTD"}</definedName>
    <definedName name="sf">{#N/A,#N/A,FALSE,"Sales Graph";#N/A,#N/A,FALSE,"BUC Graph";#N/A,#N/A,FALSE,"P&amp;L - YTD"}</definedName>
    <definedName name="SFD" localSheetId="10" hidden="1">{#N/A,#N/A,FALSE,"TABLE_1 YTD";#N/A,#N/A,FALSE,"TABLE_1A QTD";#N/A,#N/A,FALSE,"NORMAL_SPREAD_QTD";#N/A,#N/A,FALSE,"NORMAL_SPREAD_YTD";#N/A,#N/A,FALSE,"TAX_EQV";#N/A,#N/A,FALSE,"TAX EQUIV_INPUT";#N/A,#N/A,FALSE,"NET FROM FER";#N/A,#N/A,FALSE,"COVER"}</definedName>
    <definedName name="SFD" localSheetId="15"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g" localSheetId="10" hidden="1">{"manpower",#N/A,FALSE,"MANPOWER_PAYROLL"}</definedName>
    <definedName name="sfdg" hidden="1">{"manpower",#N/A,FALSE,"MANPOWER_PAYROLL"}</definedName>
    <definedName name="sfdgasdg" localSheetId="10" hidden="1">{"Vol Qtr 1",#N/A,TRUE,"Wk-CV";"Vol Qtr 2",#N/A,TRUE,"Wk-CV";"Vol Qtr 3",#N/A,TRUE,"Wk-CV";"Vol Qtr 4",#N/A,TRUE,"Wk-CV"}</definedName>
    <definedName name="sfdgasdg" hidden="1">{"Vol Qtr 1",#N/A,TRUE,"Wk-CV";"Vol Qtr 2",#N/A,TRUE,"Wk-CV";"Vol Qtr 3",#N/A,TRUE,"Wk-CV";"Vol Qtr 4",#N/A,TRUE,"Wk-CV"}</definedName>
    <definedName name="sfdgfgg" localSheetId="10"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gsar" localSheetId="10" hidden="1">{"FCB_ALL",#N/A,FALSE,"FCB";"GREY_ALL",#N/A,FALSE,"GREY"}</definedName>
    <definedName name="sfdgsar" localSheetId="15" hidden="1">{"FCB_ALL",#N/A,FALSE,"FCB";"GREY_ALL",#N/A,FALSE,"GREY"}</definedName>
    <definedName name="sfdgsar" hidden="1">{"FCB_ALL",#N/A,FALSE,"FCB";"GREY_ALL",#N/A,FALSE,"GREY"}</definedName>
    <definedName name="sfdirect" localSheetId="10">{#N/A,#N/A,FALSE,"REPORT"}</definedName>
    <definedName name="sfdirect">{#N/A,#N/A,FALSE,"REPORT"}</definedName>
    <definedName name="SFDSQ" localSheetId="10"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DSQ"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G"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SFG"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f" localSheetId="10" hidden="1">{"product cost",#N/A,FALSE,"P&amp;L STATEMENT"}</definedName>
    <definedName name="sfgf" hidden="1">{"product cost",#N/A,FALSE,"P&amp;L STATEMENT"}</definedName>
    <definedName name="sfgfds" localSheetId="10" hidden="1">{"product cost",#N/A,FALSE,"P&amp;L STATEMENT"}</definedName>
    <definedName name="sfgfds" hidden="1">{"product cost",#N/A,FALSE,"P&amp;L STATEMENT"}</definedName>
    <definedName name="sfgr" localSheetId="10" hidden="1">{"profit statement",#N/A,FALSE,"P&amp;L STATEMENT"}</definedName>
    <definedName name="sfgr" hidden="1">{"profit statement",#N/A,FALSE,"P&amp;L STATEMENT"}</definedName>
    <definedName name="sfgs" localSheetId="10" hidden="1">{"manpower",#N/A,FALSE,"MANPOWER_PAYROLL"}</definedName>
    <definedName name="sfgs" hidden="1">{"manpower",#N/A,FALSE,"MANPOWER_PAYROLL"}</definedName>
    <definedName name="sfgsdfg" localSheetId="10" hidden="1">{"product cost",#N/A,FALSE,"P&amp;L STATEMENT"}</definedName>
    <definedName name="sfgsdfg" hidden="1">{"product cost",#N/A,FALSE,"P&amp;L STATEMENT"}</definedName>
    <definedName name="sfgsrdg" localSheetId="10" hidden="1">{"capital",#N/A,FALSE,"CAPITAL_DEP'N"}</definedName>
    <definedName name="sfgsrdg" hidden="1">{"capital",#N/A,FALSE,"CAPITAL_DEP'N"}</definedName>
    <definedName name="sfgv" localSheetId="10" hidden="1">{"consolidated",#N/A,FALSE,"Sheet1";"cms",#N/A,FALSE,"Sheet1";"fse",#N/A,FALSE,"Sheet1"}</definedName>
    <definedName name="sfgv" localSheetId="15" hidden="1">{"consolidated",#N/A,FALSE,"Sheet1";"cms",#N/A,FALSE,"Sheet1";"fse",#N/A,FALSE,"Sheet1"}</definedName>
    <definedName name="sfgv" hidden="1">{"consolidated",#N/A,FALSE,"Sheet1";"cms",#N/A,FALSE,"Sheet1";"fse",#N/A,FALSE,"Sheet1"}</definedName>
    <definedName name="sfq" localSheetId="10" hidden="1">{#N/A,#N/A,FALSE,"Calc";#N/A,#N/A,FALSE,"Sensitivity";#N/A,#N/A,FALSE,"LT Earn.Dil.";#N/A,#N/A,FALSE,"Dil. AVP"}</definedName>
    <definedName name="sfq" localSheetId="15" hidden="1">{#N/A,#N/A,FALSE,"Calc";#N/A,#N/A,FALSE,"Sensitivity";#N/A,#N/A,FALSE,"LT Earn.Dil.";#N/A,#N/A,FALSE,"Dil. AVP"}</definedName>
    <definedName name="sfq" hidden="1">{#N/A,#N/A,FALSE,"Calc";#N/A,#N/A,FALSE,"Sensitivity";#N/A,#N/A,FALSE,"LT Earn.Dil.";#N/A,#N/A,FALSE,"Dil. AVP"}</definedName>
    <definedName name="sfsf" localSheetId="10" hidden="1">{#N/A,#N/A,FALSE,"Calc";#N/A,#N/A,FALSE,"Sensitivity";#N/A,#N/A,FALSE,"LT Earn.Dil.";#N/A,#N/A,FALSE,"Dil. AVP"}</definedName>
    <definedName name="sfsf" localSheetId="15" hidden="1">{#N/A,#N/A,FALSE,"Calc";#N/A,#N/A,FALSE,"Sensitivity";#N/A,#N/A,FALSE,"LT Earn.Dil.";#N/A,#N/A,FALSE,"Dil. AVP"}</definedName>
    <definedName name="sfsf" hidden="1">{#N/A,#N/A,FALSE,"Calc";#N/A,#N/A,FALSE,"Sensitivity";#N/A,#N/A,FALSE,"LT Earn.Dil.";#N/A,#N/A,FALSE,"Dil. AVP"}</definedName>
    <definedName name="sg" localSheetId="10" hidden="1">{"capital",#N/A,FALSE,"CAPITAL_DEP'N"}</definedName>
    <definedName name="sg" hidden="1">{"capital",#N/A,FALSE,"CAPITAL_DEP'N"}</definedName>
    <definedName name="SG_A_Expenses">#REF!</definedName>
    <definedName name="SGA" localSheetId="10">#REF!</definedName>
    <definedName name="SGA">#REF!</definedName>
    <definedName name="sgd" localSheetId="10" hidden="1">{#N/A,#N/A,FALSE,"Calc";#N/A,#N/A,FALSE,"Sensitivity";#N/A,#N/A,FALSE,"LT Earn.Dil.";#N/A,#N/A,FALSE,"Dil. AVP"}</definedName>
    <definedName name="sgd" localSheetId="15" hidden="1">{#N/A,#N/A,FALSE,"Calc";#N/A,#N/A,FALSE,"Sensitivity";#N/A,#N/A,FALSE,"LT Earn.Dil.";#N/A,#N/A,FALSE,"Dil. AVP"}</definedName>
    <definedName name="sgd" hidden="1">{#N/A,#N/A,FALSE,"Calc";#N/A,#N/A,FALSE,"Sensitivity";#N/A,#N/A,FALSE,"LT Earn.Dil.";#N/A,#N/A,FALSE,"Dil. AVP"}</definedName>
    <definedName name="sgdg" localSheetId="10" hidden="1">{#N/A,#N/A,FALSE,"Calc";#N/A,#N/A,FALSE,"Sensitivity";#N/A,#N/A,FALSE,"LT Earn.Dil.";#N/A,#N/A,FALSE,"Dil. AVP"}</definedName>
    <definedName name="sgdg" localSheetId="15" hidden="1">{#N/A,#N/A,FALSE,"Calc";#N/A,#N/A,FALSE,"Sensitivity";#N/A,#N/A,FALSE,"LT Earn.Dil.";#N/A,#N/A,FALSE,"Dil. AVP"}</definedName>
    <definedName name="sgdg" hidden="1">{#N/A,#N/A,FALSE,"Calc";#N/A,#N/A,FALSE,"Sensitivity";#N/A,#N/A,FALSE,"LT Earn.Dil.";#N/A,#N/A,FALSE,"Dil. AVP"}</definedName>
    <definedName name="sgdsfg" localSheetId="10" hidden="1">{"capital",#N/A,FALSE,"CAPITAL_DEP'N"}</definedName>
    <definedName name="sgdsfg" hidden="1">{"capital",#N/A,FALSE,"CAPITAL_DEP'N"}</definedName>
    <definedName name="SGFHHH" hidden="1">#REF!</definedName>
    <definedName name="SGFHSHGHHG" hidden="1">#REF!</definedName>
    <definedName name="sgfsf" localSheetId="10" hidden="1">{"manpower",#N/A,FALSE,"MANPOWER_PAYROLL"}</definedName>
    <definedName name="sgfsf" hidden="1">{"manpower",#N/A,FALSE,"MANPOWER_PAYROLL"}</definedName>
    <definedName name="SGHSHHHHHSFFGH" hidden="1">#REF!</definedName>
    <definedName name="sgrsrdrd"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grsrdrd"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sgsrrgr" localSheetId="10" hidden="1">{"Vol Qtr 1",#N/A,TRUE,"Wk-CV";"Vol Qtr 2",#N/A,TRUE,"Wk-CV";"Vol Qtr 3",#N/A,TRUE,"Wk-CV";"Vol Qtr 4",#N/A,TRUE,"Wk-CV"}</definedName>
    <definedName name="sgsrrgr" hidden="1">{"Vol Qtr 1",#N/A,TRUE,"Wk-CV";"Vol Qtr 2",#N/A,TRUE,"Wk-CV";"Vol Qtr 3",#N/A,TRUE,"Wk-CV";"Vol Qtr 4",#N/A,TRUE,"Wk-CV"}</definedName>
    <definedName name="sgsx" localSheetId="10" hidden="1">{"consolidated",#N/A,FALSE,"Sheet1";"cms",#N/A,FALSE,"Sheet1";"fse",#N/A,FALSE,"Sheet1"}</definedName>
    <definedName name="sgsx" localSheetId="15" hidden="1">{"consolidated",#N/A,FALSE,"Sheet1";"cms",#N/A,FALSE,"Sheet1";"fse",#N/A,FALSE,"Sheet1"}</definedName>
    <definedName name="sgsx" hidden="1">{"consolidated",#N/A,FALSE,"Sheet1";"cms",#N/A,FALSE,"Sheet1";"fse",#N/A,FALSE,"Sheet1"}</definedName>
    <definedName name="Shadow" localSheetId="10" hidden="1">{#N/A,#N/A,FALSE,"INPUT";#N/A,#N/A,FALSE,"GROSS NUMBERS";#N/A,#N/A,FALSE,"ALLOCATION";#N/A,#N/A,FALSE,"PARTNERS' CAP."}</definedName>
    <definedName name="Shadow" hidden="1">{#N/A,#N/A,FALSE,"INPUT";#N/A,#N/A,FALSE,"GROSS NUMBERS";#N/A,#N/A,FALSE,"ALLOCATION";#N/A,#N/A,FALSE,"PARTNERS' CAP."}</definedName>
    <definedName name="Shadow_1" localSheetId="10" hidden="1">{#N/A,#N/A,FALSE,"INPUT";#N/A,#N/A,FALSE,"GROSS NUMBERS";#N/A,#N/A,FALSE,"ALLOCATION";#N/A,#N/A,FALSE,"PARTNERS' CAP."}</definedName>
    <definedName name="Shadow_1" hidden="1">{#N/A,#N/A,FALSE,"INPUT";#N/A,#N/A,FALSE,"GROSS NUMBERS";#N/A,#N/A,FALSE,"ALLOCATION";#N/A,#N/A,FALSE,"PARTNERS' CAP."}</definedName>
    <definedName name="Shadow_2" localSheetId="10" hidden="1">{#N/A,#N/A,FALSE,"INPUT";#N/A,#N/A,FALSE,"GROSS NUMBERS";#N/A,#N/A,FALSE,"ALLOCATION";#N/A,#N/A,FALSE,"PARTNERS' CAP."}</definedName>
    <definedName name="Shadow_2" hidden="1">{#N/A,#N/A,FALSE,"INPUT";#N/A,#N/A,FALSE,"GROSS NUMBERS";#N/A,#N/A,FALSE,"ALLOCATION";#N/A,#N/A,FALSE,"PARTNERS' CAP."}</definedName>
    <definedName name="Shadow_3" localSheetId="10" hidden="1">{#N/A,#N/A,FALSE,"INPUT";#N/A,#N/A,FALSE,"GROSS NUMBERS";#N/A,#N/A,FALSE,"ALLOCATION";#N/A,#N/A,FALSE,"PARTNERS' CAP."}</definedName>
    <definedName name="Shadow_3" hidden="1">{#N/A,#N/A,FALSE,"INPUT";#N/A,#N/A,FALSE,"GROSS NUMBERS";#N/A,#N/A,FALSE,"ALLOCATION";#N/A,#N/A,FALSE,"PARTNERS' CAP."}</definedName>
    <definedName name="Shadow_4" localSheetId="10" hidden="1">{#N/A,#N/A,FALSE,"INPUT";#N/A,#N/A,FALSE,"GROSS NUMBERS";#N/A,#N/A,FALSE,"ALLOCATION";#N/A,#N/A,FALSE,"PARTNERS' CAP."}</definedName>
    <definedName name="Shadow_4" hidden="1">{#N/A,#N/A,FALSE,"INPUT";#N/A,#N/A,FALSE,"GROSS NUMBERS";#N/A,#N/A,FALSE,"ALLOCATION";#N/A,#N/A,FALSE,"PARTNERS' CAP."}</definedName>
    <definedName name="Shadow_5" localSheetId="10" hidden="1">{#N/A,#N/A,FALSE,"INPUT";#N/A,#N/A,FALSE,"GROSS NUMBERS";#N/A,#N/A,FALSE,"ALLOCATION";#N/A,#N/A,FALSE,"PARTNERS' CAP."}</definedName>
    <definedName name="Shadow_5" hidden="1">{#N/A,#N/A,FALSE,"INPUT";#N/A,#N/A,FALSE,"GROSS NUMBERS";#N/A,#N/A,FALSE,"ALLOCATION";#N/A,#N/A,FALSE,"PARTNERS' CAP."}</definedName>
    <definedName name="SHARE_CAPITAL">#REF!</definedName>
    <definedName name="sheeet" localSheetId="10" hidden="1">{#N/A,#N/A,FALSE,"COP CONS SK";#N/A,#N/A,FALSE,"COP CONS RG";#N/A,#N/A,FALSE,"COP CONS SK BC";#N/A,#N/A,FALSE,"COP CONS RG BC";#N/A,#N/A,FALSE,"ALLIANCE SK";#N/A,#N/A,FALSE,"ALLIANCE RG";#N/A,#N/A,FALSE,"CPC SK";#N/A,#N/A,FALSE,"CPC RG"}</definedName>
    <definedName name="sheeet" hidden="1">{#N/A,#N/A,FALSE,"COP CONS SK";#N/A,#N/A,FALSE,"COP CONS RG";#N/A,#N/A,FALSE,"COP CONS SK BC";#N/A,#N/A,FALSE,"COP CONS RG BC";#N/A,#N/A,FALSE,"ALLIANCE SK";#N/A,#N/A,FALSE,"ALLIANCE RG";#N/A,#N/A,FALSE,"CPC SK";#N/A,#N/A,FALSE,"CPC RG"}</definedName>
    <definedName name="sheet" localSheetId="10" hidden="1">{"product cost",#N/A,FALSE,"P&amp;L STATEMENT"}</definedName>
    <definedName name="sheet" hidden="1">{"product cost",#N/A,FALSE,"P&amp;L STATEMENT"}</definedName>
    <definedName name="Sheet2" localSheetId="10">{#N/A,#N/A,FALSE,"Adj Proj";#N/A,#N/A,FALSE,"Sheet1";#N/A,#N/A,FALSE,"LBO";#N/A,#N/A,FALSE,"LBOMER";#N/A,#N/A,FALSE,"WACC";#N/A,#N/A,FALSE,"DCF";#N/A,#N/A,FALSE,"DCFMER";#N/A,#N/A,FALSE,"Pooling";#N/A,#N/A,FALSE,"income";#N/A,#N/A,FALSE,"Offer"}</definedName>
    <definedName name="Sheet2">{#N/A,#N/A,FALSE,"Adj Proj";#N/A,#N/A,FALSE,"Sheet1";#N/A,#N/A,FALSE,"LBO";#N/A,#N/A,FALSE,"LBOMER";#N/A,#N/A,FALSE,"WACC";#N/A,#N/A,FALSE,"DCF";#N/A,#N/A,FALSE,"DCFMER";#N/A,#N/A,FALSE,"Pooling";#N/A,#N/A,FALSE,"income";#N/A,#N/A,FALSE,"Offer"}</definedName>
    <definedName name="Sheet3" localSheetId="10">{#N/A,#N/A,FALSE,"Projections";#N/A,#N/A,FALSE,"Multiples Valuation";#N/A,#N/A,FALSE,"LBO";#N/A,#N/A,FALSE,"Multiples_Sensitivity";#N/A,#N/A,FALSE,"Summary"}</definedName>
    <definedName name="Sheet3">{#N/A,#N/A,FALSE,"Projections";#N/A,#N/A,FALSE,"Multiples Valuation";#N/A,#N/A,FALSE,"LBO";#N/A,#N/A,FALSE,"Multiples_Sensitivity";#N/A,#N/A,FALSE,"Summary"}</definedName>
    <definedName name="Sheet4" localSheetId="10">{#N/A,#N/A,FALSE,"Projections";#N/A,#N/A,FALSE,"Multiples Valuation";#N/A,#N/A,FALSE,"LBO";#N/A,#N/A,FALSE,"Multiples_Sensitivity";#N/A,#N/A,FALSE,"Summary"}</definedName>
    <definedName name="Sheet4">{#N/A,#N/A,FALSE,"Projections";#N/A,#N/A,FALSE,"Multiples Valuation";#N/A,#N/A,FALSE,"LBO";#N/A,#N/A,FALSE,"Multiples_Sensitivity";#N/A,#N/A,FALSE,"Summary"}</definedName>
    <definedName name="Sheet6" localSheetId="10">{#N/A,#N/A,FALSE,"Projections";#N/A,#N/A,FALSE,"Multiples Valuation";#N/A,#N/A,FALSE,"LBO";#N/A,#N/A,FALSE,"Multiples_Sensitivity";#N/A,#N/A,FALSE,"Summary"}</definedName>
    <definedName name="Sheet6">{#N/A,#N/A,FALSE,"Projections";#N/A,#N/A,FALSE,"Multiples Valuation";#N/A,#N/A,FALSE,"LBO";#N/A,#N/A,FALSE,"Multiples_Sensitivity";#N/A,#N/A,FALSE,"Summary"}</definedName>
    <definedName name="SHEETA" localSheetId="10">#REF!</definedName>
    <definedName name="SHEETA">#REF!</definedName>
    <definedName name="SHEETB" localSheetId="10">#REF!</definedName>
    <definedName name="SHEETB">#REF!</definedName>
    <definedName name="SHEETC" localSheetId="10">#REF!</definedName>
    <definedName name="SHEETC">#REF!</definedName>
    <definedName name="SHihi" hidden="1">"06ebb962-44c8-4608-8094-a0b839ff2a03"</definedName>
    <definedName name="Shipping_Charges">#REF!</definedName>
    <definedName name="Show.Acct.Update.Warning" hidden="1">#REF!</definedName>
    <definedName name="Show.MDB.Update.Warning" hidden="1">#REF!</definedName>
    <definedName name="SHSHHSFHG" hidden="1">#REF!</definedName>
    <definedName name="SHT">#REF!</definedName>
    <definedName name="shuuuuuula" localSheetId="10" hidden="1">{"CSC_1",#N/A,FALSE,"CSC Outputs";"CSC_2",#N/A,FALSE,"CSC Outputs"}</definedName>
    <definedName name="shuuuuuula" localSheetId="15" hidden="1">{"CSC_1",#N/A,FALSE,"CSC Outputs";"CSC_2",#N/A,FALSE,"CSC Outputs"}</definedName>
    <definedName name="shuuuuuula" hidden="1">{"CSC_1",#N/A,FALSE,"CSC Outputs";"CSC_2",#N/A,FALSE,"CSC Outputs"}</definedName>
    <definedName name="SI_EXEC_SUMMARY_RANGE_ROW7_ROW83"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Rx_Paid_Current" hidden="1">#REF!</definedName>
    <definedName name="SID" hidden="1">"Cpavan"</definedName>
    <definedName name="Singapore" localSheetId="10" hidden="1">{"'Actual'!$A$1:$F$25"}</definedName>
    <definedName name="Singapore" hidden="1">{"'Actual'!$A$1:$F$25"}</definedName>
    <definedName name="sjkdsjdk"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khldf" localSheetId="10" hidden="1">#REF!</definedName>
    <definedName name="skhldf" hidden="1">#REF!</definedName>
    <definedName name="SleepmasterIncome" localSheetId="10"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epmasterIncome_1" localSheetId="10" hidden="1">{#N/A,#N/A,FALSE,"TS";#N/A,#N/A,FALSE,"Combo";#N/A,#N/A,FALSE,"FAIR";#N/A,#N/A,FALSE,"RBC";#N/A,#N/A,FALSE,"xxxx";#N/A,#N/A,FALSE,"A_D";#N/A,#N/A,FALSE,"WACC";#N/A,#N/A,FALSE,"DCF";#N/A,#N/A,FALSE,"LBO";#N/A,#N/A,FALSE,"AcqMults";#N/A,#N/A,FALSE,"CompMults"}</definedName>
    <definedName name="SleepmasterIncome_1" hidden="1">{#N/A,#N/A,FALSE,"TS";#N/A,#N/A,FALSE,"Combo";#N/A,#N/A,FALSE,"FAIR";#N/A,#N/A,FALSE,"RBC";#N/A,#N/A,FALSE,"xxxx";#N/A,#N/A,FALSE,"A_D";#N/A,#N/A,FALSE,"WACC";#N/A,#N/A,FALSE,"DCF";#N/A,#N/A,FALSE,"LBO";#N/A,#N/A,FALSE,"AcqMults";#N/A,#N/A,FALSE,"CompMults"}</definedName>
    <definedName name="SLEVI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l" localSheetId="10"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OW" localSheetId="10" hidden="1">{#N/A,#N/A,FALSE,"INVStrat"}</definedName>
    <definedName name="SLOW" hidden="1">{#N/A,#N/A,FALSE,"INVStrat"}</definedName>
    <definedName name="smk" localSheetId="10" hidden="1">{"QTD_GENERALH2",#N/A,FALSE,"QTD"}</definedName>
    <definedName name="smk" hidden="1">{"QTD_GENERALH2",#N/A,FALSE,"QTD"}</definedName>
    <definedName name="SMPS" localSheetId="10">{#N/A,#N/A,FALSE,"AD_Purchase";#N/A,#N/A,FALSE,"Credit";#N/A,#N/A,FALSE,"PF Acquisition";#N/A,#N/A,FALSE,"PF Offering"}</definedName>
    <definedName name="SMPS">{#N/A,#N/A,FALSE,"AD_Purchase";#N/A,#N/A,FALSE,"Credit";#N/A,#N/A,FALSE,"PF Acquisition";#N/A,#N/A,FALSE,"PF Offering"}</definedName>
    <definedName name="Smyth" localSheetId="10" hidden="1">{#N/A,#N/A,FALSE,"Aging Summary";#N/A,#N/A,FALSE,"Ratio Analysis";#N/A,#N/A,FALSE,"Test 120 Day Accts";#N/A,#N/A,FALSE,"Tickmarks"}</definedName>
    <definedName name="Smyth" hidden="1">{#N/A,#N/A,FALSE,"Aging Summary";#N/A,#N/A,FALSE,"Ratio Analysis";#N/A,#N/A,FALSE,"Test 120 Day Accts";#N/A,#N/A,FALSE,"Tickmarks"}</definedName>
    <definedName name="SmythBS" localSheetId="10" hidden="1">{#N/A,#N/A,FALSE,"Aging Summary";#N/A,#N/A,FALSE,"Ratio Analysis";#N/A,#N/A,FALSE,"Test 120 Day Accts";#N/A,#N/A,FALSE,"Tickmarks"}</definedName>
    <definedName name="SmythBS" hidden="1">{#N/A,#N/A,FALSE,"Aging Summary";#N/A,#N/A,FALSE,"Ratio Analysis";#N/A,#N/A,FALSE,"Test 120 Day Accts";#N/A,#N/A,FALSE,"Tickmarks"}</definedName>
    <definedName name="so" localSheetId="10">#REF!</definedName>
    <definedName name="so">#REF!</definedName>
    <definedName name="soft" localSheetId="10"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soft"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sold_not_enrolled2" localSheetId="10" hidden="1">{#N/A,#N/A,FALSE,"MW";#N/A,#N/A,FALSE,"NE";#N/A,#N/A,FALSE,"NW";#N/A,#N/A,FALSE,"RD";#N/A,#N/A,FALSE,"SE";#N/A,#N/A,FALSE,"SW";#N/A,#N/A,FALSE,"W"}</definedName>
    <definedName name="sold_not_enrolled2" hidden="1">{#N/A,#N/A,FALSE,"MW";#N/A,#N/A,FALSE,"NE";#N/A,#N/A,FALSE,"NW";#N/A,#N/A,FALSE,"RD";#N/A,#N/A,FALSE,"SE";#N/A,#N/A,FALSE,"SW";#N/A,#N/A,FALSE,"W"}</definedName>
    <definedName name="solo" localSheetId="10">{#N/A,#N/A,FALSE,"Cover";"Bal 1",#N/A,FALSE,"Balance Sheet";"Inc 1",#N/A,FALSE,"Income Statement";"CF 1",#N/A,FALSE,"Cashflow";"Bal 2",#N/A,FALSE,"Balance Sheet";"Inc 2",#N/A,FALSE,"Income Statement";"CF 2",#N/A,FALSE,"Cashflow";"Other 1",#N/A,FALSE,"Additional Info"}</definedName>
    <definedName name="solo">{#N/A,#N/A,FALSE,"Cover";"Bal 1",#N/A,FALSE,"Balance Sheet";"Inc 1",#N/A,FALSE,"Income Statement";"CF 1",#N/A,FALSE,"Cashflow";"Bal 2",#N/A,FALSE,"Balance Sheet";"Inc 2",#N/A,FALSE,"Income Statement";"CF 2",#N/A,FALSE,"Cashflow";"Other 1",#N/A,FALSE,"Additional Info"}</definedName>
    <definedName name="solver_adj" localSheetId="10" hidden="1">#REF!</definedName>
    <definedName name="solver_adj" localSheetId="9" hidden="1">#REF!</definedName>
    <definedName name="solver_adj" localSheetId="8" hidden="1">#REF!</definedName>
    <definedName name="solver_adj" localSheetId="16" hidden="1">#REF!</definedName>
    <definedName name="solver_adj" hidden="1">#REF!</definedName>
    <definedName name="solver_cvg" hidden="1">0.0001</definedName>
    <definedName name="solver_drv" hidden="1">1</definedName>
    <definedName name="solver_est" hidden="1">1</definedName>
    <definedName name="solver_itr" hidden="1">5</definedName>
    <definedName name="solver_lhs1" localSheetId="10" hidden="1">#REF!</definedName>
    <definedName name="solver_lhs1" localSheetId="9" hidden="1">#REF!</definedName>
    <definedName name="solver_lhs1" localSheetId="8" hidden="1">#REF!</definedName>
    <definedName name="solver_lhs1" localSheetId="16" hidden="1">#REF!</definedName>
    <definedName name="solver_lhs1"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localSheetId="10" hidden="1">#REF!</definedName>
    <definedName name="solver_opt" localSheetId="9" hidden="1">#REF!</definedName>
    <definedName name="solver_opt" localSheetId="8" hidden="1">#REF!</definedName>
    <definedName name="solver_opt" localSheetId="16" hidden="1">#REF!</definedName>
    <definedName name="solver_opt" hidden="1">#REF!</definedName>
    <definedName name="solver_pre" hidden="1">0.000001</definedName>
    <definedName name="solver_rel1" hidden="1">1</definedName>
    <definedName name="solver_rel2" hidden="1">3</definedName>
    <definedName name="solver_rel4" hidden="1">3</definedName>
    <definedName name="solver_rel6">3</definedName>
    <definedName name="solver_rel7">2</definedName>
    <definedName name="solver_rel8">3</definedName>
    <definedName name="solver_rhs1" hidden="1">0.15</definedName>
    <definedName name="solver_rhs2" hidden="1">0</definedName>
    <definedName name="solver_rhs4" hidden="1">0</definedName>
    <definedName name="solver_rhs6">0</definedName>
    <definedName name="solver_rhs7">0</definedName>
    <definedName name="solver_rhs8">0</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0.6</definedName>
    <definedName name="sor" localSheetId="10" hidden="1">#REF!</definedName>
    <definedName name="sor" hidden="1">#REF!</definedName>
    <definedName name="sort1" localSheetId="10" hidden="1">#REF!</definedName>
    <definedName name="sort1" hidden="1">#REF!</definedName>
    <definedName name="sort2" localSheetId="10" hidden="1">#REF!</definedName>
    <definedName name="sort2" hidden="1">#REF!</definedName>
    <definedName name="sort6" hidden="1">#REF!</definedName>
    <definedName name="SourceInfo">#REF!</definedName>
    <definedName name="Spec">#REF!</definedName>
    <definedName name="SPLOTHERS" localSheetId="10" hidden="1">{#N/A,#N/A,FALSE,"Aging Summary";#N/A,#N/A,FALSE,"Ratio Analysis";#N/A,#N/A,FALSE,"Test 120 Day Accts";#N/A,#N/A,FALSE,"Tickmarks"}</definedName>
    <definedName name="SPLOTHERS" hidden="1">{#N/A,#N/A,FALSE,"Aging Summary";#N/A,#N/A,FALSE,"Ratio Analysis";#N/A,#N/A,FALSE,"Test 120 Day Accts";#N/A,#N/A,FALSE,"Tickmarks"}</definedName>
    <definedName name="sponsor" localSheetId="10">#REF!</definedName>
    <definedName name="sponsor">#REF!</definedName>
    <definedName name="SPSet">"current"</definedName>
    <definedName name="SPWD" hidden="1">"pepsico"</definedName>
    <definedName name="SPWS_WBID">"0E10121B-69E6-11D3-80A0-005004D053A4"</definedName>
    <definedName name="sq" localSheetId="10" hidden="1">{"bs",#N/A,FALSE,"SCF"}</definedName>
    <definedName name="sq" hidden="1">{"bs",#N/A,FALSE,"SCF"}</definedName>
    <definedName name="SQFT">INDIRECT("'Sq Ft'!$A$1:$F$1500")</definedName>
    <definedName name="sql_statement" hidden="1">"select distinct acct_cat,sum(cyr),sum(lyr),sum(cbd),mult_x000D_
from r1_datasum_x000D_
group by acct_cat_x000D_
_x000D_
"</definedName>
    <definedName name="SR" localSheetId="10" hidden="1">{#N/A,#N/A,FALSE,"INPUT";#N/A,#N/A,FALSE,"GROSS NUMBERS";#N/A,#N/A,FALSE,"ALLOCATION";#N/A,#N/A,FALSE,"PARTNERS' CAP."}</definedName>
    <definedName name="SR" hidden="1">{#N/A,#N/A,FALSE,"INPUT";#N/A,#N/A,FALSE,"GROSS NUMBERS";#N/A,#N/A,FALSE,"ALLOCATION";#N/A,#N/A,FALSE,"PARTNERS' CAP."}</definedName>
    <definedName name="SR_1" localSheetId="10" hidden="1">{#N/A,#N/A,FALSE,"INPUT";#N/A,#N/A,FALSE,"GROSS NUMBERS";#N/A,#N/A,FALSE,"ALLOCATION";#N/A,#N/A,FALSE,"PARTNERS' CAP."}</definedName>
    <definedName name="SR_1" hidden="1">{#N/A,#N/A,FALSE,"INPUT";#N/A,#N/A,FALSE,"GROSS NUMBERS";#N/A,#N/A,FALSE,"ALLOCATION";#N/A,#N/A,FALSE,"PARTNERS' CAP."}</definedName>
    <definedName name="SR_2" localSheetId="10" hidden="1">{#N/A,#N/A,FALSE,"INPUT";#N/A,#N/A,FALSE,"GROSS NUMBERS";#N/A,#N/A,FALSE,"ALLOCATION";#N/A,#N/A,FALSE,"PARTNERS' CAP."}</definedName>
    <definedName name="SR_2" hidden="1">{#N/A,#N/A,FALSE,"INPUT";#N/A,#N/A,FALSE,"GROSS NUMBERS";#N/A,#N/A,FALSE,"ALLOCATION";#N/A,#N/A,FALSE,"PARTNERS' CAP."}</definedName>
    <definedName name="SR_3" localSheetId="10" hidden="1">{#N/A,#N/A,FALSE,"INPUT";#N/A,#N/A,FALSE,"GROSS NUMBERS";#N/A,#N/A,FALSE,"ALLOCATION";#N/A,#N/A,FALSE,"PARTNERS' CAP."}</definedName>
    <definedName name="SR_3" hidden="1">{#N/A,#N/A,FALSE,"INPUT";#N/A,#N/A,FALSE,"GROSS NUMBERS";#N/A,#N/A,FALSE,"ALLOCATION";#N/A,#N/A,FALSE,"PARTNERS' CAP."}</definedName>
    <definedName name="SR_4" localSheetId="10" hidden="1">{#N/A,#N/A,FALSE,"INPUT";#N/A,#N/A,FALSE,"GROSS NUMBERS";#N/A,#N/A,FALSE,"ALLOCATION";#N/A,#N/A,FALSE,"PARTNERS' CAP."}</definedName>
    <definedName name="SR_4" hidden="1">{#N/A,#N/A,FALSE,"INPUT";#N/A,#N/A,FALSE,"GROSS NUMBERS";#N/A,#N/A,FALSE,"ALLOCATION";#N/A,#N/A,FALSE,"PARTNERS' CAP."}</definedName>
    <definedName name="SR_5" localSheetId="10" hidden="1">{#N/A,#N/A,FALSE,"INPUT";#N/A,#N/A,FALSE,"GROSS NUMBERS";#N/A,#N/A,FALSE,"ALLOCATION";#N/A,#N/A,FALSE,"PARTNERS' CAP."}</definedName>
    <definedName name="SR_5" hidden="1">{#N/A,#N/A,FALSE,"INPUT";#N/A,#N/A,FALSE,"GROSS NUMBERS";#N/A,#N/A,FALSE,"ALLOCATION";#N/A,#N/A,FALSE,"PARTNERS' CAP."}</definedName>
    <definedName name="srdgsrdg" localSheetId="10" hidden="1">{"works expense",#N/A,FALSE,"WORKS EXPENSE"}</definedName>
    <definedName name="srdgsrdg" hidden="1">{"works expense",#N/A,FALSE,"WORKS EXPENSE"}</definedName>
    <definedName name="sre" localSheetId="10"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rtgdrgr" localSheetId="10" hidden="1">{"sga expense",#N/A,FALSE,"S,G&amp;A EXP"}</definedName>
    <definedName name="srtgdrgr" hidden="1">{"sga expense",#N/A,FALSE,"S,G&amp;A EXP"}</definedName>
    <definedName name="ss" localSheetId="10" hidden="1">{#N/A,#N/A,FALSE,"Calc";#N/A,#N/A,FALSE,"Sensitivity";#N/A,#N/A,FALSE,"LT Earn.Dil.";#N/A,#N/A,FALSE,"Dil. AVP"}</definedName>
    <definedName name="ss" localSheetId="15" hidden="1">{#N/A,#N/A,FALSE,"Calc";#N/A,#N/A,FALSE,"Sensitivity";#N/A,#N/A,FALSE,"LT Earn.Dil.";#N/A,#N/A,FALSE,"Dil. AVP"}</definedName>
    <definedName name="ss" hidden="1">{#N/A,#N/A,FALSE,"Calc";#N/A,#N/A,FALSE,"Sensitivity";#N/A,#N/A,FALSE,"LT Earn.Dil.";#N/A,#N/A,FALSE,"Dil. AVP"}</definedName>
    <definedName name="ss_1" localSheetId="10" hidden="1">{#N/A,#N/A,FALSE,"Debt Accr";#N/A,#N/A,FALSE,"Stock Accr";#N/A,#N/A,FALSE,"Debt Stock Accr"}</definedName>
    <definedName name="ss_1" hidden="1">{#N/A,#N/A,FALSE,"Debt Accr";#N/A,#N/A,FALSE,"Stock Accr";#N/A,#N/A,FALSE,"Debt Stock Accr"}</definedName>
    <definedName name="ssadsad" localSheetId="10"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localSheetId="10" hidden="1">#REF!</definedName>
    <definedName name="ssd" hidden="1">#REF!</definedName>
    <definedName name="ssddd" localSheetId="10">{#N/A,#N/A,TRUE,"2432"}</definedName>
    <definedName name="ssddd">{#N/A,#N/A,TRUE,"2432"}</definedName>
    <definedName name="sse" localSheetId="10" hidden="1">{"YD GENERALH2",#N/A,FALSE,"YTD"}</definedName>
    <definedName name="sse" hidden="1">{"YD GENERALH2",#N/A,FALSE,"YTD"}</definedName>
    <definedName name="ssr" localSheetId="10" hidden="1">{"bs",#N/A,FALSE,"SCF"}</definedName>
    <definedName name="ssr" hidden="1">{"bs",#N/A,FALSE,"SCF"}</definedName>
    <definedName name="sss" localSheetId="10" hidden="1">{#N/A,#N/A,FALSE,"Hoja10";#N/A,#N/A,FALSE,"Hoja9";#N/A,#N/A,FALSE,"Hoja8";#N/A,#N/A,FALSE,"Hoja7";#N/A,#N/A,FALSE,"Hoja6";#N/A,#N/A,FALSE,"Hoja5";#N/A,#N/A,FALSE,"Hoja4";#N/A,#N/A,FALSE,"Hoja2";#N/A,#N/A,FALSE,"Hoja3";#N/A,#N/A,FALSE,"HOJA1";#N/A,#N/A,FALSE,"CashFlow";#N/A,#N/A,FALSE,"FinStmts"}</definedName>
    <definedName name="sss" localSheetId="15" hidden="1">{#N/A,#N/A,FALSE,"Hoja10";#N/A,#N/A,FALSE,"Hoja9";#N/A,#N/A,FALSE,"Hoja8";#N/A,#N/A,FALSE,"Hoja7";#N/A,#N/A,FALSE,"Hoja6";#N/A,#N/A,FALSE,"Hoja5";#N/A,#N/A,FALSE,"Hoja4";#N/A,#N/A,FALSE,"Hoja2";#N/A,#N/A,FALSE,"Hoja3";#N/A,#N/A,FALSE,"HOJA1";#N/A,#N/A,FALSE,"CashFlow";#N/A,#N/A,FALSE,"FinStmts"}</definedName>
    <definedName name="sss" hidden="1">{#N/A,#N/A,FALSE,"Hoja10";#N/A,#N/A,FALSE,"Hoja9";#N/A,#N/A,FALSE,"Hoja8";#N/A,#N/A,FALSE,"Hoja7";#N/A,#N/A,FALSE,"Hoja6";#N/A,#N/A,FALSE,"Hoja5";#N/A,#N/A,FALSE,"Hoja4";#N/A,#N/A,FALSE,"Hoja2";#N/A,#N/A,FALSE,"Hoja3";#N/A,#N/A,FALSE,"HOJA1";#N/A,#N/A,FALSE,"CashFlow";#N/A,#N/A,FALSE,"FinStmts"}</definedName>
    <definedName name="ssss" localSheetId="10">{#N/A,#N/A,FALSE,"Proj.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s" localSheetId="10" hidden="1">{#N/A,#N/A,FALSE,"Calc";#N/A,#N/A,FALSE,"Sensitivity";#N/A,#N/A,FALSE,"LT Earn.Dil.";#N/A,#N/A,FALSE,"Dil. AVP"}</definedName>
    <definedName name="sssss" localSheetId="15" hidden="1">{#N/A,#N/A,FALSE,"Calc";#N/A,#N/A,FALSE,"Sensitivity";#N/A,#N/A,FALSE,"LT Earn.Dil.";#N/A,#N/A,FALSE,"Dil. AVP"}</definedName>
    <definedName name="sssss" hidden="1">{#N/A,#N/A,FALSE,"Calc";#N/A,#N/A,FALSE,"Sensitivity";#N/A,#N/A,FALSE,"LT Earn.Dil.";#N/A,#N/A,FALSE,"Dil. AVP"}</definedName>
    <definedName name="ssssss" hidden="1">#REF!</definedName>
    <definedName name="ssssssss" localSheetId="10">{"PA1",#N/A,FALSE,"BORDMW";"pa2",#N/A,FALSE,"BORDMW";"PA3",#N/A,FALSE,"BORDMW";"PA4",#N/A,FALSE,"BORDMW"}</definedName>
    <definedName name="ssssssss">{"PA1",#N/A,FALSE,"BORDMW";"pa2",#N/A,FALSE,"BORDMW";"PA3",#N/A,FALSE,"BORDMW";"PA4",#N/A,FALSE,"BORDMW"}</definedName>
    <definedName name="ssssssssssss" localSheetId="10">{"Operating Data",#N/A,TRUE,"Sheet1";"Valuation Matrix",#N/A,TRUE,"Sheet1";"Sales Analysis",#N/A,TRUE,"Sheet1";"Closed Remodelled New",#N/A,TRUE,"Sheet1";"Competitive and FSP",#N/A,TRUE,"Sheet1";"Working Capital and Capex",#N/A,TRUE,"Sheet1";"depreciation",#N/A,TRUE,"Sheet1"}</definedName>
    <definedName name="ssssssssssss">{"Operating Data",#N/A,TRUE,"Sheet1";"Valuation Matrix",#N/A,TRUE,"Sheet1";"Sales Analysis",#N/A,TRUE,"Sheet1";"Closed Remodelled New",#N/A,TRUE,"Sheet1";"Competitive and FSP",#N/A,TRUE,"Sheet1";"Working Capital and Capex",#N/A,TRUE,"Sheet1";"depreciation",#N/A,TRUE,"Sheet1"}</definedName>
    <definedName name="ssssssssssssss"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localSheetId="10" hidden="1">{"detail",#N/A,FALSE,"mfg";"summary",#N/A,FALSE,"mfg"}</definedName>
    <definedName name="sssssssssssssssss" hidden="1">{"detail",#N/A,FALSE,"mfg";"summary",#N/A,FALSE,"mfg"}</definedName>
    <definedName name="sssswwww" localSheetId="10" hidden="1">{#N/A,"PURCHM",FALSE,"Business Analysis";#N/A,"SPADD",FALSE,"Business Analysis"}</definedName>
    <definedName name="sssswwww" hidden="1">{#N/A,"PURCHM",FALSE,"Business Analysis";#N/A,"SPADD",FALSE,"Business Analysis"}</definedName>
    <definedName name="ssv" localSheetId="10">#REF!</definedName>
    <definedName name="ssv">#REF!</definedName>
    <definedName name="st" localSheetId="10">#REF!</definedName>
    <definedName name="st">#REF!</definedName>
    <definedName name="staffing2" localSheetId="10" hidden="1">{#N/A,#N/A,FALSE,"Assessment";#N/A,#N/A,FALSE,"Staffing";#N/A,#N/A,FALSE,"Hires";#N/A,#N/A,FALSE,"Assumptions"}</definedName>
    <definedName name="staffing2" hidden="1">{#N/A,#N/A,FALSE,"Assessment";#N/A,#N/A,FALSE,"Staffing";#N/A,#N/A,FALSE,"Hires";#N/A,#N/A,FALSE,"Assumptions"}</definedName>
    <definedName name="staffing2_1" localSheetId="10" hidden="1">{#N/A,#N/A,FALSE,"Assessment";#N/A,#N/A,FALSE,"Staffing";#N/A,#N/A,FALSE,"Hires";#N/A,#N/A,FALSE,"Assumptions"}</definedName>
    <definedName name="staffing2_1" hidden="1">{#N/A,#N/A,FALSE,"Assessment";#N/A,#N/A,FALSE,"Staffing";#N/A,#N/A,FALSE,"Hires";#N/A,#N/A,FALSE,"Assumptions"}</definedName>
    <definedName name="Staffing3" localSheetId="10" hidden="1">{#N/A,#N/A,FALSE,"Assessment";#N/A,#N/A,FALSE,"Staffing";#N/A,#N/A,FALSE,"Hires";#N/A,#N/A,FALSE,"Assumptions"}</definedName>
    <definedName name="Staffing3" hidden="1">{#N/A,#N/A,FALSE,"Assessment";#N/A,#N/A,FALSE,"Staffing";#N/A,#N/A,FALSE,"Hires";#N/A,#N/A,FALSE,"Assumptions"}</definedName>
    <definedName name="Staffing3_1" localSheetId="10" hidden="1">{#N/A,#N/A,FALSE,"Assessment";#N/A,#N/A,FALSE,"Staffing";#N/A,#N/A,FALSE,"Hires";#N/A,#N/A,FALSE,"Assumptions"}</definedName>
    <definedName name="Staffing3_1" hidden="1">{#N/A,#N/A,FALSE,"Assessment";#N/A,#N/A,FALSE,"Staffing";#N/A,#N/A,FALSE,"Hires";#N/A,#N/A,FALSE,"Assumptions"}</definedName>
    <definedName name="Stand_Alone" localSheetId="10">#REF!</definedName>
    <definedName name="Stand_Alone">#REF!</definedName>
    <definedName name="StandAlone" localSheetId="10">#REF!</definedName>
    <definedName name="StandAlone">#REF!</definedName>
    <definedName name="STANDARD" localSheetId="10">#REF!</definedName>
    <definedName name="STANDARD">#REF!</definedName>
    <definedName name="stands" localSheetId="10" hidden="1">{"FCB_ALL",#N/A,FALSE,"FCB";"GREY_ALL",#N/A,FALSE,"GREY"}</definedName>
    <definedName name="stands" localSheetId="15" hidden="1">{"FCB_ALL",#N/A,FALSE,"FCB";"GREY_ALL",#N/A,FALSE,"GREY"}</definedName>
    <definedName name="stands" hidden="1">{"FCB_ALL",#N/A,FALSE,"FCB";"GREY_ALL",#N/A,FALSE,"GREY"}</definedName>
    <definedName name="stands1" localSheetId="10" hidden="1">{"FCB_ALL",#N/A,FALSE,"FCB";"GREY_ALL",#N/A,FALSE,"GREY"}</definedName>
    <definedName name="stands1" localSheetId="15" hidden="1">{"FCB_ALL",#N/A,FALSE,"FCB";"GREY_ALL",#N/A,FALSE,"GREY"}</definedName>
    <definedName name="stands1" hidden="1">{"FCB_ALL",#N/A,FALSE,"FCB";"GREY_ALL",#N/A,FALSE,"GREY"}</definedName>
    <definedName name="Staril" localSheetId="10">{#N/A,#N/A,FALSE,"REPORT"}</definedName>
    <definedName name="Staril">{#N/A,#N/A,FALSE,"REPORT"}</definedName>
    <definedName name="start_date" localSheetId="10">#REF!</definedName>
    <definedName name="start_date">#REF!</definedName>
    <definedName name="Start_Row2" localSheetId="10">#REF!</definedName>
    <definedName name="Start_Row2">#REF!</definedName>
    <definedName name="StartDate" hidden="1">#REF!</definedName>
    <definedName name="State" localSheetId="10">#REF!</definedName>
    <definedName name="State">'STOC Accounting Diligence Datab'!$B$16</definedName>
    <definedName name="state_points" localSheetId="10">#REF!</definedName>
    <definedName name="state_points">#REF!</definedName>
    <definedName name="state_w1">#REF!</definedName>
    <definedName name="state_w2">#REF!</definedName>
    <definedName name="state_w3">#REF!</definedName>
    <definedName name="state_w4">#REF!</definedName>
    <definedName name="state_w5">#REF!</definedName>
    <definedName name="StateTaxTable">#REF!</definedName>
    <definedName name="Stats">#REF!</definedName>
    <definedName name="Status">#REF!</definedName>
    <definedName name="Steady_State_Rate">#REF!</definedName>
    <definedName name="Stelco" localSheetId="10" hidden="1">{"one",#N/A,TRUE,"Alaska";"two",#N/A,TRUE,"Alaska";"three",#N/A,TRUE,"Alaska";"four",#N/A,TRUE,"Alaska"}</definedName>
    <definedName name="Stelco" hidden="1">{"one",#N/A,TRUE,"Alaska";"two",#N/A,TRUE,"Alaska";"three",#N/A,TRUE,"Alaska";"four",#N/A,TRUE,"Alaska"}</definedName>
    <definedName name="step" localSheetId="10">#REF!</definedName>
    <definedName name="step">#REF!</definedName>
    <definedName name="Step_1" localSheetId="10">#REF!</definedName>
    <definedName name="Step_1">#REF!</definedName>
    <definedName name="Step_2" localSheetId="10">#REF!</definedName>
    <definedName name="Step_2">#REF!</definedName>
    <definedName name="Step_3">#REF!</definedName>
    <definedName name="Step_4">#REF!</definedName>
    <definedName name="Step_5">#REF!</definedName>
    <definedName name="Step_6">#REF!</definedName>
    <definedName name="Step1">#REF!</definedName>
    <definedName name="Step2">#REF!</definedName>
    <definedName name="Step3">#REF!</definedName>
    <definedName name="Step4">#REF!</definedName>
    <definedName name="Step5">#REF!</definedName>
    <definedName name="Step6">#REF!</definedName>
    <definedName name="steve" localSheetId="10" hidden="1">{#N/A,#N/A,FALSE,"Bakersfield PCs";#N/A,#N/A,FALSE,"Bremer PCs";#N/A,#N/A,FALSE,"Bakersfield Notebooks"}</definedName>
    <definedName name="steve" hidden="1">{#N/A,#N/A,FALSE,"Bakersfield PCs";#N/A,#N/A,FALSE,"Bremer PCs";#N/A,#N/A,FALSE,"Bakersfield Notebooks"}</definedName>
    <definedName name="steve2" localSheetId="10" hidden="1">{#N/A,#N/A,FALSE,"Bakersfield PCs";#N/A,#N/A,FALSE,"Bremer PCs";#N/A,#N/A,FALSE,"Bakersfield Notebooks"}</definedName>
    <definedName name="steve2" hidden="1">{#N/A,#N/A,FALSE,"Bakersfield PCs";#N/A,#N/A,FALSE,"Bremer PCs";#N/A,#N/A,FALSE,"Bakersfield Notebooks"}</definedName>
    <definedName name="stock">#REF!</definedName>
    <definedName name="stock1">#REF!</definedName>
    <definedName name="stop" localSheetId="10" hidden="1">{"Headcount Worksheet",#N/A,FALSE,"HEADCOUNT"}</definedName>
    <definedName name="stop" hidden="1">{"Headcount Worksheet",#N/A,FALSE,"HEADCOUNT"}</definedName>
    <definedName name="STRADA" localSheetId="10" hidden="1">{"'Printed'!$A$1:$Z$48","'Printed'!$A$1"}</definedName>
    <definedName name="STRADA" hidden="1">{"'Printed'!$A$1:$Z$48","'Printed'!$A$1"}</definedName>
    <definedName name="Strategy" localSheetId="10"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localSheetId="10">{#N/A,#N/A,FALSE,"Pharm";#N/A,#N/A,FALSE,"WWCM"}</definedName>
    <definedName name="StratPlanAP">{#N/A,#N/A,FALSE,"Pharm";#N/A,#N/A,FALSE,"WWCM"}</definedName>
    <definedName name="stub" localSheetId="10">#REF!</definedName>
    <definedName name="stub">#REF!</definedName>
    <definedName name="Stub_Header1" hidden="1">#REF!</definedName>
    <definedName name="Stub_Header2" hidden="1">#REF!</definedName>
    <definedName name="Stub_Header3" hidden="1">#REF!</definedName>
    <definedName name="Stub_Period" localSheetId="10">#REF!</definedName>
    <definedName name="Stub_Period">'STOC Accounting Diligence Datab'!$B$22</definedName>
    <definedName name="stud13"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0" hidden="1">#REF!</definedName>
    <definedName name="stuff" localSheetId="9" hidden="1">#REF!</definedName>
    <definedName name="stuff" localSheetId="8" hidden="1">#REF!</definedName>
    <definedName name="stuff" localSheetId="16" hidden="1">#REF!</definedName>
    <definedName name="stuff" hidden="1">#REF!</definedName>
    <definedName name="stuffs" localSheetId="10" hidden="1">{"TOTAL",#N/A,FALSE,"A";"FISCAL94",#N/A,FALSE,"A";"FISCAL95",#N/A,FALSE,"A";"FISCAL96",#N/A,FALSE,"A";"misc page",#N/A,FALSE,"A"}</definedName>
    <definedName name="stuffs" localSheetId="15" hidden="1">{"TOTAL",#N/A,FALSE,"A";"FISCAL94",#N/A,FALSE,"A";"FISCAL95",#N/A,FALSE,"A";"FISCAL96",#N/A,FALSE,"A";"misc page",#N/A,FALSE,"A"}</definedName>
    <definedName name="stuffs" hidden="1">{"TOTAL",#N/A,FALSE,"A";"FISCAL94",#N/A,FALSE,"A";"FISCAL95",#N/A,FALSE,"A";"FISCAL96",#N/A,FALSE,"A";"misc page",#N/A,FALSE,"A"}</definedName>
    <definedName name="sub" hidden="1">#REF!</definedName>
    <definedName name="Subheader" localSheetId="10">#REF!</definedName>
    <definedName name="Subheader">#REF!</definedName>
    <definedName name="SubType">#REF!</definedName>
    <definedName name="Success" hidden="1">#REF!</definedName>
    <definedName name="suck" localSheetId="10" hidden="1">#REF!</definedName>
    <definedName name="suck" localSheetId="9" hidden="1">#REF!</definedName>
    <definedName name="suck" localSheetId="8" hidden="1">#REF!</definedName>
    <definedName name="suck" localSheetId="16" hidden="1">#REF!</definedName>
    <definedName name="suck" hidden="1">#REF!</definedName>
    <definedName name="sucker" localSheetId="10" hidden="1">#REF!</definedName>
    <definedName name="sucker" localSheetId="9" hidden="1">#REF!</definedName>
    <definedName name="sucker" localSheetId="8" hidden="1">#REF!</definedName>
    <definedName name="sucker" localSheetId="16" hidden="1">#REF!</definedName>
    <definedName name="sucker" hidden="1">#REF!</definedName>
    <definedName name="SumBaseCell">#REF!</definedName>
    <definedName name="Summary"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BOOK" localSheetId="10" hidden="1">{"page1",#N/A,FALSE,"GIRLBO";"page2",#N/A,FALSE,"GIRLBO";"page3",#N/A,FALSE,"GIRLBO";"page4",#N/A,FALSE,"GIRLBO";"page5",#N/A,FALSE,"GIRLBO"}</definedName>
    <definedName name="SUMMARY_BOOK" localSheetId="15"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10" hidden="1">{"page1",#N/A,FALSE,"GIRLBO";"page2",#N/A,FALSE,"GIRLBO";"page3",#N/A,FALSE,"GIRLBO";"page4",#N/A,FALSE,"GIRLBO";"page5",#N/A,FALSE,"GIRLBO"}</definedName>
    <definedName name="SUMMARY_BOOK_1" hidden="1">{"page1",#N/A,FALSE,"GIRLBO";"page2",#N/A,FALSE,"GIRLBO";"page3",#N/A,FALSE,"GIRLBO";"page4",#N/A,FALSE,"GIRLBO";"page5",#N/A,FALSE,"GIRLBO"}</definedName>
    <definedName name="Summary_by_Product_Range" hidden="1">#REF!</definedName>
    <definedName name="Summary_Plus_0200US" localSheetId="1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2" localSheetId="10">{#N/A,#N/A,FALSE,"FACTSHEETS";#N/A,#N/A,FALSE,"pump";#N/A,#N/A,FALSE,"filter"}</definedName>
    <definedName name="Summary2">{#N/A,#N/A,FALSE,"FACTSHEETS";#N/A,#N/A,FALSE,"pump";#N/A,#N/A,FALSE,"filter"}</definedName>
    <definedName name="sumval" localSheetId="10"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per"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localSheetId="10" hidden="1">{#N/A,#N/A,FALSE,"HMF";#N/A,#N/A,FALSE,"FACIL";#N/A,#N/A,FALSE,"HMFINANCE";#N/A,#N/A,FALSE,"HMEUROPE";#N/A,#N/A,FALSE,"HHAB CONSO";#N/A,#N/A,FALSE,"PAB";#N/A,#N/A,FALSE,"MMC";#N/A,#N/A,FALSE,"THAI";#N/A,#N/A,FALSE,"SINPA";#N/A,#N/A,FALSE,"POLAND"}</definedName>
    <definedName name="Suppliers" localSheetId="15"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rgeon_Comp" localSheetId="10">#REF!</definedName>
    <definedName name="Surgeon_Comp">#REF!</definedName>
    <definedName name="Susan" localSheetId="10"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V_AUTO_CONN_CATALOG" hidden="1">"013"</definedName>
    <definedName name="SV_AUTO_CONN_CATALOG_1" hidden="1">"CAT"</definedName>
    <definedName name="SV_AUTO_CONN_SERVER" hidden="1">"\\ddp-db\MAS 200\Version4\MAS90"</definedName>
    <definedName name="SV_AUTO_CONN_SERVER_1" hidden="1">"\\bg-it-accounting\sagesoftware\v530\MAS90\"</definedName>
    <definedName name="SV_DBTYPE">"19"</definedName>
    <definedName name="SV_ENCPT_AUTO_CONN_PASSWORD" hidden="1">"083096084083070116098118105104120113110106111100115"</definedName>
    <definedName name="SV_ENCPT_AUTO_CONN_PASSWORD_1" hidden="1">"083096084083070118098116117119115116100"</definedName>
    <definedName name="SV_ENCPT_AUTO_CONN_USER" hidden="1">"095094088070084105111098119103108118111119"</definedName>
    <definedName name="SV_ENCPT_AUTO_CONN_USER_1" hidden="1">"095094088070084103099115113119114"</definedName>
    <definedName name="SV_ENCPT_LOGON_PWD" hidden="1">"078104085088070"</definedName>
    <definedName name="SV_ENCPT_LOGON_USER" hidden="1">"095094088070084084080096087083073084"</definedName>
    <definedName name="SV_ENCPT_LOGON_USER_1" hidden="1">"095094088070084103099115113119114"</definedName>
    <definedName name="SV_REPORT_CODE">"PT12-PVS-GL01-1-0"</definedName>
    <definedName name="SV_REPORT_ID">"2"</definedName>
    <definedName name="SV_REPORT_NAME">"Income Statement - Actual vs Budget 1-0"</definedName>
    <definedName name="SV_REPOSCODE">""</definedName>
    <definedName name="SV_SOLUTION_ID">"33"</definedName>
    <definedName name="SV_TENANT_CODE">"Netrada No (99557fa5-5719-48d9-8385-d4d420854bb0)"</definedName>
    <definedName name="SVG_PL_1999" localSheetId="10">#REF!</definedName>
    <definedName name="SVG_PL_1999">#REF!</definedName>
    <definedName name="SVG_PL_2000" localSheetId="10">#REF!</definedName>
    <definedName name="SVG_PL_2000">#REF!</definedName>
    <definedName name="sw" localSheetId="10" hidden="1">{"bs",#N/A,FALSE,"SCF"}</definedName>
    <definedName name="sw" hidden="1">{"bs",#N/A,FALSE,"SCF"}</definedName>
    <definedName name="swaw" localSheetId="10"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q" localSheetId="10" hidden="1">{#N/A,"PURCHM",FALSE,"Business Analysis";#N/A,"SPADD",FALSE,"Business Analysis"}</definedName>
    <definedName name="swq" hidden="1">{#N/A,"PURCHM",FALSE,"Business Analysis";#N/A,"SPADD",FALSE,"Business Analysis"}</definedName>
    <definedName name="swr" localSheetId="10" hidden="1">{"Polymers Details",#N/A,FALSE,"Current Yr";"Polymer Details",#N/A,FALSE,"Budget";"Polymer Details",#N/A,FALSE,"Prior Year"}</definedName>
    <definedName name="swr" hidden="1">{"Polymers Details",#N/A,FALSE,"Current Yr";"Polymer Details",#N/A,FALSE,"Budget";"Polymer Details",#N/A,FALSE,"Prior Year"}</definedName>
    <definedName name="Swvu.CapersView." localSheetId="10" hidden="1">#REF!</definedName>
    <definedName name="Swvu.CapersView." localSheetId="9" hidden="1">#REF!</definedName>
    <definedName name="Swvu.CapersView." localSheetId="8" hidden="1">#REF!</definedName>
    <definedName name="Swvu.CapersView." localSheetId="16" hidden="1">#REF!</definedName>
    <definedName name="Swvu.CapersView." hidden="1">#REF!</definedName>
    <definedName name="Swvu.Japan_Capers_Ed_Pub." hidden="1">#REF!</definedName>
    <definedName name="Swvu.KJP_CC." hidden="1">#REF!</definedName>
    <definedName name="Swvu.Summary.">#REF!</definedName>
    <definedName name="Swvu.summary1." hidden="1">#REF!</definedName>
    <definedName name="Swvu.summary2." hidden="1">#REF!</definedName>
    <definedName name="Swvu.summary3." hidden="1">#REF!</definedName>
    <definedName name="SX" localSheetId="10">{#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SAFDD" localSheetId="10" hidden="1">{#N/A,#N/A,FALSE,"COP CONS SK";#N/A,#N/A,FALSE,"COP CONS RG";#N/A,#N/A,FALSE,"COP CONS SK BC";#N/A,#N/A,FALSE,"COP CONS RG BC";#N/A,#N/A,FALSE,"ALLIANCE SK";#N/A,#N/A,FALSE,"ALLIANCE RG";#N/A,#N/A,FALSE,"CPC SK";#N/A,#N/A,FALSE,"CPC RG"}</definedName>
    <definedName name="SXSAFDD" hidden="1">{#N/A,#N/A,FALSE,"COP CONS SK";#N/A,#N/A,FALSE,"COP CONS RG";#N/A,#N/A,FALSE,"COP CONS SK BC";#N/A,#N/A,FALSE,"COP CONS RG BC";#N/A,#N/A,FALSE,"ALLIANCE SK";#N/A,#N/A,FALSE,"ALLIANCE RG";#N/A,#N/A,FALSE,"CPC SK";#N/A,#N/A,FALSE,"CPC RG"}</definedName>
    <definedName name="sydsum">#REF!</definedName>
    <definedName name="syjskj" hidden="1">#REF!</definedName>
    <definedName name="syn" localSheetId="10" hidden="1">{#N/A,#N/A,FALSE,"Cover";#N/A,#N/A,FALSE,"Assumptions";#N/A,#N/A,FALSE,"Acquirer";#N/A,#N/A,FALSE,"Target";#N/A,#N/A,FALSE,"Income Statement";#N/A,#N/A,FALSE,"Summary Tables"}</definedName>
    <definedName name="syn" localSheetId="15" hidden="1">{#N/A,#N/A,FALSE,"Cover";#N/A,#N/A,FALSE,"Assumptions";#N/A,#N/A,FALSE,"Acquirer";#N/A,#N/A,FALSE,"Target";#N/A,#N/A,FALSE,"Income Statement";#N/A,#N/A,FALSE,"Summary Tables"}</definedName>
    <definedName name="syn" hidden="1">{#N/A,#N/A,FALSE,"Cover";#N/A,#N/A,FALSE,"Assumptions";#N/A,#N/A,FALSE,"Acquirer";#N/A,#N/A,FALSE,"Target";#N/A,#N/A,FALSE,"Income Statement";#N/A,#N/A,FALSE,"Summary Tables"}</definedName>
    <definedName name="sz"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10" hidden="1">{"LAPO2N2",#N/A,FALSE,"CM"}</definedName>
    <definedName name="szx" hidden="1">{"LAPO2N2",#N/A,FALSE,"CM"}</definedName>
    <definedName name="t" localSheetId="10" hidden="1">{"acct_level",#N/A,FALSE,"Sheet1";"actual",#N/A,FALSE,"Sheet1"}</definedName>
    <definedName name="t" localSheetId="15" hidden="1">{"acct_level",#N/A,FALSE,"Sheet1";"actual",#N/A,FALSE,"Sheet1"}</definedName>
    <definedName name="t" hidden="1">{"acct_level",#N/A,FALSE,"Sheet1";"actual",#N/A,FALSE,"Sheet1"}</definedName>
    <definedName name="t.2" localSheetId="10"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E">#REF!</definedName>
    <definedName name="t4wqd" localSheetId="10" hidden="1">{"AnnInc",#N/A,TRUE,"Inc";"QtrInc1",#N/A,TRUE,"Inc";"Balance",#N/A,TRUE,"Bal";"Cflow",#N/A,TRUE,"Cash"}</definedName>
    <definedName name="t4wqd" hidden="1">{"AnnInc",#N/A,TRUE,"Inc";"QtrInc1",#N/A,TRUE,"Inc";"Balance",#N/A,TRUE,"Bal";"Cflow",#N/A,TRUE,"Cash"}</definedName>
    <definedName name="TA" localSheetId="10" hidden="1">{"YTDONLY",#N/A,FALSE,"09-SUM  ";"REGULAR1",#N/A,FALSE,"09-SUM  "}</definedName>
    <definedName name="TA" hidden="1">{"YTDONLY",#N/A,FALSE,"09-SUM  ";"REGULAR1",#N/A,FALSE,"09-SUM  "}</definedName>
    <definedName name="tabc_report_name" hidden="1">#REF!</definedName>
    <definedName name="Table" localSheetId="10">#REF!</definedName>
    <definedName name="Table">#REF!</definedName>
    <definedName name="table_06" localSheetId="10">#REF!</definedName>
    <definedName name="table_06">#REF!</definedName>
    <definedName name="table_08">#REF!</definedName>
    <definedName name="table_09">#REF!</definedName>
    <definedName name="Table2" localSheetId="10" hidden="1">{"TRSONLY",#N/A,FALSE,"08-SUM ";"MISCUNITS",#N/A,FALSE,"08-SUM "}</definedName>
    <definedName name="Table2" hidden="1">{"TRSONLY",#N/A,FALSE,"08-SUM ";"MISCUNITS",#N/A,FALSE,"08-SUM "}</definedName>
    <definedName name="TableName">"Dummy"</definedName>
    <definedName name="taertare" hidden="1">#REF!</definedName>
    <definedName name="tai.v4" localSheetId="10"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10" hidden="1">{#N/A,#N/A,FALSE,"KA CH  (2)"}</definedName>
    <definedName name="Tail.2" hidden="1">{#N/A,#N/A,FALSE,"KA CH  (2)"}</definedName>
    <definedName name="Tanya" localSheetId="10" hidden="1">{#N/A,#N/A,FALSE,"COVER";#N/A,#N/A,FALSE,"SUMP&amp;L";#N/A,#N/A,FALSE,"SUBSP&amp;L";#N/A,#N/A,FALSE,"SALESANAL"}</definedName>
    <definedName name="Tanya" hidden="1">{#N/A,#N/A,FALSE,"COVER";#N/A,#N/A,FALSE,"SUMP&amp;L";#N/A,#N/A,FALSE,"SUBSP&amp;L";#N/A,#N/A,FALSE,"SALESANAL"}</definedName>
    <definedName name="Tanya2" localSheetId="10" hidden="1">{#N/A,#N/A,FALSE,"COVER";#N/A,#N/A,FALSE,"SUMP&amp;L";#N/A,#N/A,FALSE,"SUBSP&amp;L";#N/A,#N/A,FALSE,"SALESANAL"}</definedName>
    <definedName name="Tanya2" hidden="1">{#N/A,#N/A,FALSE,"COVER";#N/A,#N/A,FALSE,"SUMP&amp;L";#N/A,#N/A,FALSE,"SUBSP&amp;L";#N/A,#N/A,FALSE,"SALESANAL"}</definedName>
    <definedName name="Tanya3" localSheetId="10" hidden="1">{#N/A,#N/A,FALSE,"COVER";#N/A,#N/A,FALSE,"SUMP&amp;L";#N/A,#N/A,FALSE,"SUBSP&amp;L";#N/A,#N/A,FALSE,"SALESANAL"}</definedName>
    <definedName name="Tanya3" hidden="1">{#N/A,#N/A,FALSE,"COVER";#N/A,#N/A,FALSE,"SUMP&amp;L";#N/A,#N/A,FALSE,"SUBSP&amp;L";#N/A,#N/A,FALSE,"SALESANAL"}</definedName>
    <definedName name="TargetDCF2" localSheetId="10" hidden="1">{#N/A,#N/A,FALSE,"Sheet1"}</definedName>
    <definedName name="TargetDCF2" hidden="1">{#N/A,#N/A,FALSE,"Sheet1"}</definedName>
    <definedName name="tax_rate" localSheetId="10">#REF!</definedName>
    <definedName name="tax_rate">#REF!</definedName>
    <definedName name="TaxableIncome" localSheetId="10">#REF!</definedName>
    <definedName name="TaxableIncome">#REF!</definedName>
    <definedName name="TaxableIncomeState" localSheetId="10">#REF!</definedName>
    <definedName name="TaxableIncomeState">#REF!</definedName>
    <definedName name="TaxInc">#REF!</definedName>
    <definedName name="TaxIncFed">#REF!</definedName>
    <definedName name="taxol" localSheetId="10">{#N/A,#N/A,FALSE,"Pharm";#N/A,#N/A,FALSE,"WWCM"}</definedName>
    <definedName name="taxol">{#N/A,#N/A,FALSE,"Pharm";#N/A,#N/A,FALSE,"WWCM"}</definedName>
    <definedName name="tb"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_Account">#REF!</definedName>
    <definedName name="TB_Activity">#REF!</definedName>
    <definedName name="TB_Category">#REF!</definedName>
    <definedName name="TB_Category1">#REF!</definedName>
    <definedName name="TB_Category2">#REF!</definedName>
    <definedName name="TB_Data">OFFSET(#REF!,0,0,COUNTA(#REF!),COUNTA(#REF!))</definedName>
    <definedName name="TB_EndBal">#REF!</definedName>
    <definedName name="TB_Month">#REF!</definedName>
    <definedName name="TB_Year">#REF!</definedName>
    <definedName name="Tbl_Account">#REF!</definedName>
    <definedName name="Tbl_Category">#REF!</definedName>
    <definedName name="Tbl_Category1">#REF!</definedName>
    <definedName name="Tbl_Category2">#REF!</definedName>
    <definedName name="Tbl_Date">#REF!</definedName>
    <definedName name="td" localSheetId="10"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e" localSheetId="10" hidden="1">{"pro_view",#N/A,FALSE,"EEFSNAP2";"rep_view",#N/A,FALSE,"EEFSNAP2"}</definedName>
    <definedName name="te" hidden="1">{"pro_view",#N/A,FALSE,"EEFSNAP2";"rep_view",#N/A,FALSE,"EEFSNAP2"}</definedName>
    <definedName name="TECNOFIBRAS" localSheetId="10" hidden="1">{"'PXR_6500'!$A$1:$I$124"}</definedName>
    <definedName name="TECNOFIBRAS" hidden="1">{"'PXR_6500'!$A$1:$I$124"}</definedName>
    <definedName name="TECNOFIBRAS2" localSheetId="10" hidden="1">{"'PXR_6500'!$A$1:$I$124"}</definedName>
    <definedName name="TECNOFIBRAS2" hidden="1">{"'PXR_6500'!$A$1:$I$124"}</definedName>
    <definedName name="tejhre" localSheetId="10" hidden="1">{#N/A,#N/A,FALSE,"Bakersfield PCs";#N/A,#N/A,FALSE,"Bremer PCs";#N/A,#N/A,FALSE,"Bakersfield Notebooks"}</definedName>
    <definedName name="tejhre" hidden="1">{#N/A,#N/A,FALSE,"Bakersfield PCs";#N/A,#N/A,FALSE,"Bremer PCs";#N/A,#N/A,FALSE,"Bakersfield Notebooks"}</definedName>
    <definedName name="Telephone">#REF!</definedName>
    <definedName name="Tem" localSheetId="10">{#N/A,#N/A,FALSE,"Pharm";#N/A,#N/A,FALSE,"WWCM"}</definedName>
    <definedName name="Tem">{#N/A,#N/A,FALSE,"Pharm";#N/A,#N/A,FALSE,"WWCM"}</definedName>
    <definedName name="temp" localSheetId="10" hidden="1">{#N/A,#N/A,FALSE,"Sheet1"}</definedName>
    <definedName name="temp" localSheetId="15" hidden="1">{#N/A,#N/A,FALSE,"Sheet1"}</definedName>
    <definedName name="temp" hidden="1">{#N/A,#N/A,FALSE,"Sheet1"}</definedName>
    <definedName name="temp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 localSheetId="10" hidden="1">{#N/A,#N/A,FALSE,"Assessment";#N/A,#N/A,FALSE,"Staffing";#N/A,#N/A,FALSE,"Hires";#N/A,#N/A,FALSE,"Assumptions"}</definedName>
    <definedName name="Temp_2" hidden="1">{#N/A,#N/A,FALSE,"Assessment";#N/A,#N/A,FALSE,"Staffing";#N/A,#N/A,FALSE,"Hires";#N/A,#N/A,FALSE,"Assumptions"}</definedName>
    <definedName name="Temp_2_1" localSheetId="10" hidden="1">{#N/A,#N/A,FALSE,"Assessment";#N/A,#N/A,FALSE,"Staffing";#N/A,#N/A,FALSE,"Hires";#N/A,#N/A,FALSE,"Assumptions"}</definedName>
    <definedName name="Temp_2_1" hidden="1">{#N/A,#N/A,FALSE,"Assessment";#N/A,#N/A,FALSE,"Staffing";#N/A,#N/A,FALSE,"Hires";#N/A,#N/A,FALSE,"Assumptions"}</definedName>
    <definedName name="Temp_3" localSheetId="10" hidden="1">{#N/A,#N/A,FALSE,"Assessment";#N/A,#N/A,FALSE,"Staffing";#N/A,#N/A,FALSE,"Hires";#N/A,#N/A,FALSE,"Assumptions"}</definedName>
    <definedName name="Temp_3" hidden="1">{#N/A,#N/A,FALSE,"Assessment";#N/A,#N/A,FALSE,"Staffing";#N/A,#N/A,FALSE,"Hires";#N/A,#N/A,FALSE,"Assumptions"}</definedName>
    <definedName name="Temp_3_1" localSheetId="10" hidden="1">{#N/A,#N/A,FALSE,"Assessment";#N/A,#N/A,FALSE,"Staffing";#N/A,#N/A,FALSE,"Hires";#N/A,#N/A,FALSE,"Assumptions"}</definedName>
    <definedName name="Temp_3_1" hidden="1">{#N/A,#N/A,FALSE,"Assessment";#N/A,#N/A,FALSE,"Staffing";#N/A,#N/A,FALSE,"Hires";#N/A,#N/A,FALSE,"Assumptions"}</definedName>
    <definedName name="temp1" localSheetId="10">{#N/A,#N/A,TRUE,"BV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localSheetId="10">{#N/A,#N/A,TRUE,"FD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localSheetId="10">{"PAGE 1",#N/A,FALSE,"WEST_OT"}</definedName>
    <definedName name="temp3">{"PAGE 1",#N/A,FALSE,"WEST_OT"}</definedName>
    <definedName name="TemplatePrintArea" localSheetId="10">#REF!</definedName>
    <definedName name="TemplatePrintArea">#REF!</definedName>
    <definedName name="tempq"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0"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6_1" localSheetId="10" hidden="1">{#N/A,#N/A,TRUE,"FD IV Portfolio Summary ";#N/A,#N/A,TRUE,"Western";#N/A,#N/A,TRUE,"Kranson";#N/A,#N/A,TRUE,"ARC";#N/A,#N/A,TRUE,"Precise";#N/A,#N/A,TRUE,"WNA"}</definedName>
    <definedName name="tempq6_1" hidden="1">{#N/A,#N/A,TRUE,"FD IV Portfolio Summary ";#N/A,#N/A,TRUE,"Western";#N/A,#N/A,TRUE,"Kranson";#N/A,#N/A,TRUE,"ARC";#N/A,#N/A,TRUE,"Precise";#N/A,#N/A,TRUE,"WNA"}</definedName>
    <definedName name="tempq7"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ref">#REF!,#REF!</definedName>
    <definedName name="tempxxx" hidden="1">0</definedName>
    <definedName name="teq" localSheetId="10">{#N/A,#N/A,FALSE,"Pharm";#N/A,#N/A,FALSE,"WWCM"}</definedName>
    <definedName name="teq">{#N/A,#N/A,FALSE,"Pharm";#N/A,#N/A,FALSE,"WWCM"}</definedName>
    <definedName name="Tequin" localSheetId="10">{#N/A,#N/A,FALSE,"Pharm";#N/A,#N/A,FALSE,"WWCM"}</definedName>
    <definedName name="Tequin">{#N/A,#N/A,FALSE,"Pharm";#N/A,#N/A,FALSE,"WWCM"}</definedName>
    <definedName name="tequinol" localSheetId="10">{#N/A,#N/A,FALSE,"REPORT"}</definedName>
    <definedName name="tequinol">{#N/A,#N/A,FALSE,"REPORT"}</definedName>
    <definedName name="ter" localSheetId="10" hidden="1">{"actual",#N/A,FALSE,"Sheet1";"budget",#N/A,FALSE,"Sheet1"}</definedName>
    <definedName name="ter" localSheetId="15" hidden="1">{"actual",#N/A,FALSE,"Sheet1";"budget",#N/A,FALSE,"Sheet1"}</definedName>
    <definedName name="ter" hidden="1">{"actual",#N/A,FALSE,"Sheet1";"budget",#N/A,FALSE,"Sheet1"}</definedName>
    <definedName name="terc" localSheetId="10" hidden="1">{"YD GENERALH2",#N/A,FALSE,"YTD"}</definedName>
    <definedName name="terc" hidden="1">{"YD GENERALH2",#N/A,FALSE,"YTD"}</definedName>
    <definedName name="term_cf" localSheetId="10">#REF!</definedName>
    <definedName name="term_cf">#REF!</definedName>
    <definedName name="term_eq" localSheetId="10">#REF!</definedName>
    <definedName name="term_eq">#REF!</definedName>
    <definedName name="Terminal" localSheetId="10">#REF!</definedName>
    <definedName name="Terminal">#REF!</definedName>
    <definedName name="TerminationDate" hidden="1">#REF!</definedName>
    <definedName name="tes" localSheetId="10" hidden="1">{"NOPCAPEVA",#N/A,FALSE,"Nopat";"FCFCSTAR",#N/A,FALSE,"FCFVAL";"EVAVL",#N/A,FALSE,"EVAVAL";"LEASE",#N/A,FALSE,"OpLease"}</definedName>
    <definedName name="tes" hidden="1">{"NOPCAPEVA",#N/A,FALSE,"Nopat";"FCFCSTAR",#N/A,FALSE,"FCFVAL";"EVAVL",#N/A,FALSE,"EVAVAL";"LEASE",#N/A,FALSE,"OpLease"}</definedName>
    <definedName name="tesg4" localSheetId="10">{"PAGE 1",#N/A,FALSE,"WEST_OT"}</definedName>
    <definedName name="tesg4">{"PAGE 1",#N/A,FALSE,"WEST_OT"}</definedName>
    <definedName name="tes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TEST0">#REF!</definedName>
    <definedName name="TEST1" localSheetId="10">{#N/A,#N/A,TRUE,"Condensed IS";#N/A,#N/A,TRUE,"Condensed BS";#N/A,#N/A,TRUE,"Outlook";#N/A,#N/A,TRUE,"Condensed CF";#N/A,#N/A,TRUE,"Condensed CF - qtr"}</definedName>
    <definedName name="TEST1">{#N/A,#N/A,TRUE,"Condensed IS";#N/A,#N/A,TRUE,"Condensed BS";#N/A,#N/A,TRUE,"Outlook";#N/A,#N/A,TRUE,"Condensed CF";#N/A,#N/A,TRUE,"Condensed CF - qtr"}</definedName>
    <definedName name="test10" localSheetId="10">{"PAGE 1",#N/A,FALSE,"WEST_OT"}</definedName>
    <definedName name="test10">{"PAGE 1",#N/A,FALSE,"WEST_OT"}</definedName>
    <definedName name="test11" localSheetId="10">{"PAGE 1",#N/A,FALSE,"WEST_OT"}</definedName>
    <definedName name="test11">{"PAGE 1",#N/A,FALSE,"WEST_OT"}</definedName>
    <definedName name="test12" localSheetId="10">{"PAGE 2",#N/A,FALSE,"WEST_OT"}</definedName>
    <definedName name="test12">{"PAGE 2",#N/A,FALSE,"WEST_OT"}</definedName>
    <definedName name="test13" localSheetId="10">{"PAGE 2",#N/A,FALSE,"WEST_OT"}</definedName>
    <definedName name="test13">{"PAGE 2",#N/A,FALSE,"WEST_OT"}</definedName>
    <definedName name="test14" localSheetId="10">{"PAGE 1",#N/A,FALSE,"WEST_OT"}</definedName>
    <definedName name="test14">{"PAGE 1",#N/A,FALSE,"WEST_OT"}</definedName>
    <definedName name="test15" localSheetId="10">{"PAGE 1",#N/A,FALSE,"WEST_OT"}</definedName>
    <definedName name="test15">{"PAGE 1",#N/A,FALSE,"WEST_OT"}</definedName>
    <definedName name="test2" localSheetId="10" hidden="1">{"FMV per share",#N/A,FALSE,"FMV per share";#N/A,#N/A,FALSE,"non-operating items"}</definedName>
    <definedName name="test2" localSheetId="15" hidden="1">{"FMV per share",#N/A,FALSE,"FMV per share";#N/A,#N/A,FALSE,"non-operating items"}</definedName>
    <definedName name="test2" hidden="1">{"FMV per share",#N/A,FALSE,"FMV per share";#N/A,#N/A,FALSE,"non-operating items"}</definedName>
    <definedName name="TEST2_1" localSheetId="10" hidden="1">{"Material",#N/A,TRUE,"Summary";"Mfg",#N/A,TRUE,"Summary";"mfgbymo",#N/A,TRUE,"By Month";"Mtlbymo",#N/A,TRUE,"By Month"}</definedName>
    <definedName name="TEST2_1" hidden="1">{"Material",#N/A,TRUE,"Summary";"Mfg",#N/A,TRUE,"Summary";"mfgbymo",#N/A,TRUE,"By Month";"Mtlbymo",#N/A,TRUE,"By Month"}</definedName>
    <definedName name="TEST2_1_1" localSheetId="10" hidden="1">{"Material",#N/A,TRUE,"Summary";"Mfg",#N/A,TRUE,"Summary";"mfgbymo",#N/A,TRUE,"By Month";"Mtlbymo",#N/A,TRUE,"By Month"}</definedName>
    <definedName name="TEST2_1_1" hidden="1">{"Material",#N/A,TRUE,"Summary";"Mfg",#N/A,TRUE,"Summary";"mfgbymo",#N/A,TRUE,"By Month";"Mtlbymo",#N/A,TRUE,"By Month"}</definedName>
    <definedName name="TEST2_2" localSheetId="10" hidden="1">{"Material",#N/A,TRUE,"Summary";"Mfg",#N/A,TRUE,"Summary";"mfgbymo",#N/A,TRUE,"By Month";"Mtlbymo",#N/A,TRUE,"By Month"}</definedName>
    <definedName name="TEST2_2" hidden="1">{"Material",#N/A,TRUE,"Summary";"Mfg",#N/A,TRUE,"Summary";"mfgbymo",#N/A,TRUE,"By Month";"Mtlbymo",#N/A,TRUE,"By Month"}</definedName>
    <definedName name="test20" localSheetId="10">{"PAGE 1",#N/A,FALSE,"WEST_OT"}</definedName>
    <definedName name="test20">{"PAGE 1",#N/A,FALSE,"WEST_OT"}</definedName>
    <definedName name="test21" localSheetId="10">{"PAGE 1",#N/A,FALSE,"WEST_OT"}</definedName>
    <definedName name="test21">{"PAGE 1",#N/A,FALSE,"WEST_OT"}</definedName>
    <definedName name="test22" localSheetId="10">{"PAGE 1",#N/A,FALSE,"WEST_OT"}</definedName>
    <definedName name="test22">{"PAGE 1",#N/A,FALSE,"WEST_OT"}</definedName>
    <definedName name="test23" localSheetId="10">{"PAGE 1",#N/A,FALSE,"WEST_OT"}</definedName>
    <definedName name="test23">{"PAGE 1",#N/A,FALSE,"WEST_OT"}</definedName>
    <definedName name="test24" localSheetId="10">{"PAGE 1",#N/A,FALSE,"WEST_OT"}</definedName>
    <definedName name="test24">{"PAGE 1",#N/A,FALSE,"WEST_OT"}</definedName>
    <definedName name="test25" localSheetId="10">{"PAGE 1",#N/A,FALSE,"WEST_OT"}</definedName>
    <definedName name="test25">{"PAGE 1",#N/A,FALSE,"WEST_OT"}</definedName>
    <definedName name="test26" localSheetId="10">{"PAGE 1",#N/A,FALSE,"WEST_OT"}</definedName>
    <definedName name="test26">{"PAGE 1",#N/A,FALSE,"WEST_OT"}</definedName>
    <definedName name="test27" localSheetId="10">{"PAGE 1",#N/A,FALSE,"WEST_OT"}</definedName>
    <definedName name="test27">{"PAGE 1",#N/A,FALSE,"WEST_OT"}</definedName>
    <definedName name="test28" localSheetId="10">{"PAGE 1",#N/A,FALSE,"WEST_OT"}</definedName>
    <definedName name="test28">{"PAGE 1",#N/A,FALSE,"WEST_OT"}</definedName>
    <definedName name="test29" localSheetId="10">{"PAGE 1",#N/A,FALSE,"WEST_OT"}</definedName>
    <definedName name="test29">{"PAGE 1",#N/A,FALSE,"WEST_OT"}</definedName>
    <definedName name="test3"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0" localSheetId="10">{"PAGE 2",#N/A,FALSE,"WEST_OT"}</definedName>
    <definedName name="test30">{"PAGE 2",#N/A,FALSE,"WEST_OT"}</definedName>
    <definedName name="test31" localSheetId="10">{"PAGE 1",#N/A,FALSE,"WEST_OT"}</definedName>
    <definedName name="test31">{"PAGE 1",#N/A,FALSE,"WEST_OT"}</definedName>
    <definedName name="test32" localSheetId="10">{"PAGE 1",#N/A,FALSE,"WEST_OT"}</definedName>
    <definedName name="test32">{"PAGE 1",#N/A,FALSE,"WEST_OT"}</definedName>
    <definedName name="test33" localSheetId="10">{"PAGE 1",#N/A,FALSE,"WEST_OT"}</definedName>
    <definedName name="test33">{"PAGE 1",#N/A,FALSE,"WEST_OT"}</definedName>
    <definedName name="test34" localSheetId="10">{"PAGE 1",#N/A,FALSE,"WEST_OT"}</definedName>
    <definedName name="test34">{"PAGE 1",#N/A,FALSE,"WEST_OT"}</definedName>
    <definedName name="test35" localSheetId="10">{"PAGE 1",#N/A,FALSE,"WEST_OT"}</definedName>
    <definedName name="test35">{"PAGE 1",#N/A,FALSE,"WEST_OT"}</definedName>
    <definedName name="test36" localSheetId="10">{"PAGE 1",#N/A,FALSE,"WEST_OT"}</definedName>
    <definedName name="test36">{"PAGE 1",#N/A,FALSE,"WEST_OT"}</definedName>
    <definedName name="test37" localSheetId="10">{"PAGE 2",#N/A,FALSE,"WEST_OT"}</definedName>
    <definedName name="test37">{"PAGE 2",#N/A,FALSE,"WEST_OT"}</definedName>
    <definedName name="test38" localSheetId="10">{"PAGE 1",#N/A,FALSE,"WEST_OT"}</definedName>
    <definedName name="test38">{"PAGE 1",#N/A,FALSE,"WEST_OT"}</definedName>
    <definedName name="test39" localSheetId="10">{"PAGE 1",#N/A,FALSE,"WEST_OT"}</definedName>
    <definedName name="test39">{"PAGE 1",#N/A,FALSE,"WEST_OT"}</definedName>
    <definedName name="test4"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0" localSheetId="10">{"PAGE 2",#N/A,FALSE,"WEST_OT"}</definedName>
    <definedName name="test40">{"PAGE 2",#N/A,FALSE,"WEST_OT"}</definedName>
    <definedName name="test41" localSheetId="10">{"PAGE 1",#N/A,FALSE,"WEST_OT"}</definedName>
    <definedName name="test41">{"PAGE 1",#N/A,FALSE,"WEST_OT"}</definedName>
    <definedName name="test42" localSheetId="10">{"PAGE 1",#N/A,FALSE,"WEST_OT"}</definedName>
    <definedName name="test42">{"PAGE 1",#N/A,FALSE,"WEST_OT"}</definedName>
    <definedName name="test43" localSheetId="10">{"PAGE 2",#N/A,FALSE,"WEST_OT"}</definedName>
    <definedName name="test43">{"PAGE 2",#N/A,FALSE,"WEST_OT"}</definedName>
    <definedName name="test44" localSheetId="10">{"PAGE 2",#N/A,FALSE,"WEST_OT"}</definedName>
    <definedName name="test44">{"PAGE 2",#N/A,FALSE,"WEST_OT"}</definedName>
    <definedName name="test45" localSheetId="10">{"PAGE 1",#N/A,FALSE,"WEST_OT"}</definedName>
    <definedName name="test45">{"PAGE 1",#N/A,FALSE,"WEST_OT"}</definedName>
    <definedName name="test46" localSheetId="10">{"PAGE 1",#N/A,FALSE,"WEST_OT"}</definedName>
    <definedName name="test46">{"PAGE 1",#N/A,FALSE,"WEST_OT"}</definedName>
    <definedName name="test5" localSheetId="10">{"FCST_byMonth",#N/A,FALSE,"Legal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5">{"FCST_byMonth",#N/A,FALSE,"Legal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6" localSheetId="10">{"PAGE 2",#N/A,FALSE,"WEST_OT"}</definedName>
    <definedName name="test6">{"PAGE 2",#N/A,FALSE,"WEST_OT"}</definedName>
    <definedName name="test7" localSheetId="10">{"PAGE 2",#N/A,FALSE,"WEST_OT"}</definedName>
    <definedName name="test7">{"PAGE 2",#N/A,FALSE,"WEST_OT"}</definedName>
    <definedName name="test8" localSheetId="10">{"PAGE 1",#N/A,FALSE,"WEST_OT"}</definedName>
    <definedName name="test8">{"PAGE 1",#N/A,FALSE,"WEST_OT"}</definedName>
    <definedName name="test9" localSheetId="10">{"PAGE 1",#N/A,FALSE,"WEST_OT"}</definedName>
    <definedName name="test9">{"PAGE 1",#N/A,FALSE,"WEST_OT"}</definedName>
    <definedName name="teste" localSheetId="10">{#N/A,#N/A,FALSE,"Pharm";#N/A,#N/A,FALSE,"WWCM"}</definedName>
    <definedName name="teste">{#N/A,#N/A,FALSE,"Pharm";#N/A,#N/A,FALSE,"WWCM"}</definedName>
    <definedName name="teste_1" localSheetId="10" hidden="1">{"Material",#N/A,TRUE,"Summary";"Mfg",#N/A,TRUE,"Summary";"mfgbymo",#N/A,TRUE,"By Month";"Mtlbymo",#N/A,TRUE,"By Month"}</definedName>
    <definedName name="teste_1" hidden="1">{"Material",#N/A,TRUE,"Summary";"Mfg",#N/A,TRUE,"Summary";"mfgbymo",#N/A,TRUE,"By Month";"Mtlbymo",#N/A,TRUE,"By Month"}</definedName>
    <definedName name="teste_1_1" localSheetId="10" hidden="1">{"Material",#N/A,TRUE,"Summary";"Mfg",#N/A,TRUE,"Summary";"mfgbymo",#N/A,TRUE,"By Month";"Mtlbymo",#N/A,TRUE,"By Month"}</definedName>
    <definedName name="teste_1_1" hidden="1">{"Material",#N/A,TRUE,"Summary";"Mfg",#N/A,TRUE,"Summary";"mfgbymo",#N/A,TRUE,"By Month";"Mtlbymo",#N/A,TRUE,"By Month"}</definedName>
    <definedName name="teste_2" localSheetId="10" hidden="1">{"Material",#N/A,TRUE,"Summary";"Mfg",#N/A,TRUE,"Summary";"mfgbymo",#N/A,TRUE,"By Month";"Mtlbymo",#N/A,TRUE,"By Month"}</definedName>
    <definedName name="teste_2" hidden="1">{"Material",#N/A,TRUE,"Summary";"Mfg",#N/A,TRUE,"Summary";"mfgbymo",#N/A,TRUE,"By Month";"Mtlbymo",#N/A,TRUE,"By Month"}</definedName>
    <definedName name="TESTHKEY">#REF!</definedName>
    <definedName name="testing" localSheetId="10">{"bs",#N/A,FALSE,"Balance Sheet"}</definedName>
    <definedName name="testing">{"bs",#N/A,FALSE,"Balance Sheet"}</definedName>
    <definedName name="TESTKEYS">#REF!</definedName>
    <definedName name="TESTVKEY">#REF!</definedName>
    <definedName name="testwksht" localSheetId="10" hidden="1">{"Region Summary",#N/A,FALSE,"From Jan 98 Actual [Rev]"}</definedName>
    <definedName name="testwksht" hidden="1">{"Region Summary",#N/A,FALSE,"From Jan 98 Actual [Rev]"}</definedName>
    <definedName name="TestX" localSheetId="10">#REF!</definedName>
    <definedName name="TestX">#REF!</definedName>
    <definedName name="tete" localSheetId="10" hidden="1">{#N/A,#N/A,FALSE,"Calc";#N/A,#N/A,FALSE,"Sensitivity";#N/A,#N/A,FALSE,"LT Earn.Dil.";#N/A,#N/A,FALSE,"Dil. AVP"}</definedName>
    <definedName name="tete" localSheetId="15" hidden="1">{#N/A,#N/A,FALSE,"Calc";#N/A,#N/A,FALSE,"Sensitivity";#N/A,#N/A,FALSE,"LT Earn.Dil.";#N/A,#N/A,FALSE,"Dil. AVP"}</definedName>
    <definedName name="tete" hidden="1">{#N/A,#N/A,FALSE,"Calc";#N/A,#N/A,FALSE,"Sensitivity";#N/A,#N/A,FALSE,"LT Earn.Dil.";#N/A,#N/A,FALSE,"Dil. AVP"}</definedName>
    <definedName name="TextRefCopy1" localSheetId="10">#REF!</definedName>
    <definedName name="TextRefCopy1">#REF!</definedName>
    <definedName name="TextRefCopy10" localSheetId="10">#REF!</definedName>
    <definedName name="TextRefCopy10">#REF!</definedName>
    <definedName name="TextRefCopy11" localSheetId="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5">#REF!</definedName>
    <definedName name="TextRefCopy26">#REF!</definedName>
    <definedName name="TextRefCopy3">#REF!</definedName>
    <definedName name="TextRefCopy4">#REF!</definedName>
    <definedName name="TextRefCopy5">#REF!</definedName>
    <definedName name="TextRefCopy6">#REF!</definedName>
    <definedName name="TextRefCopy7">#REF!</definedName>
    <definedName name="TextRefCopy9">#REF!</definedName>
    <definedName name="TextRefCopyRangeCount" hidden="1">1</definedName>
    <definedName name="tf" localSheetId="10"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fill" localSheetId="1" hidden="1">#REF!</definedName>
    <definedName name="tfill" localSheetId="10" hidden="1">#REF!</definedName>
    <definedName name="tfill" localSheetId="9" hidden="1">#REF!</definedName>
    <definedName name="tfill" localSheetId="16" hidden="1">#REF!</definedName>
    <definedName name="tfill" hidden="1">#REF!</definedName>
    <definedName name="tfyuy" hidden="1">#REF!</definedName>
    <definedName name="tha.2" localSheetId="10"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10" hidden="1">{#N/A,#N/A,FALSE,"KA CH  (2)"}</definedName>
    <definedName name="tha.3" hidden="1">{#N/A,#N/A,FALSE,"KA CH  (2)"}</definedName>
    <definedName name="tha.4"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10" hidden="1">{#N/A,#N/A,FALSE,"Umsatz 99";#N/A,#N/A,FALSE,"ER 99 "}</definedName>
    <definedName name="tha.4._99" hidden="1">{#N/A,#N/A,FALSE,"Umsatz 99";#N/A,#N/A,FALSE,"ER 99 "}</definedName>
    <definedName name="Thail.2" localSheetId="10" hidden="1">{#N/A,#N/A,FALSE,"Umsatz 99";#N/A,#N/A,FALSE,"ER 99 "}</definedName>
    <definedName name="Thail.2" hidden="1">{#N/A,#N/A,FALSE,"Umsatz 99";#N/A,#N/A,FALSE,"ER 99 "}</definedName>
    <definedName name="Third_Reporting_Year">#REF!</definedName>
    <definedName name="Thisistheend" localSheetId="10" hidden="1">#REF!</definedName>
    <definedName name="Thisistheend" hidden="1">#REF!</definedName>
    <definedName name="thisistheend1" hidden="1">#REF!</definedName>
    <definedName name="thou">#REF!</definedName>
    <definedName name="three" hidden="1">#REF!,#REF!,#REF!,#REF!</definedName>
    <definedName name="Threshold">#REF!</definedName>
    <definedName name="thth" localSheetId="10" hidden="1">{#N/A,#N/A,FALSE,"Calc";#N/A,#N/A,FALSE,"Sensitivity";#N/A,#N/A,FALSE,"LT Earn.Dil.";#N/A,#N/A,FALSE,"Dil. AVP"}</definedName>
    <definedName name="thth" localSheetId="15" hidden="1">{#N/A,#N/A,FALSE,"Calc";#N/A,#N/A,FALSE,"Sensitivity";#N/A,#N/A,FALSE,"LT Earn.Dil.";#N/A,#N/A,FALSE,"Dil. AVP"}</definedName>
    <definedName name="thth" hidden="1">{#N/A,#N/A,FALSE,"Calc";#N/A,#N/A,FALSE,"Sensitivity";#N/A,#N/A,FALSE,"LT Earn.Dil.";#N/A,#N/A,FALSE,"Dil. AVP"}</definedName>
    <definedName name="thwst" hidden="1">#REF!</definedName>
    <definedName name="ti" localSheetId="10" hidden="1">{"bs",#N/A,FALSE,"SCF"}</definedName>
    <definedName name="ti" hidden="1">{"bs",#N/A,FALSE,"SCF"}</definedName>
    <definedName name="Ticker">"MDT"</definedName>
    <definedName name="Tiger" localSheetId="10">{#N/A,#N/A,FALSE,"TS";#N/A,#N/A,FALSE,"Combo";#N/A,#N/A,FALSE,"FAIR";#N/A,#N/A,FALSE,"RBC";#N/A,#N/A,FALSE,"xxxx";#N/A,#N/A,FALSE,"A_D";#N/A,#N/A,FALSE,"WACC";#N/A,#N/A,FALSE,"DCF";#N/A,#N/A,FALSE,"LBO";#N/A,#N/A,FALSE,"AcqMults";#N/A,#N/A,FALSE,"CompMults"}</definedName>
    <definedName name="Tiger">{#N/A,#N/A,FALSE,"TS";#N/A,#N/A,FALSE,"Combo";#N/A,#N/A,FALSE,"FAIR";#N/A,#N/A,FALSE,"RBC";#N/A,#N/A,FALSE,"xxxx";#N/A,#N/A,FALSE,"A_D";#N/A,#N/A,FALSE,"WACC";#N/A,#N/A,FALSE,"DCF";#N/A,#N/A,FALSE,"LBO";#N/A,#N/A,FALSE,"AcqMults";#N/A,#N/A,FALSE,"CompMults"}</definedName>
    <definedName name="Tigr_Exhibit70e205bb_ef51_4735_bbce_ad5169948542" localSheetId="10" hidden="1">#REF!</definedName>
    <definedName name="Tigr_Exhibit70e205bb_ef51_4735_bbce_ad5169948542" localSheetId="9" hidden="1">#REF!</definedName>
    <definedName name="Tigr_Exhibit70e205bb_ef51_4735_bbce_ad5169948542" localSheetId="8" hidden="1">#REF!</definedName>
    <definedName name="Tigr_Exhibit70e205bb_ef51_4735_bbce_ad5169948542" localSheetId="16" hidden="1">#REF!</definedName>
    <definedName name="Tigr_Exhibit70e205bb_ef51_4735_bbce_ad5169948542" hidden="1">#REF!</definedName>
    <definedName name="Tigr_Exhibit82ea36d9_b64a_4dea_848b_67385dd24cfc" localSheetId="10" hidden="1">#REF!</definedName>
    <definedName name="Tigr_Exhibit82ea36d9_b64a_4dea_848b_67385dd24cfc" localSheetId="9" hidden="1">#REF!</definedName>
    <definedName name="Tigr_Exhibit82ea36d9_b64a_4dea_848b_67385dd24cfc" localSheetId="8" hidden="1">#REF!</definedName>
    <definedName name="Tigr_Exhibit82ea36d9_b64a_4dea_848b_67385dd24cfc" localSheetId="16" hidden="1">#REF!</definedName>
    <definedName name="Tigr_Exhibit82ea36d9_b64a_4dea_848b_67385dd24cfc" hidden="1">#REF!</definedName>
    <definedName name="Tigr_Exhibit842ab900_aa58_4240_bb52_5dc046b5cf63" localSheetId="10" hidden="1">#REF!</definedName>
    <definedName name="Tigr_Exhibit842ab900_aa58_4240_bb52_5dc046b5cf63" localSheetId="9" hidden="1">#REF!</definedName>
    <definedName name="Tigr_Exhibit842ab900_aa58_4240_bb52_5dc046b5cf63" localSheetId="8" hidden="1">#REF!</definedName>
    <definedName name="Tigr_Exhibit842ab900_aa58_4240_bb52_5dc046b5cf63" localSheetId="16" hidden="1">#REF!</definedName>
    <definedName name="Tigr_Exhibit842ab900_aa58_4240_bb52_5dc046b5cf63" hidden="1">#REF!</definedName>
    <definedName name="tim" localSheetId="10" hidden="1">{#N/A,#N/A,FALSE,"Report NJ"}</definedName>
    <definedName name="tim" hidden="1">{#N/A,#N/A,FALSE,"Report NJ"}</definedName>
    <definedName name="Times">#N/A</definedName>
    <definedName name="TITLE" localSheetId="10">#REF!</definedName>
    <definedName name="TITLE">#REF!</definedName>
    <definedName name="tjhrw" localSheetId="10" hidden="1">{"NOPCAPEVA",#N/A,FALSE,"Nopat";"FCFCSTAR",#N/A,FALSE,"FCFVAL";"EVAVL",#N/A,FALSE,"EVAVAL";"LEASE",#N/A,FALSE,"OpLease"}</definedName>
    <definedName name="tjhrw" hidden="1">{"NOPCAPEVA",#N/A,FALSE,"Nopat";"FCFCSTAR",#N/A,FALSE,"FCFVAL";"EVAVL",#N/A,FALSE,"EVAVAL";"LEASE",#N/A,FALSE,"OpLease"}</definedName>
    <definedName name="tl" localSheetId="10" hidden="1">{"bs",#N/A,FALSE,"SCF"}</definedName>
    <definedName name="tl" hidden="1">{"bs",#N/A,FALSE,"SCF"}</definedName>
    <definedName name="TLA.003" hidden="1">#REF!</definedName>
    <definedName name="TLA.004" hidden="1">#REF!</definedName>
    <definedName name="TLA.011" hidden="1">#REF!</definedName>
    <definedName name="TLA.024" hidden="1">#REF!</definedName>
    <definedName name="TLA.027" hidden="1">#REF!</definedName>
    <definedName name="TLA.030" hidden="1">#REF!</definedName>
    <definedName name="TLA.056" hidden="1">#REF!</definedName>
    <definedName name="tlb" hidden="1">#REF!</definedName>
    <definedName name="tlc" hidden="1">#REF!</definedName>
    <definedName name="tlf" hidden="1">#REF!</definedName>
    <definedName name="tlg" hidden="1">#REF!</definedName>
    <definedName name="TLME" localSheetId="10" hidden="1">{"'Actual'!$A$1:$F$25"}</definedName>
    <definedName name="TLME" hidden="1">{"'Actual'!$A$1:$F$25"}</definedName>
    <definedName name="TLT">#REF!</definedName>
    <definedName name="tlv" hidden="1">#REF!</definedName>
    <definedName name="tm" localSheetId="10" hidden="1">{"ICD Details",#N/A,FALSE,"Current Yr";"ICD Details",#N/A,FALSE,"Budget";"ICD Details",#N/A,FALSE,"Prior Year"}</definedName>
    <definedName name="tm" hidden="1">{"ICD Details",#N/A,FALSE,"Current Yr";"ICD Details",#N/A,FALSE,"Budget";"ICD Details",#N/A,FALSE,"Prior Year"}</definedName>
    <definedName name="TMS" hidden="1">#REF!</definedName>
    <definedName name="tmto" localSheetId="10" hidden="1">{"detail",#N/A,FALSE,"mfg";"summary",#N/A,FALSE,"mfg"}</definedName>
    <definedName name="tmto" hidden="1">{"detail",#N/A,FALSE,"mfg";"summary",#N/A,FALSE,"mfg"}</definedName>
    <definedName name="tn"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10" hidden="1">{#N/A,#N/A,FALSE,"COP CONS SK";#N/A,#N/A,FALSE,"COP CONS RG";#N/A,#N/A,FALSE,"COP CONS SK BC";#N/A,#N/A,FALSE,"COP CONS RG BC";#N/A,#N/A,FALSE,"ALLIANCE SK";#N/A,#N/A,FALSE,"ALLIANCE RG";#N/A,#N/A,FALSE,"CPC SK";#N/A,#N/A,FALSE,"CPC RG"}</definedName>
    <definedName name="TO" hidden="1">{#N/A,#N/A,FALSE,"COP CONS SK";#N/A,#N/A,FALSE,"COP CONS RG";#N/A,#N/A,FALSE,"COP CONS SK BC";#N/A,#N/A,FALSE,"COP CONS RG BC";#N/A,#N/A,FALSE,"ALLIANCE SK";#N/A,#N/A,FALSE,"ALLIANCE RG";#N/A,#N/A,FALSE,"CPC SK";#N/A,#N/A,FALSE,"CPC RG"}</definedName>
    <definedName name="TOC_Hdg_3" hidden="1">#REF!</definedName>
    <definedName name="TOC_Hdg_4" hidden="1">#REF!</definedName>
    <definedName name="TOC_Hdg_5" hidden="1">#REF!</definedName>
    <definedName name="TOC_Hdg_6" hidden="1">#REF!</definedName>
    <definedName name="TOC_Hdg_7" hidden="1">#REF!</definedName>
    <definedName name="toc_report_name" hidden="1">#REF!</definedName>
    <definedName name="tolly" hidden="1">#REF!</definedName>
    <definedName name="tool" localSheetId="10">{#N/A,#N/A,TRUE,"2432"}</definedName>
    <definedName name="tool">{#N/A,#N/A,TRUE,"2432"}</definedName>
    <definedName name="tooling" localSheetId="10">{#N/A,#N/A,TRUE,"2432"}</definedName>
    <definedName name="tooling">{#N/A,#N/A,TRUE,"2432"}</definedName>
    <definedName name="tools" localSheetId="10">{#N/A,#N/A,TRUE,"2432"}</definedName>
    <definedName name="tools">{#N/A,#N/A,TRUE,"2432"}</definedName>
    <definedName name="top" localSheetId="10" hidden="1">{"Page1",#N/A,FALSE,"CompCo";"Page2",#N/A,FALSE,"CompCo"}</definedName>
    <definedName name="top" localSheetId="15" hidden="1">{"Page1",#N/A,FALSE,"CompCo";"Page2",#N/A,FALSE,"CompCo"}</definedName>
    <definedName name="top" hidden="1">{"Page1",#N/A,FALSE,"CompCo";"Page2",#N/A,FALSE,"CompCo"}</definedName>
    <definedName name="Top25_Services_by_Dollar_Dental_Range" hidden="1">#REF!</definedName>
    <definedName name="topcustomers">#REF!</definedName>
    <definedName name="TopRow" localSheetId="10">#REF!</definedName>
    <definedName name="TopRow">#REF!</definedName>
    <definedName name="TopRowYr2">#REF!</definedName>
    <definedName name="TopRowYr3">#REF!</definedName>
    <definedName name="topservicelines">#REF!</definedName>
    <definedName name="topskus">#REF!</definedName>
    <definedName name="TOT">#REF!</definedName>
    <definedName name="tot_asset">#REF!</definedName>
    <definedName name="tot_lia">#REF!</definedName>
    <definedName name="total">#REF!</definedName>
    <definedName name="Total___Cost_of_Goods_Sold">#REF!</definedName>
    <definedName name="Total___Revenue">#REF!</definedName>
    <definedName name="Total___SG_A">#REF!</definedName>
    <definedName name="Total___SG_A_Expense">#REF!</definedName>
    <definedName name="Total_Amount">#REF!</definedName>
    <definedName name="Total_Cells">#REF!</definedName>
    <definedName name="Total_fixed">#REF!</definedName>
    <definedName name="total_points">#REF!</definedName>
    <definedName name="Total_Sales">#REF!</definedName>
    <definedName name="Total_variable">#REF!</definedName>
    <definedName name="TotalEarlyPayments">#REF!</definedName>
    <definedName name="TotalInterest">#REF!</definedName>
    <definedName name="tou" localSheetId="10" hidden="1">{#N/A,#N/A,TRUE,"TransPrcd 1";#N/A,#N/A,TRUE,"TransPrcd 2";#N/A,#N/A,TRUE,"TransPrcd 3"}</definedName>
    <definedName name="tou" hidden="1">{#N/A,#N/A,TRUE,"TransPrcd 1";#N/A,#N/A,TRUE,"TransPrcd 2";#N/A,#N/A,TRUE,"TransPrcd 3"}</definedName>
    <definedName name="tou_1" localSheetId="10" hidden="1">{#N/A,#N/A,TRUE,"TransPrcd 1";#N/A,#N/A,TRUE,"TransPrcd 2";#N/A,#N/A,TRUE,"TransPrcd 3"}</definedName>
    <definedName name="tou_1" hidden="1">{#N/A,#N/A,TRUE,"TransPrcd 1";#N/A,#N/A,TRUE,"TransPrcd 2";#N/A,#N/A,TRUE,"TransPrcd 3"}</definedName>
    <definedName name="tr" hidden="1">#REF!</definedName>
    <definedName name="Training_and_Mic_Facility">#REF!</definedName>
    <definedName name="Travel">#REF!</definedName>
    <definedName name="Travel___Entertainment">#REF!</definedName>
    <definedName name="Travel___Violat_Warnte">#REF!</definedName>
    <definedName name="trbtrbb" hidden="1">#REF!</definedName>
    <definedName name="trc_XLS_DATASHEET_ProtectDate">38392.5997222222</definedName>
    <definedName name="trcde" localSheetId="1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10" hidden="1">{"pro_view",#N/A,FALSE,"EEFSNAP2";"rep_view",#N/A,FALSE,"EEFSNAP2"}</definedName>
    <definedName name="tre" hidden="1">{"pro_view",#N/A,FALSE,"EEFSNAP2";"rep_view",#N/A,FALSE,"EEFSNAP2"}</definedName>
    <definedName name="treeList" hidden="1">"00000000000000000000000000000000000000000000000000000000000000000000000000000000000000000000000000000000000000000000000000000000000000000000000000000000000000000000000000000000000000000000000000000000"</definedName>
    <definedName name="Trend_Analysis_Dental_Range" hidden="1">#REF!</definedName>
    <definedName name="Trend_Analysis_Medical_Range" hidden="1">#REF!</definedName>
    <definedName name="TrendCurrent" localSheetId="10">#REF!</definedName>
    <definedName name="TrendCurrent">#REF!</definedName>
    <definedName name="TrendPY4_Sel1">#REF!</definedName>
    <definedName name="TrendRollFWD">#REF!</definedName>
    <definedName name="trou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uck_Rental">#REF!</definedName>
    <definedName name="tryeuyit" localSheetId="10">{#N/A,#N/A,FALSE,"Pharm";#N/A,#N/A,FALSE,"WWCM"}</definedName>
    <definedName name="tryeuyit">{#N/A,#N/A,FALSE,"Pharm";#N/A,#N/A,FALSE,"WWCM"}</definedName>
    <definedName name="ts" localSheetId="10" hidden="1">{"oct_res_comm",#N/A,FALSE,"VarToBud"}</definedName>
    <definedName name="ts" hidden="1">{"oct_res_comm",#N/A,FALSE,"VarToBud"}</definedName>
    <definedName name="TT" localSheetId="10">{#N/A,#N/A,FALSE,"Combined LongSheet"}</definedName>
    <definedName name="TT">{#N/A,#N/A,FALSE,"Combined LongSheet"}</definedName>
    <definedName name="tt.8" localSheetId="10"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t"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tttoo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localSheetId="10">{#N/A,#N/A,FALSE,"AD_Purch";#N/A,#N/A,FALSE,"Projections";#N/A,#N/A,FALSE,"DCF";#N/A,#N/A,FALSE,"Mkt Val"}</definedName>
    <definedName name="tttt">{#N/A,#N/A,FALSE,"AD_Purch";#N/A,#N/A,FALSE,"Projections";#N/A,#N/A,FALSE,"DCF";#N/A,#N/A,FALSE,"Mkt Val"}</definedName>
    <definedName name="ttttt" localSheetId="10" hidden="1">{"Income",#N/A,FALSE,"income";"Sales",#N/A,FALSE,"income";"Critical",#N/A,FALSE,"income";"Market",#N/A,FALSE,"Market";"Returns",#N/A,FALSE,"returns";"Balance",#N/A,FALSE,"balance";"Cash Flow",#N/A,FALSE,"balance"}</definedName>
    <definedName name="ttttt" hidden="1">{"Income",#N/A,FALSE,"income";"Sales",#N/A,FALSE,"income";"Critical",#N/A,FALSE,"income";"Market",#N/A,FALSE,"Market";"Returns",#N/A,FALSE,"returns";"Balance",#N/A,FALSE,"balance";"Cash Flow",#N/A,FALSE,"balance"}</definedName>
    <definedName name="ttttt_1" localSheetId="10" hidden="1">{"Income",#N/A,FALSE,"income";"Sales",#N/A,FALSE,"income";"Critical",#N/A,FALSE,"income";"Market",#N/A,FALSE,"Market";"Returns",#N/A,FALSE,"returns";"Balance",#N/A,FALSE,"balance";"Cash Flow",#N/A,FALSE,"balance"}</definedName>
    <definedName name="ttttt_1" hidden="1">{"Income",#N/A,FALSE,"income";"Sales",#N/A,FALSE,"income";"Critical",#N/A,FALSE,"income";"Market",#N/A,FALSE,"Market";"Returns",#N/A,FALSE,"returns";"Balance",#N/A,FALSE,"balance";"Cash Flow",#N/A,FALSE,"balance"}</definedName>
    <definedName name="TTTTTT" localSheetId="10" hidden="1">{#N/A,#N/A,FALSE,"COP CONS SK";#N/A,#N/A,FALSE,"COP CONS RG";#N/A,#N/A,FALSE,"COP CONS SK BC";#N/A,#N/A,FALSE,"COP CONS RG BC";#N/A,#N/A,FALSE,"ALLIANCE SK";#N/A,#N/A,FALSE,"ALLIANCE RG";#N/A,#N/A,FALSE,"CPC SK";#N/A,#N/A,FALSE,"CPC RG"}</definedName>
    <definedName name="TTTTTT" hidden="1">{#N/A,#N/A,FALSE,"COP CONS SK";#N/A,#N/A,FALSE,"COP CONS RG";#N/A,#N/A,FALSE,"COP CONS SK BC";#N/A,#N/A,FALSE,"COP CONS RG BC";#N/A,#N/A,FALSE,"ALLIANCE SK";#N/A,#N/A,FALSE,"ALLIANCE RG";#N/A,#N/A,FALSE,"CPC SK";#N/A,#N/A,FALSE,"CPC RG"}</definedName>
    <definedName name="ttttttt"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zz" localSheetId="10"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 localSheetId="10" hidden="1">{"bs",#N/A,FALSE,"SCF"}</definedName>
    <definedName name="tu" hidden="1">{"bs",#N/A,FALSE,"SCF"}</definedName>
    <definedName name="Tulsa" localSheetId="10">{#N/A,#N/A,FALSE,"Report Data";#N/A,#N/A,FALSE,"COMP POOL";#N/A,#N/A,FALSE,"COMP POOL NB95";#N/A,#N/A,FALSE,"COMP POOL NB94"}</definedName>
    <definedName name="Tulsa">{#N/A,#N/A,FALSE,"Report Data";#N/A,#N/A,FALSE,"COMP POOL";#N/A,#N/A,FALSE,"COMP POOL NB95";#N/A,#N/A,FALSE,"COMP POOL NB94"}</definedName>
    <definedName name="TUNR" localSheetId="10" hidden="1">{#N/A,#N/A,FALSE,"INVto"}</definedName>
    <definedName name="TUNR" hidden="1">{#N/A,#N/A,FALSE,"INVto"}</definedName>
    <definedName name="turd" localSheetId="10" hidden="1">{"detail",#N/A,FALSE,"mfg";"summary",#N/A,FALSE,"mfg"}</definedName>
    <definedName name="turd" hidden="1">{"detail",#N/A,FALSE,"mfg";"summary",#N/A,FALSE,"mfg"}</definedName>
    <definedName name="Turndown_Cap">#REF! *#REF!</definedName>
    <definedName name="Turnover" localSheetId="10">{#N/A,#N/A,TRUE,"2432"}</definedName>
    <definedName name="Turnover">{#N/A,#N/A,TRUE,"2432"}</definedName>
    <definedName name="tv" localSheetId="10">#REF!</definedName>
    <definedName name="tv">#REF!</definedName>
    <definedName name="twap" localSheetId="10"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wap_1" localSheetId="10" hidden="1">{#N/A,#N/A,FALSE,"Title";#N/A,#N/A,FALSE,"Index";#N/A,#N/A,FALSE,"1";#N/A,#N/A,FALSE,"2";#N/A,#N/A,FALSE,"3";#N/A,#N/A,FALSE,"4";#N/A,#N/A,FALSE,"5";#N/A,#N/A,FALSE,"5A";#N/A,#N/A,FALSE,"6";#N/A,#N/A,FALSE,"7";#N/A,#N/A,FALSE,"8"}</definedName>
    <definedName name="twap_1" hidden="1">{#N/A,#N/A,FALSE,"Title";#N/A,#N/A,FALSE,"Index";#N/A,#N/A,FALSE,"1";#N/A,#N/A,FALSE,"2";#N/A,#N/A,FALSE,"3";#N/A,#N/A,FALSE,"4";#N/A,#N/A,FALSE,"5";#N/A,#N/A,FALSE,"5A";#N/A,#N/A,FALSE,"6";#N/A,#N/A,FALSE,"7";#N/A,#N/A,FALSE,"8"}</definedName>
    <definedName name="two" localSheetId="10" hidden="1">{#N/A,#N/A,FALSE,"IS";#N/A,#N/A,FALSE,"FF";#N/A,#N/A,FALSE,"BS";#N/A,#N/A,FALSE,"DCF";#N/A,#N/A,FALSE,"EVA";#N/A,#N/A,FALSE,"%";#N/A,#N/A,FALSE,"WTF";#N/A,#N/A,FALSE,"Spec";#N/A,#N/A,FALSE,"Gen"}</definedName>
    <definedName name="two" hidden="1">{#N/A,#N/A,FALSE,"IS";#N/A,#N/A,FALSE,"FF";#N/A,#N/A,FALSE,"BS";#N/A,#N/A,FALSE,"DCF";#N/A,#N/A,FALSE,"EVA";#N/A,#N/A,FALSE,"%";#N/A,#N/A,FALSE,"WTF";#N/A,#N/A,FALSE,"Spec";#N/A,#N/A,FALSE,"Gen"}</definedName>
    <definedName name="two.print" localSheetId="10" hidden="1">{"month",#N/A,FALSE,"LOPL594";"ytd",#N/A,FALSE,"LOPL594"}</definedName>
    <definedName name="two.print" hidden="1">{"month",#N/A,FALSE,"LOPL594";"ytd",#N/A,FALSE,"LOPL594"}</definedName>
    <definedName name="twre" localSheetId="10" hidden="1">{"NOPCAPEVA",#N/A,FALSE,"Nopat";"FCFCSTAR",#N/A,FALSE,"FCFVAL";"EVAVL",#N/A,FALSE,"EVAVAL";"LEASE",#N/A,FALSE,"OpLease"}</definedName>
    <definedName name="twre" hidden="1">{"NOPCAPEVA",#N/A,FALSE,"Nopat";"FCFCSTAR",#N/A,FALSE,"FCFVAL";"EVAVL",#N/A,FALSE,"EVAVAL";"LEASE",#N/A,FALSE,"OpLease"}</definedName>
    <definedName name="TWvar" localSheetId="10" hidden="1">{"Material",#N/A,TRUE,"Summary";"Mfg",#N/A,TRUE,"Summary";"mfgbymo",#N/A,TRUE,"By Month";"Mtlbymo",#N/A,TRUE,"By Month"}</definedName>
    <definedName name="TWvar" hidden="1">{"Material",#N/A,TRUE,"Summary";"Mfg",#N/A,TRUE,"Summary";"mfgbymo",#N/A,TRUE,"By Month";"Mtlbymo",#N/A,TRUE,"By Month"}</definedName>
    <definedName name="TWvar_1" localSheetId="10" hidden="1">{"Material",#N/A,TRUE,"Summary";"Mfg",#N/A,TRUE,"Summary";"mfgbymo",#N/A,TRUE,"By Month";"Mtlbymo",#N/A,TRUE,"By Month"}</definedName>
    <definedName name="TWvar_1" hidden="1">{"Material",#N/A,TRUE,"Summary";"Mfg",#N/A,TRUE,"Summary";"mfgbymo",#N/A,TRUE,"By Month";"Mtlbymo",#N/A,TRUE,"By Month"}</definedName>
    <definedName name="TWvar_1_1" localSheetId="10" hidden="1">{"Material",#N/A,TRUE,"Summary";"Mfg",#N/A,TRUE,"Summary";"mfgbymo",#N/A,TRUE,"By Month";"Mtlbymo",#N/A,TRUE,"By Month"}</definedName>
    <definedName name="TWvar_1_1" hidden="1">{"Material",#N/A,TRUE,"Summary";"Mfg",#N/A,TRUE,"Summary";"mfgbymo",#N/A,TRUE,"By Month";"Mtlbymo",#N/A,TRUE,"By Month"}</definedName>
    <definedName name="TWvar_2" localSheetId="10" hidden="1">{"Material",#N/A,TRUE,"Summary";"Mfg",#N/A,TRUE,"Summary";"mfgbymo",#N/A,TRUE,"By Month";"Mtlbymo",#N/A,TRUE,"By Month"}</definedName>
    <definedName name="TWvar_2" hidden="1">{"Material",#N/A,TRUE,"Summary";"Mfg",#N/A,TRUE,"Summary";"mfgbymo",#N/A,TRUE,"By Month";"Mtlbymo",#N/A,TRUE,"By Month"}</definedName>
    <definedName name="TWvar2" localSheetId="10" hidden="1">{"Material",#N/A,TRUE,"Summary";"Mfg",#N/A,TRUE,"Summary";"mfgbymo",#N/A,TRUE,"By Month";"Mtlbymo",#N/A,TRUE,"By Month"}</definedName>
    <definedName name="TWvar2" hidden="1">{"Material",#N/A,TRUE,"Summary";"Mfg",#N/A,TRUE,"Summary";"mfgbymo",#N/A,TRUE,"By Month";"Mtlbymo",#N/A,TRUE,"By Month"}</definedName>
    <definedName name="TWvar2_1" localSheetId="10" hidden="1">{"Material",#N/A,TRUE,"Summary";"Mfg",#N/A,TRUE,"Summary";"mfgbymo",#N/A,TRUE,"By Month";"Mtlbymo",#N/A,TRUE,"By Month"}</definedName>
    <definedName name="TWvar2_1" hidden="1">{"Material",#N/A,TRUE,"Summary";"Mfg",#N/A,TRUE,"Summary";"mfgbymo",#N/A,TRUE,"By Month";"Mtlbymo",#N/A,TRUE,"By Month"}</definedName>
    <definedName name="TWvar2_1_1" localSheetId="10" hidden="1">{"Material",#N/A,TRUE,"Summary";"Mfg",#N/A,TRUE,"Summary";"mfgbymo",#N/A,TRUE,"By Month";"Mtlbymo",#N/A,TRUE,"By Month"}</definedName>
    <definedName name="TWvar2_1_1" hidden="1">{"Material",#N/A,TRUE,"Summary";"Mfg",#N/A,TRUE,"Summary";"mfgbymo",#N/A,TRUE,"By Month";"Mtlbymo",#N/A,TRUE,"By Month"}</definedName>
    <definedName name="TWvar2_2" localSheetId="10" hidden="1">{"Material",#N/A,TRUE,"Summary";"Mfg",#N/A,TRUE,"Summary";"mfgbymo",#N/A,TRUE,"By Month";"Mtlbymo",#N/A,TRUE,"By Month"}</definedName>
    <definedName name="TWvar2_2" hidden="1">{"Material",#N/A,TRUE,"Summary";"Mfg",#N/A,TRUE,"Summary";"mfgbymo",#N/A,TRUE,"By Month";"Mtlbymo",#N/A,TRUE,"By Month"}</definedName>
    <definedName name="ty" localSheetId="10" hidden="1">{"Assumptions",#N/A,TRUE,"Assumptions";"Income",#N/A,TRUE,"Income";"Balance",#N/A,TRUE,"Balance"}</definedName>
    <definedName name="ty" hidden="1">{"Assumptions",#N/A,TRUE,"Assumptions";"Income",#N/A,TRUE,"Income";"Balance",#N/A,TRUE,"Balance"}</definedName>
    <definedName name="ty_1" localSheetId="10" hidden="1">{"Assumptions",#N/A,TRUE,"Assumptions";"Income",#N/A,TRUE,"Income";"Balance",#N/A,TRUE,"Balance"}</definedName>
    <definedName name="ty_1" hidden="1">{"Assumptions",#N/A,TRUE,"Assumptions";"Income",#N/A,TRUE,"Income";"Balance",#N/A,TRUE,"Balance"}</definedName>
    <definedName name="tynm" localSheetId="10"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 localSheetId="10">#REF!</definedName>
    <definedName name="type">#REF!</definedName>
    <definedName name="tyr" localSheetId="10" hidden="1">{#N/A,#N/A,FALSE,"AD_Purch";#N/A,#N/A,FALSE,"Projections";#N/A,#N/A,FALSE,"DCF";#N/A,#N/A,FALSE,"Mkt Val"}</definedName>
    <definedName name="tyr" hidden="1">{#N/A,#N/A,FALSE,"AD_Purch";#N/A,#N/A,FALSE,"Projections";#N/A,#N/A,FALSE,"DCF";#N/A,#N/A,FALSE,"Mkt Val"}</definedName>
    <definedName name="tyr_1" localSheetId="10" hidden="1">{#N/A,#N/A,FALSE,"AD_Purch";#N/A,#N/A,FALSE,"Projections";#N/A,#N/A,FALSE,"DCF";#N/A,#N/A,FALSE,"Mkt Val"}</definedName>
    <definedName name="tyr_1" hidden="1">{#N/A,#N/A,FALSE,"AD_Purch";#N/A,#N/A,FALSE,"Projections";#N/A,#N/A,FALSE,"DCF";#N/A,#N/A,FALSE,"Mkt Val"}</definedName>
    <definedName name="tyryu" localSheetId="10" hidden="1">{#N/A,#N/A,FALSE,"Sheet1";#N/A,#N/A,FALSE,"Summary";#N/A,#N/A,FALSE,"proj1";#N/A,#N/A,FALSE,"proj2"}</definedName>
    <definedName name="tyryu" hidden="1">{#N/A,#N/A,FALSE,"Sheet1";#N/A,#N/A,FALSE,"Summary";#N/A,#N/A,FALSE,"proj1";#N/A,#N/A,FALSE,"proj2"}</definedName>
    <definedName name="tyryu_1" localSheetId="10" hidden="1">{#N/A,#N/A,FALSE,"Sheet1";#N/A,#N/A,FALSE,"Summary";#N/A,#N/A,FALSE,"proj1";#N/A,#N/A,FALSE,"proj2"}</definedName>
    <definedName name="tyryu_1" hidden="1">{#N/A,#N/A,FALSE,"Sheet1";#N/A,#N/A,FALSE,"Summary";#N/A,#N/A,FALSE,"proj1";#N/A,#N/A,FALSE,"proj2"}</definedName>
    <definedName name="TYTHHSHG" hidden="1">#REF!</definedName>
    <definedName name="tyu" localSheetId="10" hidden="1">{"oct_res_comm",#N/A,FALSE,"VarToBud"}</definedName>
    <definedName name="tyu" hidden="1">{"oct_res_comm",#N/A,FALSE,"VarToBud"}</definedName>
    <definedName name="tyui" localSheetId="10" hidden="1">{"ICD Details",#N/A,FALSE,"Current Yr";"ICD Details",#N/A,FALSE,"Budget";"ICD Details",#N/A,FALSE,"Prior Year"}</definedName>
    <definedName name="tyui" hidden="1">{"ICD Details",#N/A,FALSE,"Current Yr";"ICD Details",#N/A,FALSE,"Budget";"ICD Details",#N/A,FALSE,"Prior Year"}</definedName>
    <definedName name="tyuiktyu" localSheetId="10" hidden="1">{#N/A,#N/A,FALSE,"COVER";#N/A,#N/A,FALSE,"Index";#N/A,#N/A,FALSE,"Non-Earning";#N/A,#N/A,FALSE,"Mortgage_Legal";#N/A,#N/A,FALSE,"Mortgages"}</definedName>
    <definedName name="tyuiktyu" localSheetId="15" hidden="1">{#N/A,#N/A,FALSE,"COVER";#N/A,#N/A,FALSE,"Index";#N/A,#N/A,FALSE,"Non-Earning";#N/A,#N/A,FALSE,"Mortgage_Legal";#N/A,#N/A,FALSE,"Mortgages"}</definedName>
    <definedName name="tyuiktyu" hidden="1">{#N/A,#N/A,FALSE,"COVER";#N/A,#N/A,FALSE,"Index";#N/A,#N/A,FALSE,"Non-Earning";#N/A,#N/A,FALSE,"Mortgage_Legal";#N/A,#N/A,FALSE,"Mortgages"}</definedName>
    <definedName name="tyutytyi" localSheetId="10">{#N/A,#N/A,FALSE,"Pharm";#N/A,#N/A,FALSE,"WWCM"}</definedName>
    <definedName name="tyutytyi">{#N/A,#N/A,FALSE,"Pharm";#N/A,#N/A,FALSE,"WWCM"}</definedName>
    <definedName name="tyyufkjkhjd" localSheetId="10">{#N/A,#N/A,FALSE,"Pharm";#N/A,#N/A,FALSE,"WWCM"}</definedName>
    <definedName name="tyyufkjkhjd">{#N/A,#N/A,FALSE,"Pharm";#N/A,#N/A,FALSE,"WWCM"}</definedName>
    <definedName name="tzt" localSheetId="10"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10"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10">#REF!</definedName>
    <definedName name="u">#REF!</definedName>
    <definedName name="ua" localSheetId="10">#REF!</definedName>
    <definedName name="ua">#REF!</definedName>
    <definedName name="ubjyubjybyu" localSheetId="10" hidden="1">#REF!</definedName>
    <definedName name="ubjyubjybyu" hidden="1">#REF!</definedName>
    <definedName name="udskriv" localSheetId="10">{#N/A,#N/A,FALSE,"mdr.XLS";"db",#N/A,FALSE,"mdr.XLS";#N/A,#N/A,FALSE,"Forside ";#N/A,#N/A,FALSE,"INVEST.XLS"}</definedName>
    <definedName name="udskriv">{#N/A,#N/A,FALSE,"mdr.XLS";"db",#N/A,FALSE,"mdr.XLS";#N/A,#N/A,FALSE,"Forside ";#N/A,#N/A,FALSE,"INVEST.XLS"}</definedName>
    <definedName name="udskriv1" localSheetId="10">{#N/A,#N/A,FALSE,"mdr.XLS";"db",#N/A,FALSE,"mdr.XLS";#N/A,#N/A,FALSE,"Forside ";#N/A,#N/A,FALSE,"INVEST.XLS"}</definedName>
    <definedName name="udskriv1">{#N/A,#N/A,FALSE,"mdr.XLS";"db",#N/A,FALSE,"mdr.XLS";#N/A,#N/A,FALSE,"Forside ";#N/A,#N/A,FALSE,"INVEST.XLS"}</definedName>
    <definedName name="UDSKRIV2" localSheetId="10">{#N/A,#N/A,FALSE,"mdr.XLS";"db",#N/A,FALSE,"mdr.XLS";#N/A,#N/A,FALSE,"Forside ";#N/A,#N/A,FALSE,"INVEST.XLS"}</definedName>
    <definedName name="UDSKRIV2">{#N/A,#N/A,FALSE,"mdr.XLS";"db",#N/A,FALSE,"mdr.XLS";#N/A,#N/A,FALSE,"Forside ";#N/A,#N/A,FALSE,"INVEST.XLS"}</definedName>
    <definedName name="UDSKRIV3" localSheetId="10">{#N/A,#N/A,FALSE,"mdr.XLS";"db",#N/A,FALSE,"mdr.XLS";#N/A,#N/A,FALSE,"Forside ";#N/A,#N/A,FALSE,"INVEST.XLS"}</definedName>
    <definedName name="UDSKRIV3">{#N/A,#N/A,FALSE,"mdr.XLS";"db",#N/A,FALSE,"mdr.XLS";#N/A,#N/A,FALSE,"Forside ";#N/A,#N/A,FALSE,"INVEST.XLS"}</definedName>
    <definedName name="UDSKRIV7" localSheetId="10">{#N/A,#N/A,FALSE,"mdr.XLS";"db",#N/A,FALSE,"mdr.XLS";#N/A,#N/A,FALSE,"Forside ";#N/A,#N/A,FALSE,"INVEST.XLS"}</definedName>
    <definedName name="UDSKRIV7">{#N/A,#N/A,FALSE,"mdr.XLS";"db",#N/A,FALSE,"mdr.XLS";#N/A,#N/A,FALSE,"Forside ";#N/A,#N/A,FALSE,"INVEST.XLS"}</definedName>
    <definedName name="UER">#REF!</definedName>
    <definedName name="uffa" localSheetId="10" hidden="1">{#N/A,#N/A,FALSE,"Week 2002";#N/A,#N/A,FALSE,"YTD 2002";#N/A,#N/A,FALSE,"Quarterly Trend(Q3)"}</definedName>
    <definedName name="uffa" hidden="1">{#N/A,#N/A,FALSE,"Week 2002";#N/A,#N/A,FALSE,"YTD 2002";#N/A,#N/A,FALSE,"Quarterly Trend(Q3)"}</definedName>
    <definedName name="uffaancora" localSheetId="10" hidden="1">{#N/A,#N/A,FALSE,"Week 2002";#N/A,#N/A,FALSE,"YTD 2002";#N/A,#N/A,FALSE,"Quarterly Trend(Q3)"}</definedName>
    <definedName name="uffaancora" hidden="1">{#N/A,#N/A,FALSE,"Week 2002";#N/A,#N/A,FALSE,"YTD 2002";#N/A,#N/A,FALSE,"Quarterly Trend(Q3)"}</definedName>
    <definedName name="uffi" localSheetId="10" hidden="1">{"F3 Presentation",#N/A,FALSE,"F3 ";"F3 detail",#N/A,FALSE,"F3 "}</definedName>
    <definedName name="uffi" hidden="1">{"F3 Presentation",#N/A,FALSE,"F3 ";"F3 detail",#N/A,FALSE,"F3 "}</definedName>
    <definedName name="ug" localSheetId="10" hidden="1">{"NOPCAPEVA",#N/A,FALSE,"Nopat";"FCFCSTAR",#N/A,FALSE,"FCFVAL";"EVAVL",#N/A,FALSE,"EVAVAL";"LEASE",#N/A,FALSE,"OpLease"}</definedName>
    <definedName name="ug" hidden="1">{"NOPCAPEVA",#N/A,FALSE,"Nopat";"FCFCSTAR",#N/A,FALSE,"FCFVAL";"EVAVL",#N/A,FALSE,"EVAVAL";"LEASE",#N/A,FALSE,"OpLease"}</definedName>
    <definedName name="uh" localSheetId="10" hidden="1">{"detail",#N/A,FALSE,"mfg";"summary",#N/A,FALSE,"mfg"}</definedName>
    <definedName name="uh" hidden="1">{"detail",#N/A,FALSE,"mfg";"summary",#N/A,FALSE,"mfg"}</definedName>
    <definedName name="ui" localSheetId="10" hidden="1">{"NOPCAPEVA",#N/A,FALSE,"Nopat";"FCFCSTAR",#N/A,FALSE,"FCFVAL";"EVAVL",#N/A,FALSE,"EVAVAL";"LEASE",#N/A,FALSE,"OpLease"}</definedName>
    <definedName name="ui" hidden="1">{"NOPCAPEVA",#N/A,FALSE,"Nopat";"FCFCSTAR",#N/A,FALSE,"FCFVAL";"EVAVL",#N/A,FALSE,"EVAVAL";"LEASE",#N/A,FALSE,"OpLease"}</definedName>
    <definedName name="uiim" localSheetId="10" hidden="1">{"Pg1",#N/A,FALSE,"OpExYTDvsBud";"Pg2",#N/A,FALSE,"OpExYTDvsBud"}</definedName>
    <definedName name="uiim" hidden="1">{"Pg1",#N/A,FALSE,"OpExYTDvsBud";"Pg2",#N/A,FALSE,"OpExYTDvsBud"}</definedName>
    <definedName name="uiknu" localSheetId="10">{#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 localSheetId="10" hidden="1">{"mgmt forecast",#N/A,FALSE,"Mgmt Forecast";"dcf table",#N/A,FALSE,"Mgmt Forecast";"sensitivity",#N/A,FALSE,"Mgmt Forecast";"table inputs",#N/A,FALSE,"Mgmt Forecast";"calculations",#N/A,FALSE,"Mgmt Forecast"}</definedName>
    <definedName name="uio" hidden="1">{"mgmt forecast",#N/A,FALSE,"Mgmt Forecast";"dcf table",#N/A,FALSE,"Mgmt Forecast";"sensitivity",#N/A,FALSE,"Mgmt Forecast";"table inputs",#N/A,FALSE,"Mgmt Forecast";"calculations",#N/A,FALSE,"Mgmt Forecast"}</definedName>
    <definedName name="uiui" localSheetId="10"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j" localSheetId="10" hidden="1">{"Headcount Worksheet",#N/A,FALSE,"HEADCOUNT"}</definedName>
    <definedName name="uj" hidden="1">{"Headcount Worksheet",#N/A,FALSE,"HEADCOUNT"}</definedName>
    <definedName name="ujkry" localSheetId="10" hidden="1">{"NOPCAPEVA",#N/A,FALSE,"Nopat";"FCFCSTAR",#N/A,FALSE,"FCFVAL";"EVAVL",#N/A,FALSE,"EVAVAL";"LEASE",#N/A,FALSE,"OpLease"}</definedName>
    <definedName name="ujkry" hidden="1">{"NOPCAPEVA",#N/A,FALSE,"Nopat";"FCFCSTAR",#N/A,FALSE,"FCFVAL";"EVAVL",#N/A,FALSE,"EVAVAL";"LEASE",#N/A,FALSE,"OpLease"}</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10">{#N/A,#N/A,FALSE,"Pharm";#N/A,#N/A,FALSE,"WWCM"}</definedName>
    <definedName name="Unit">{#N/A,#N/A,FALSE,"Pharm";#N/A,#N/A,FALSE,"WWCM"}</definedName>
    <definedName name="Unit_contrib_margin">#REF!</definedName>
    <definedName name="United"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s" localSheetId="10">#REF!</definedName>
    <definedName name="units">#REF!</definedName>
    <definedName name="Unknown" localSheetId="10" hidden="1">#REF!</definedName>
    <definedName name="Unknown" localSheetId="9" hidden="1">#REF!</definedName>
    <definedName name="Unknown" localSheetId="8" hidden="1">#REF!</definedName>
    <definedName name="Unknown" localSheetId="16" hidden="1">#REF!</definedName>
    <definedName name="Unknown" hidden="1">#REF!</definedName>
    <definedName name="UP" localSheetId="10" hidden="1">{"'Inventory &amp; Anal-Cur Wkbk'!$A$7:$AP$71"}</definedName>
    <definedName name="UP" hidden="1">{"'Inventory &amp; Anal-Cur Wkbk'!$A$7:$AP$71"}</definedName>
    <definedName name="UPDATESUMMARY" localSheetId="10">{#N/A,#N/A,FALSE,"FACTSHEETS";#N/A,#N/A,FALSE,"pump";#N/A,#N/A,FALSE,"filter"}</definedName>
    <definedName name="UPDATESUMMARY">{#N/A,#N/A,FALSE,"FACTSHEETS";#N/A,#N/A,FALSE,"pump";#N/A,#N/A,FALSE,"filter"}</definedName>
    <definedName name="uq" localSheetId="10" hidden="1">{"detail",#N/A,FALSE,"mfg";"summary",#N/A,FALSE,"mfg"}</definedName>
    <definedName name="uq" hidden="1">{"detail",#N/A,FALSE,"mfg";"summary",#N/A,FALSE,"mfg"}</definedName>
    <definedName name="urt" localSheetId="10" hidden="1">{"NOPCAPEVA",#N/A,FALSE,"Nopat";"FCFCSTAR",#N/A,FALSE,"FCFVAL";"EVAVL",#N/A,FALSE,"EVAVAL";"LEASE",#N/A,FALSE,"OpLease"}</definedName>
    <definedName name="urt" hidden="1">{"NOPCAPEVA",#N/A,FALSE,"Nopat";"FCFCSTAR",#N/A,FALSE,"FCFVAL";"EVAVL",#N/A,FALSE,"EVAVAL";"LEASE",#N/A,FALSE,"OpLease"}</definedName>
    <definedName name="US" localSheetId="10" hidden="1">{"first",#N/A,FALSE,"FLEXPAC2";"second",#N/A,FALSE,"FLEXPAC2"}</definedName>
    <definedName name="US" hidden="1">{"first",#N/A,FALSE,"FLEXPAC2";"second",#N/A,FALSE,"FLEXPAC2"}</definedName>
    <definedName name="us.uk" localSheetId="10" hidden="1">{#N/A,#N/A,FALSE,"JES";#N/A,#N/A,FALSE,"Cdn Fed Taxes";#N/A,#N/A,FALSE,"Provincial tax";#N/A,#N/A,FALSE,"Cdn Tax Summary";#N/A,#N/A,FALSE,"Consolidated Tax position";#N/A,#N/A,FALSE,"Reconciliation to seg. note";#N/A,#N/A,FALSE,"Tax note disclosure";#N/A,#N/A,FALSE,"Rec ind. cdn co. to cons.";#N/A,#N/A,FALSE,"Tax note disclosure"}</definedName>
    <definedName name="us.uk" hidden="1">{#N/A,#N/A,FALSE,"JES";#N/A,#N/A,FALSE,"Cdn Fed Taxes";#N/A,#N/A,FALSE,"Provincial tax";#N/A,#N/A,FALSE,"Cdn Tax Summary";#N/A,#N/A,FALSE,"Consolidated Tax position";#N/A,#N/A,FALSE,"Reconciliation to seg. note";#N/A,#N/A,FALSE,"Tax note disclosure";#N/A,#N/A,FALSE,"Rec ind. cdn co. to cons.";#N/A,#N/A,FALSE,"Tax note disclosure"}</definedName>
    <definedName name="USA" localSheetId="10" hidden="1">{#N/A,#N/A,FALSE,"Est97";#N/A,#N/A,FALSE,"Plan98";#N/A,#N/A,FALSE,"Graphs";#N/A,#N/A,FALSE,"5Yr"}</definedName>
    <definedName name="USA" localSheetId="15" hidden="1">{#N/A,#N/A,FALSE,"Est97";#N/A,#N/A,FALSE,"Plan98";#N/A,#N/A,FALSE,"Graphs";#N/A,#N/A,FALSE,"5Yr"}</definedName>
    <definedName name="USA" hidden="1">{#N/A,#N/A,FALSE,"Est97";#N/A,#N/A,FALSE,"Plan98";#N/A,#N/A,FALSE,"Graphs";#N/A,#N/A,FALSE,"5Yr"}</definedName>
    <definedName name="USDollar" hidden="1">#REF!</definedName>
    <definedName name="USOW" localSheetId="10" hidden="1">{#N/A,#N/A,FALSE,"ALCO SK";#N/A,#N/A,FALSE,"ALCO RG";#N/A,#N/A,FALSE,"ALCO SK BC";#N/A,#N/A,FALSE,"ALCO RG BC";#N/A,#N/A,FALSE,"VALY SK";#N/A,#N/A,FALSE,"VALY RG"}</definedName>
    <definedName name="USOW" hidden="1">{#N/A,#N/A,FALSE,"ALCO SK";#N/A,#N/A,FALSE,"ALCO RG";#N/A,#N/A,FALSE,"ALCO SK BC";#N/A,#N/A,FALSE,"ALCO RG BC";#N/A,#N/A,FALSE,"VALY SK";#N/A,#N/A,FALSE,"VALY RG"}</definedName>
    <definedName name="ut" localSheetId="10" hidden="1">{#N/A,"PURCHM",FALSE,"Business Analysis";#N/A,"SPADD",FALSE,"Business Analysis"}</definedName>
    <definedName name="ut" hidden="1">{#N/A,"PURCHM",FALSE,"Business Analysis";#N/A,"SPADD",FALSE,"Business Analysis"}</definedName>
    <definedName name="Utilities__RE_Tax">#REF!</definedName>
    <definedName name="Utilities2" localSheetId="10" hidden="1">#REF!</definedName>
    <definedName name="Utilities2" hidden="1">#REF!</definedName>
    <definedName name="uu">#REF!</definedName>
    <definedName name="uu.kk" localSheetId="10" hidden="1">{#N/A,#N/A,FALSE,"KA CH  (2)"}</definedName>
    <definedName name="uu.kk" hidden="1">{#N/A,#N/A,FALSE,"KA CH  (2)"}</definedName>
    <definedName name="üü.l" localSheetId="10"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localSheetId="10" hidden="1">{#N/A,#N/A,FALSE,"WC OMM III";#N/A,#N/A,FALSE,"WC 1995 PLAN";#N/A,#N/A,FALSE,"WC 1995 ADJUSTED"}</definedName>
    <definedName name="uuu" localSheetId="15" hidden="1">{#N/A,#N/A,FALSE,"WC OMM III";#N/A,#N/A,FALSE,"WC 1995 PLAN";#N/A,#N/A,FALSE,"WC 1995 ADJUSTED"}</definedName>
    <definedName name="uuu" hidden="1">{#N/A,#N/A,FALSE,"WC OMM III";#N/A,#N/A,FALSE,"WC 1995 PLAN";#N/A,#N/A,FALSE,"WC 1995 ADJUSTED"}</definedName>
    <definedName name="üüü" localSheetId="10"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UUU" localSheetId="10" hidden="1">{"Accretion",#N/A,FALSE,"Assum"}</definedName>
    <definedName name="UUUUUUUU" hidden="1">{"Accretion",#N/A,FALSE,"Assum"}</definedName>
    <definedName name="uy" localSheetId="10">#REF!</definedName>
    <definedName name="uy">#REF!</definedName>
    <definedName name="uya" localSheetId="10">#REF!</definedName>
    <definedName name="uya">#REF!</definedName>
    <definedName name="uyj" localSheetId="10" hidden="1">{"AnnInc",#N/A,TRUE,"Inc";"QtrInc1",#N/A,TRUE,"Inc";"Balance",#N/A,TRUE,"Bal";"Cflow",#N/A,TRUE,"Cash"}</definedName>
    <definedName name="uyj" hidden="1">{"AnnInc",#N/A,TRUE,"Inc";"QtrInc1",#N/A,TRUE,"Inc";"Balance",#N/A,TRUE,"Bal";"Cflow",#N/A,TRUE,"Cash"}</definedName>
    <definedName name="uyt" localSheetId="10"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e" localSheetId="10" hidden="1">{"AnnInc",#N/A,TRUE,"Inc";"QtrInc1",#N/A,TRUE,"Inc";"Balance",#N/A,TRUE,"Bal";"Cflow",#N/A,TRUE,"Cash"}</definedName>
    <definedName name="uyte" hidden="1">{"AnnInc",#N/A,TRUE,"Inc";"QtrInc1",#N/A,TRUE,"Inc";"Balance",#N/A,TRUE,"Bal";"Cflow",#N/A,TRUE,"Cash"}</definedName>
    <definedName name="uytr" localSheetId="10" hidden="1">{#N/A,"PURCHM",FALSE,"Business Analysis";#N/A,"SPADD",FALSE,"Business Analysis"}</definedName>
    <definedName name="uytr" hidden="1">{#N/A,"PURCHM",FALSE,"Business Analysis";#N/A,"SPADD",FALSE,"Business Analysis"}</definedName>
    <definedName name="uytry" localSheetId="10" hidden="1">{"mgmt forecast",#N/A,FALSE,"Mgmt Forecast";"dcf table",#N/A,FALSE,"Mgmt Forecast";"sensitivity",#N/A,FALSE,"Mgmt Forecast";"table inputs",#N/A,FALSE,"Mgmt Forecast";"calculations",#N/A,FALSE,"Mgmt Forecast"}</definedName>
    <definedName name="uytry" hidden="1">{"mgmt forecast",#N/A,FALSE,"Mgmt Forecast";"dcf table",#N/A,FALSE,"Mgmt Forecast";"sensitivity",#N/A,FALSE,"Mgmt Forecast";"table inputs",#N/A,FALSE,"Mgmt Forecast";"calculations",#N/A,FALSE,"Mgmt Forecast"}</definedName>
    <definedName name="uyukyu" hidden="1">#REF!</definedName>
    <definedName name="uztuz" localSheetId="10"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10"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10" hidden="1">{#N/A,#N/A,FALSE,"BANNERS";#N/A,#N/A,FALSE,"Market";#N/A,#N/A,FALSE,"# of POP MAN";#N/A,#N/A,FALSE,"Penet Input";#N/A,#N/A,FALSE,"Tel Rev";#N/A,#N/A,FALSE,"Invest";#N/A,#N/A,FALSE,"Op Cost1";#N/A,#N/A,FALSE,"Op Cost2";#N/A,#N/A,FALSE,"Oth_&amp;_Tot_Revenues";#N/A,#N/A,FALSE,"Fin Mod";#N/A,#N/A,FALSE,"P&amp;E Burocrat";#N/A,#N/A,FALSE,"cash flow"}</definedName>
    <definedName name="V" localSheetId="15" hidden="1">{#N/A,#N/A,FALSE,"BANNERS";#N/A,#N/A,FALSE,"Market";#N/A,#N/A,FALSE,"# of POP MAN";#N/A,#N/A,FALSE,"Penet Input";#N/A,#N/A,FALSE,"Tel Rev";#N/A,#N/A,FALSE,"Invest";#N/A,#N/A,FALSE,"Op Cost1";#N/A,#N/A,FALSE,"Op Cost2";#N/A,#N/A,FALSE,"Oth_&amp;_Tot_Revenues";#N/A,#N/A,FALSE,"Fin Mod";#N/A,#N/A,FALSE,"P&amp;E Burocrat";#N/A,#N/A,FALSE,"cash flow"}</definedName>
    <definedName name="V" hidden="1">{#N/A,#N/A,FALSE,"BANNERS";#N/A,#N/A,FALSE,"Market";#N/A,#N/A,FALSE,"# of POP MAN";#N/A,#N/A,FALSE,"Penet Input";#N/A,#N/A,FALSE,"Tel Rev";#N/A,#N/A,FALSE,"Invest";#N/A,#N/A,FALSE,"Op Cost1";#N/A,#N/A,FALSE,"Op Cost2";#N/A,#N/A,FALSE,"Oth_&amp;_Tot_Revenues";#N/A,#N/A,FALSE,"Fin Mod";#N/A,#N/A,FALSE,"P&amp;E Burocrat";#N/A,#N/A,FALSE,"cash flow"}</definedName>
    <definedName name="v.1" localSheetId="10"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10"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10"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10"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10"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10"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_1"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adfsvdsc" hidden="1">#REF!</definedName>
    <definedName name="val" localSheetId="10" hidden="1">{#N/A,#N/A,FALSE,"Valuation Assumptions";#N/A,#N/A,FALSE,"Summary";#N/A,#N/A,FALSE,"DCF";#N/A,#N/A,FALSE,"Valuation";#N/A,#N/A,FALSE,"WACC";#N/A,#N/A,FALSE,"UBVH";#N/A,#N/A,FALSE,"Free Cash Flow"}</definedName>
    <definedName name="val" localSheetId="15" hidden="1">{#N/A,#N/A,FALSE,"Valuation Assumptions";#N/A,#N/A,FALSE,"Summary";#N/A,#N/A,FALSE,"DCF";#N/A,#N/A,FALSE,"Valuation";#N/A,#N/A,FALSE,"WACC";#N/A,#N/A,FALSE,"UBVH";#N/A,#N/A,FALSE,"Free Cash Flow"}</definedName>
    <definedName name="val" hidden="1">{#N/A,#N/A,FALSE,"Valuation Assumptions";#N/A,#N/A,FALSE,"Summary";#N/A,#N/A,FALSE,"DCF";#N/A,#N/A,FALSE,"Valuation";#N/A,#N/A,FALSE,"WACC";#N/A,#N/A,FALSE,"UBVH";#N/A,#N/A,FALSE,"Free Cash Flow"}</definedName>
    <definedName name="Value" localSheetId="10">#REF!</definedName>
    <definedName name="Value">#REF!</definedName>
    <definedName name="Values_Entered" localSheetId="10">IF(Loan_Amount*'Other Recast'!Interest_Rate*Loan_Years*Loan_Start&gt;0,1,0)</definedName>
    <definedName name="Values_Entered">IF(Loan_Amount*Interest_Rate*Loan_Years*Loan_Start&gt;0,1,0)</definedName>
    <definedName name="Values_IS" localSheetId="10">#REF!</definedName>
    <definedName name="Values_IS">#REF!</definedName>
    <definedName name="Varanalysis2001" localSheetId="10">{#N/A,#N/A,FALSE,"BalSheet 0899";#N/A,#N/A,FALSE,"ytdpl899";#N/A,#N/A,FALSE,"Aug PL";#N/A,#N/A,FALSE,"Minority Int";#N/A,#N/A,FALSE,"Equity Roll Forward";#N/A,#N/A,FALSE,"Book Equity Test"}</definedName>
    <definedName name="Varanalysis2001">{#N/A,#N/A,FALSE,"BalSheet 0899";#N/A,#N/A,FALSE,"ytdpl899";#N/A,#N/A,FALSE,"Aug PL";#N/A,#N/A,FALSE,"Minority Int";#N/A,#N/A,FALSE,"Equity Roll Forward";#N/A,#N/A,FALSE,"Book Equity Test"}</definedName>
    <definedName name="Variable_cost_unit">#REF!</definedName>
    <definedName name="Variable_costs_unit">#REF!</definedName>
    <definedName name="Variable_Unit_Cost">#REF!</definedName>
    <definedName name="VARIANCE">#REF!</definedName>
    <definedName name="vb" localSheetId="10" hidden="1">{#N/A,#N/A,FALSE,"DCF Summary";#N/A,#N/A,FALSE,"Casema";#N/A,#N/A,FALSE,"Casema NoTel";#N/A,#N/A,FALSE,"UK";#N/A,#N/A,FALSE,"RCF";#N/A,#N/A,FALSE,"Intercable CZ";#N/A,#N/A,FALSE,"Interkabel P"}</definedName>
    <definedName name="vb" localSheetId="15" hidden="1">{#N/A,#N/A,FALSE,"DCF Summary";#N/A,#N/A,FALSE,"Casema";#N/A,#N/A,FALSE,"Casema NoTel";#N/A,#N/A,FALSE,"UK";#N/A,#N/A,FALSE,"RCF";#N/A,#N/A,FALSE,"Intercable CZ";#N/A,#N/A,FALSE,"Interkabel P"}</definedName>
    <definedName name="vb" hidden="1">{#N/A,#N/A,FALSE,"DCF Summary";#N/A,#N/A,FALSE,"Casema";#N/A,#N/A,FALSE,"Casema NoTel";#N/A,#N/A,FALSE,"UK";#N/A,#N/A,FALSE,"RCF";#N/A,#N/A,FALSE,"Intercable CZ";#N/A,#N/A,FALSE,"Interkabel P"}</definedName>
    <definedName name="vbcz" localSheetId="10" hidden="1">{"NOPCAPEVA",#N/A,FALSE,"Nopat";"FCFCSTAR",#N/A,FALSE,"FCFVAL";"EVAVL",#N/A,FALSE,"EVAVAL";"LEASE",#N/A,FALSE,"OpLease"}</definedName>
    <definedName name="vbcz" hidden="1">{"NOPCAPEVA",#N/A,FALSE,"Nopat";"FCFCSTAR",#N/A,FALSE,"FCFVAL";"EVAVL",#N/A,FALSE,"EVAVAL";"LEASE",#N/A,FALSE,"OpLease"}</definedName>
    <definedName name="vbhj" localSheetId="10" hidden="1">{#N/A,"PURCHM",FALSE,"Business Analysis";#N/A,"SPADD",FALSE,"Business Analysis"}</definedName>
    <definedName name="vbhj" hidden="1">{#N/A,"PURCHM",FALSE,"Business Analysis";#N/A,"SPADD",FALSE,"Business Analysis"}</definedName>
    <definedName name="VBN" localSheetId="10" hidden="1">{#N/A,#N/A,FALSE,"COP CONS SK";#N/A,#N/A,FALSE,"COP CONS RG";#N/A,#N/A,FALSE,"COP CONS SK BC";#N/A,#N/A,FALSE,"COP CONS RG BC";#N/A,#N/A,FALSE,"ALLIANCE SK";#N/A,#N/A,FALSE,"ALLIANCE RG";#N/A,#N/A,FALSE,"CPC SK";#N/A,#N/A,FALSE,"CPC RG"}</definedName>
    <definedName name="VBN" hidden="1">{#N/A,#N/A,FALSE,"COP CONS SK";#N/A,#N/A,FALSE,"COP CONS RG";#N/A,#N/A,FALSE,"COP CONS SK BC";#N/A,#N/A,FALSE,"COP CONS RG BC";#N/A,#N/A,FALSE,"ALLIANCE SK";#N/A,#N/A,FALSE,"ALLIANCE RG";#N/A,#N/A,FALSE,"CPC SK";#N/A,#N/A,FALSE,"CPC RG"}</definedName>
    <definedName name="vbnm" localSheetId="10" hidden="1">{"net assets",#N/A,FALSE,"summary";"asset turnover",#N/A,FALSE,"summary";"orona",#N/A,FALSE,"summary"}</definedName>
    <definedName name="vbnm" hidden="1">{"net assets",#N/A,FALSE,"summary";"asset turnover",#N/A,FALSE,"summary";"orona",#N/A,FALSE,"summary"}</definedName>
    <definedName name="vbvbvbv"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d" localSheetId="10" hidden="1">{"Headcount Worksheet",#N/A,FALSE,"HEADCOUNT"}</definedName>
    <definedName name="vcd" hidden="1">{"Headcount Worksheet",#N/A,FALSE,"HEADCOUNT"}</definedName>
    <definedName name="vcfd"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c"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v" localSheetId="10"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10" hidden="1">{"YD PACKAGE",#N/A,FALSE,"YTD"}</definedName>
    <definedName name="vcx" hidden="1">{"YD PACKAGE",#N/A,FALSE,"YTD"}</definedName>
    <definedName name="vcxf" localSheetId="10" hidden="1">{"NOPCAPEVA",#N/A,FALSE,"Nopat";"FCFCSTAR",#N/A,FALSE,"FCFVAL";"EVAVL",#N/A,FALSE,"EVAVAL";"LEASE",#N/A,FALSE,"OpLease"}</definedName>
    <definedName name="vcxf" hidden="1">{"NOPCAPEVA",#N/A,FALSE,"Nopat";"FCFCSTAR",#N/A,FALSE,"FCFVAL";"EVAVL",#N/A,FALSE,"EVAVAL";"LEASE",#N/A,FALSE,"OpLease"}</definedName>
    <definedName name="vcxz"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df" localSheetId="10" hidden="1">{"AnnInc",#N/A,TRUE,"Inc";"QtrInc1",#N/A,TRUE,"Inc";"Balance",#N/A,TRUE,"Bal";"Cflow",#N/A,TRUE,"Cash"}</definedName>
    <definedName name="vczxdf" hidden="1">{"AnnInc",#N/A,TRUE,"Inc";"QtrInc1",#N/A,TRUE,"Inc";"Balance",#N/A,TRUE,"Bal";"Cflow",#N/A,TRUE,"Cash"}</definedName>
    <definedName name="vdzxc" localSheetId="10" hidden="1">#REF!</definedName>
    <definedName name="vdzxc" localSheetId="9" hidden="1">#REF!</definedName>
    <definedName name="vdzxc" localSheetId="8" hidden="1">#REF!</definedName>
    <definedName name="vdzxc" localSheetId="16" hidden="1">#REF!</definedName>
    <definedName name="vdzxc" hidden="1">#REF!</definedName>
    <definedName name="ve" hidden="1">#REF!</definedName>
    <definedName name="vehicles">#REF!</definedName>
    <definedName name="Vendor_Concentrations">#REF!</definedName>
    <definedName name="Vendor_Spend">#REF!</definedName>
    <definedName name="ver" localSheetId="10">{#N/A,#N/A,FALSE,"mdr.XLS";"db",#N/A,FALSE,"mdr.XLS";#N/A,#N/A,FALSE,"Forside ";#N/A,#N/A,FALSE,"INVEST.XLS"}</definedName>
    <definedName name="ver">{#N/A,#N/A,FALSE,"mdr.XLS";"db",#N/A,FALSE,"mdr.XLS";#N/A,#N/A,FALSE,"Forside ";#N/A,#N/A,FALSE,"INVEST.XLS"}</definedName>
    <definedName name="VersionNumber" hidden="1">"4.6.6198"</definedName>
    <definedName name="Vertical_Indirect_Budget">#REF!</definedName>
    <definedName name="verver" localSheetId="10">{#N/A,#N/A,FALSE,"mdr.XLS";"db",#N/A,FALSE,"mdr.XLS";#N/A,#N/A,FALSE,"Forside ";#N/A,#N/A,FALSE,"INVEST.XLS"}</definedName>
    <definedName name="verver">{#N/A,#N/A,FALSE,"mdr.XLS";"db",#N/A,FALSE,"mdr.XLS";#N/A,#N/A,FALSE,"Forside ";#N/A,#N/A,FALSE,"INVEST.XLS"}</definedName>
    <definedName name="VERVER2" localSheetId="10">{#N/A,#N/A,FALSE,"mdr.XLS";"db",#N/A,FALSE,"mdr.XLS";#N/A,#N/A,FALSE,"Forside ";#N/A,#N/A,FALSE,"INVEST.XLS"}</definedName>
    <definedName name="VERVER2">{#N/A,#N/A,FALSE,"mdr.XLS";"db",#N/A,FALSE,"mdr.XLS";#N/A,#N/A,FALSE,"Forside ";#N/A,#N/A,FALSE,"INVEST.XLS"}</definedName>
    <definedName name="VERVER4" localSheetId="10">{#N/A,#N/A,FALSE,"mdr.XLS";"db",#N/A,FALSE,"mdr.XLS";#N/A,#N/A,FALSE,"Forside ";#N/A,#N/A,FALSE,"INVEST.XLS"}</definedName>
    <definedName name="VERVER4">{#N/A,#N/A,FALSE,"mdr.XLS";"db",#N/A,FALSE,"mdr.XLS";#N/A,#N/A,FALSE,"Forside ";#N/A,#N/A,FALSE,"INVEST.XLS"}</definedName>
    <definedName name="VERVER5" localSheetId="10">{#N/A,#N/A,FALSE,"mdr.XLS";"db",#N/A,FALSE,"mdr.XLS";#N/A,#N/A,FALSE,"Forside ";#N/A,#N/A,FALSE,"INVEST.XLS"}</definedName>
    <definedName name="VERVER5">{#N/A,#N/A,FALSE,"mdr.XLS";"db",#N/A,FALSE,"mdr.XLS";#N/A,#N/A,FALSE,"Forside ";#N/A,#N/A,FALSE,"INVEST.XLS"}</definedName>
    <definedName name="vf" localSheetId="10" hidden="1">{#N/A,"PURADD",FALSE,"Business Analysis";#N/A,"PURSPP",FALSE,"Business Analysis";#N/A,"CTGIND",FALSE,"Business Analysis";#N/A,"PURCHM",FALSE,"Business Analysis";#N/A,"SPADD",FALSE,"Business Analysis";#N/A,"EPOXY",FALSE,"Business Analysis";#N/A,"PURPER",FALSE,"Business Analysis"}</definedName>
    <definedName name="vf" hidden="1">{#N/A,"PURADD",FALSE,"Business Analysis";#N/A,"PURSPP",FALSE,"Business Analysis";#N/A,"CTGIND",FALSE,"Business Analysis";#N/A,"PURCHM",FALSE,"Business Analysis";#N/A,"SPADD",FALSE,"Business Analysis";#N/A,"EPOXY",FALSE,"Business Analysis";#N/A,"PURPER",FALSE,"Business Analysis"}</definedName>
    <definedName name="vfavd" hidden="1">#REF!</definedName>
    <definedName name="vfcd" localSheetId="10" hidden="1">{"QTD",#N/A,FALSE,"SUM"}</definedName>
    <definedName name="vfcd" hidden="1">{"QTD",#N/A,FALSE,"SUM"}</definedName>
    <definedName name="vfdz" localSheetId="10" hidden="1">{"NOPCAPEVA",#N/A,FALSE,"Nopat";"FCFCSTAR",#N/A,FALSE,"FCFVAL";"EVAVL",#N/A,FALSE,"EVAVAL";"LEASE",#N/A,FALSE,"OpLease"}</definedName>
    <definedName name="vfdz" hidden="1">{"NOPCAPEVA",#N/A,FALSE,"Nopat";"FCFCSTAR",#N/A,FALSE,"FCFVAL";"EVAVL",#N/A,FALSE,"EVAVAL";"LEASE",#N/A,FALSE,"OpLease"}</definedName>
    <definedName name="vfhy" localSheetId="10" hidden="1">{"GENERALH2",#N/A,FALSE,"CM"}</definedName>
    <definedName name="vfhy" hidden="1">{"GENERALH2",#N/A,FALSE,"CM"}</definedName>
    <definedName name="vgf" localSheetId="10" hidden="1">{"GENERALH2",#N/A,FALSE,"CM"}</definedName>
    <definedName name="vgf" hidden="1">{"GENERALH2",#N/A,FALSE,"CM"}</definedName>
    <definedName name="vhfst" localSheetId="10" hidden="1">{"works expense",#N/A,FALSE,"WORKS EXPENSE"}</definedName>
    <definedName name="vhfst" hidden="1">{"works expense",#N/A,FALSE,"WORKS EXPENSE"}</definedName>
    <definedName name="Viastar" localSheetId="10">{#N/A,#N/A,FALSE,"Assumptions";#N/A,#N/A,FALSE,"N-IS-Sum";#N/A,#N/A,FALSE,"N-St-Sum";#N/A,#N/A,FALSE,"Inc Stmt";#N/A,#N/A,FALSE,"Stats"}</definedName>
    <definedName name="Viastar">{#N/A,#N/A,FALSE,"Assumptions";#N/A,#N/A,FALSE,"N-IS-Sum";#N/A,#N/A,FALSE,"N-St-Sum";#N/A,#N/A,FALSE,"Inc Stmt";#N/A,#N/A,FALSE,"Stats"}</definedName>
    <definedName name="Vintage" localSheetId="10" hidden="1">#REF!</definedName>
    <definedName name="Vintage" hidden="1">#REF!</definedName>
    <definedName name="vk" localSheetId="10" hidden="1">{"bs",#N/A,FALSE,"SCF"}</definedName>
    <definedName name="vk" hidden="1">{"bs",#N/A,FALSE,"SCF"}</definedName>
    <definedName name="vl" localSheetId="10" hidden="1">{"bs",#N/A,FALSE,"SCF"}</definedName>
    <definedName name="vl" hidden="1">{"bs",#N/A,FALSE,"SCF"}</definedName>
    <definedName name="vlooklocation" localSheetId="10">#REF!</definedName>
    <definedName name="vlooklocation">#REF!</definedName>
    <definedName name="vlookperiod" localSheetId="10">#REF!</definedName>
    <definedName name="vlookperiod">#REF!</definedName>
    <definedName name="vlw"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vlw"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vn.2" localSheetId="10" hidden="1">{#N/A,#N/A,FALSE,"KA CH  (2)"}</definedName>
    <definedName name="vn.2" hidden="1">{#N/A,#N/A,FALSE,"KA CH  (2)"}</definedName>
    <definedName name="vn.9" localSheetId="10"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bs" localSheetId="10" hidden="1">{"FCB_ALL",#N/A,FALSE,"FCB"}</definedName>
    <definedName name="vnbs" localSheetId="15" hidden="1">{"FCB_ALL",#N/A,FALSE,"FCB"}</definedName>
    <definedName name="vnbs" hidden="1">{"FCB_ALL",#N/A,FALSE,"FCB"}</definedName>
    <definedName name="vo" localSheetId="10" hidden="1">{"consolidated",#N/A,FALSE,"Sheet1";"cms",#N/A,FALSE,"Sheet1";"fse",#N/A,FALSE,"Sheet1"}</definedName>
    <definedName name="vo" localSheetId="15" hidden="1">{"consolidated",#N/A,FALSE,"Sheet1";"cms",#N/A,FALSE,"Sheet1";"fse",#N/A,FALSE,"Sheet1"}</definedName>
    <definedName name="vo" hidden="1">{"consolidated",#N/A,FALSE,"Sheet1";"cms",#N/A,FALSE,"Sheet1";"fse",#N/A,FALSE,"Sheet1"}</definedName>
    <definedName name="VoIP" localSheetId="10">{"'Staffing and  Mail Volume'!$A$1:$J$19"}</definedName>
    <definedName name="VoIP">{"'Staffing and  Mail Volume'!$A$1:$J$19"}</definedName>
    <definedName name="vqzgeqb"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qzgeqb"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r" localSheetId="10" hidden="1">{"Results Worksheets",#N/A,FALSE,"RESULTS"}</definedName>
    <definedName name="vr" hidden="1">{"Results Worksheets",#N/A,FALSE,"RESULTS"}</definedName>
    <definedName name="vsd" localSheetId="10" hidden="1">#REF!</definedName>
    <definedName name="vsd" localSheetId="9" hidden="1">#REF!</definedName>
    <definedName name="vsd" localSheetId="8" hidden="1">#REF!</definedName>
    <definedName name="vsd" localSheetId="16" hidden="1">#REF!</definedName>
    <definedName name="vsd" hidden="1">#REF!</definedName>
    <definedName name="vsdkfj" localSheetId="10" hidden="1">{"bs",#N/A,FALSE,"SCF"}</definedName>
    <definedName name="vsdkfj" hidden="1">{"bs",#N/A,FALSE,"SCF"}</definedName>
    <definedName name="vslv" localSheetId="10" hidden="1">{"bs",#N/A,FALSE,"SCF"}</definedName>
    <definedName name="vslv" hidden="1">{"bs",#N/A,FALSE,"SCF"}</definedName>
    <definedName name="vsr" localSheetId="10" hidden="1">{"FCB_ALL",#N/A,FALSE,"FCB"}</definedName>
    <definedName name="vsr" localSheetId="15" hidden="1">{"FCB_ALL",#N/A,FALSE,"FCB"}</definedName>
    <definedName name="vsr" hidden="1">{"FCB_ALL",#N/A,FALSE,"FCB"}</definedName>
    <definedName name="vtrvtr" hidden="1">#REF!</definedName>
    <definedName name="vv" localSheetId="10" hidden="1">{"cash_marc",#N/A,FALSE,"dec95cr.xls"}</definedName>
    <definedName name="vv" localSheetId="15" hidden="1">{"cash_marc",#N/A,FALSE,"dec95cr.xls"}</definedName>
    <definedName name="vv" hidden="1">{"cash_marc",#N/A,FALSE,"dec95cr.xls"}</definedName>
    <definedName name="vvcrr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localSheetId="10" hidden="1">{"'Form'!$A$2:$J$81"}</definedName>
    <definedName name="vvv" localSheetId="15" hidden="1">{"'Form'!$A$2:$J$81"}</definedName>
    <definedName name="vvv" hidden="1">{"'Form'!$A$2:$J$81"}</definedName>
    <definedName name="vvvv" localSheetId="10" hidden="1">{"DCF","UPSIDE CASE",FALSE,"Sheet1";"DCF","BASE CASE",FALSE,"Sheet1";"DCF","DOWNSIDE CASE",FALSE,"Sheet1"}</definedName>
    <definedName name="vvvv" localSheetId="15" hidden="1">{"DCF","UPSIDE CASE",FALSE,"Sheet1";"DCF","BASE CASE",FALSE,"Sheet1";"DCF","DOWNSIDE CASE",FALSE,"Sheet1"}</definedName>
    <definedName name="vvvv" hidden="1">{"DCF","UPSIDE CASE",FALSE,"Sheet1";"DCF","BASE CASE",FALSE,"Sheet1";"DCF","DOWNSIDE CASE",FALSE,"Sheet1"}</definedName>
    <definedName name="VVVVVVVVV"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VVVVVVVV"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vvvvvvvvv" localSheetId="10" hidden="1">{"net assets",#N/A,FALSE,"summary";"asset turnover",#N/A,FALSE,"summary";"orona",#N/A,FALSE,"summary"}</definedName>
    <definedName name="vvvvvvvvvv" hidden="1">{"net assets",#N/A,FALSE,"summary";"asset turnover",#N/A,FALSE,"summary";"orona",#N/A,FALSE,"summary"}</definedName>
    <definedName name="vwew32" localSheetId="10">{"Assumptions",#N/A,TRUE,"Assumptions";"Income",#N/A,TRUE,"Income";"Balance",#N/A,TRUE,"Balance"}</definedName>
    <definedName name="vwew32">{"Assumptions",#N/A,TRUE,"Assumptions";"Income",#N/A,TRUE,"Income";"Balance",#N/A,TRUE,"Balance"}</definedName>
    <definedName name="vxb" hidden="1">#REF!</definedName>
    <definedName name="vz" localSheetId="10" hidden="1">{"detail",#N/A,FALSE,"mfg";"summary",#N/A,FALSE,"mfg"}</definedName>
    <definedName name="vz" hidden="1">{"detail",#N/A,FALSE,"mfg";"summary",#N/A,FALSE,"mfg"}</definedName>
    <definedName name="VZDX"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 localSheetId="10" hidden="1">{"NOPCAPEVA",#N/A,FALSE,"Nopat";"FCFCSTAR",#N/A,FALSE,"FCFVAL";"EVAVL",#N/A,FALSE,"EVAVAL";"LEASE",#N/A,FALSE,"OpLease"}</definedName>
    <definedName name="vzdxf" hidden="1">{"NOPCAPEVA",#N/A,FALSE,"Nopat";"FCFCSTAR",#N/A,FALSE,"FCFVAL";"EVAVL",#N/A,FALSE,"EVAVAL";"LEASE",#N/A,FALSE,"OpLease"}</definedName>
    <definedName name="vzssw" localSheetId="10">{#N/A,#N/A,FALSE,"Projections";#N/A,#N/A,FALSE,"Acq Mult";#N/A,#N/A,FALSE,"TWER Mult";#N/A,#N/A,FALSE,"DCF EBITDA";#N/A,#N/A,FALSE,"DCF EBIT";#N/A,#N/A,FALSE,"Debt Accr";#N/A,#N/A,FALSE,"Stock Accr";#N/A,#N/A,FALSE,"Debt Stock Accr";#N/A,#N/A,FALSE,"Accr Dil Sensi"}</definedName>
    <definedName name="vzssw">{#N/A,#N/A,FALSE,"Projections";#N/A,#N/A,FALSE,"Acq Mult";#N/A,#N/A,FALSE,"TWER Mult";#N/A,#N/A,FALSE,"DCF EBITDA";#N/A,#N/A,FALSE,"DCF EBIT";#N/A,#N/A,FALSE,"Debt Accr";#N/A,#N/A,FALSE,"Stock Accr";#N/A,#N/A,FALSE,"Debt Stock Accr";#N/A,#N/A,FALSE,"Accr Dil Sensi"}</definedName>
    <definedName name="w" localSheetId="10">#REF!</definedName>
    <definedName name="w">#REF!</definedName>
    <definedName name="w.l" localSheetId="10"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2f" localSheetId="10"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10" hidden="1">{"QTD_OTHER",#N/A,FALSE,"QTD"}</definedName>
    <definedName name="w2r5" hidden="1">{"QTD_OTHER",#N/A,FALSE,"QTD"}</definedName>
    <definedName name="w5y2367"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5y2367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5y2367_1" hidden="1">{#N/A,#N/A,FALSE,"Projections";#N/A,#N/A,FALSE,"AccrDil";#N/A,#N/A,FALSE,"PurchPriMult";#N/A,#N/A,FALSE,"Mults7_13";#N/A,#N/A,FALSE,"Mkt Mults";#N/A,#N/A,FALSE,"Acq Mults";#N/A,#N/A,FALSE,"StockPrices";#N/A,#N/A,FALSE,"Prem Paid";#N/A,#N/A,FALSE,"DCF";#N/A,#N/A,FALSE,"AUTO";#N/A,#N/A,FALSE,"Relative Trading";#N/A,#N/A,FALSE,"Mkt Val";#N/A,#N/A,FALSE,"Acq Val"}</definedName>
    <definedName name="wa" localSheetId="10" hidden="1">{"apci",#N/A,FALSE,"Chem_CY";"eastman",#N/A,FALSE,"Eastman";"betz",#N/A,FALSE,"Betz";"great lakes",#N/A,FALSE,"Great_Lakes";"hercules",#N/A,FALSE,"Hercules Chem Seg Data";"rohm",#N/A,FALSE,"Rohm";"union carbide",#N/A,FALSE,"Union";"witco",#N/A,FALSE,"Witco"}</definedName>
    <definedName name="wa" hidden="1">{"apci",#N/A,FALSE,"Chem_CY";"eastman",#N/A,FALSE,"Eastman";"betz",#N/A,FALSE,"Betz";"great lakes",#N/A,FALSE,"Great_Lakes";"hercules",#N/A,FALSE,"Hercules Chem Seg Data";"rohm",#N/A,FALSE,"Rohm";"union carbide",#N/A,FALSE,"Union";"witco",#N/A,FALSE,"Witco"}</definedName>
    <definedName name="WACC" localSheetId="10" hidden="1">{"Pulp Production",#N/A,FALSE,"Pulp";"Pulp Earnings",#N/A,FALSE,"Pulp"}</definedName>
    <definedName name="WACC" hidden="1">{"Pulp Production",#N/A,FALSE,"Pulp";"Pulp Earnings",#N/A,FALSE,"Pulp"}</definedName>
    <definedName name="WACC_1" localSheetId="10" hidden="1">{"Pulp Production",#N/A,FALSE,"Pulp";"Pulp Earnings",#N/A,FALSE,"Pulp"}</definedName>
    <definedName name="WACC_1" hidden="1">{"Pulp Production",#N/A,FALSE,"Pulp";"Pulp Earnings",#N/A,FALSE,"Pulp"}</definedName>
    <definedName name="WACC_1_1" localSheetId="10" hidden="1">{"Pulp Production",#N/A,FALSE,"Pulp";"Pulp Earnings",#N/A,FALSE,"Pulp"}</definedName>
    <definedName name="WACC_1_1" hidden="1">{"Pulp Production",#N/A,FALSE,"Pulp";"Pulp Earnings",#N/A,FALSE,"Pulp"}</definedName>
    <definedName name="WACC_2" localSheetId="10" hidden="1">{"Pulp Production",#N/A,FALSE,"Pulp";"Pulp Earnings",#N/A,FALSE,"Pulp"}</definedName>
    <definedName name="WACC_2" hidden="1">{"Pulp Production",#N/A,FALSE,"Pulp";"Pulp Earnings",#N/A,FALSE,"Pulp"}</definedName>
    <definedName name="wae.2" localSheetId="10"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10"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fermadrid">#REF!</definedName>
    <definedName name="wafersydney">#REF!</definedName>
    <definedName name="Wages">#REF!</definedName>
    <definedName name="wahfd" localSheetId="10" hidden="1">{"TRSONLY",#N/A,FALSE,"08-SUM ";"MISCUNITS",#N/A,FALSE,"08-SUM "}</definedName>
    <definedName name="wahfd" hidden="1">{"TRSONLY",#N/A,FALSE,"08-SUM ";"MISCUNITS",#N/A,FALSE,"08-SUM "}</definedName>
    <definedName name="wan" localSheetId="10" hidden="1">{"COMBINED",#N/A,FALSE,"BALANCE SHEET 2";"KRONE",#N/A,FALSE,"BALANCE SHEET 2";"INTERSYSTEMS",#N/A,FALSE,"BALANCE SHEET 2"}</definedName>
    <definedName name="wan" localSheetId="15" hidden="1">{"COMBINED",#N/A,FALSE,"BALANCE SHEET 2";"KRONE",#N/A,FALSE,"BALANCE SHEET 2";"INTERSYSTEMS",#N/A,FALSE,"BALANCE SHEET 2"}</definedName>
    <definedName name="wan" hidden="1">{"COMBINED",#N/A,FALSE,"BALANCE SHEET 2";"KRONE",#N/A,FALSE,"BALANCE SHEET 2";"INTERSYSTEMS",#N/A,FALSE,"BALANCE SHEET 2"}</definedName>
    <definedName name="Warehouse_Exp">#REF!</definedName>
    <definedName name="warra" localSheetId="10" hidden="1">{#N/A,#N/A,FALSE,"Aging Summary";#N/A,#N/A,FALSE,"Ratio Analysis";#N/A,#N/A,FALSE,"Test 120 Day Accts";#N/A,#N/A,FALSE,"Tickmarks"}</definedName>
    <definedName name="warra" hidden="1">{#N/A,#N/A,FALSE,"Aging Summary";#N/A,#N/A,FALSE,"Ratio Analysis";#N/A,#N/A,FALSE,"Test 120 Day Accts";#N/A,#N/A,FALSE,"Tickmarks"}</definedName>
    <definedName name="was" localSheetId="10">{#N/A,#N/A,FALSE,"Sales Graph";#N/A,#N/A,FALSE,"BUC Graph";#N/A,#N/A,FALSE,"P&amp;L - YTD"}</definedName>
    <definedName name="was">{#N/A,#N/A,FALSE,"Sales Graph";#N/A,#N/A,FALSE,"BUC Graph";#N/A,#N/A,FALSE,"P&amp;L - YTD"}</definedName>
    <definedName name="Waterfall" localSheetId="10">{#N/A,#N/A,FALSE,"Assumptions";#N/A,#N/A,FALSE,"N-IS-Sum";#N/A,#N/A,FALSE,"N-St-Sum";#N/A,#N/A,FALSE,"Inc Stmt";#N/A,#N/A,FALSE,"Stats"}</definedName>
    <definedName name="Waterfall">{#N/A,#N/A,FALSE,"Assumptions";#N/A,#N/A,FALSE,"N-IS-Sum";#N/A,#N/A,FALSE,"N-St-Sum";#N/A,#N/A,FALSE,"Inc Stmt";#N/A,#N/A,FALSE,"Stats"}</definedName>
    <definedName name="wb" localSheetId="10">{#N/A,#N/A,FALSE,"Pharm";#N/A,#N/A,FALSE,"WWCM"}</definedName>
    <definedName name="wb">{#N/A,#N/A,FALSE,"Pharm";#N/A,#N/A,FALSE,"WWCM"}</definedName>
    <definedName name="wc">#REF!</definedName>
    <definedName name="WCAndAdjustments">#REF!</definedName>
    <definedName name="wcases" localSheetId="10">#REF!</definedName>
    <definedName name="wcases">#REF!</definedName>
    <definedName name="WCAverage">#REF!</definedName>
    <definedName name="wcy" localSheetId="10" hidden="1">{"YD PRS",#N/A,FALSE,"YTD"}</definedName>
    <definedName name="wcy" hidden="1">{"YD PRS",#N/A,FALSE,"YTD"}</definedName>
    <definedName name="wdsdsd" localSheetId="10" hidden="1">{"FCB_ALL",#N/A,FALSE,"FCB"}</definedName>
    <definedName name="wdsdsd" hidden="1">{"FCB_ALL",#N/A,FALSE,"FCB"}</definedName>
    <definedName name="WE" localSheetId="10" hidden="1">{#N/A,#N/A,FALSE,"COVER";#N/A,#N/A,FALSE,"Index";#N/A,#N/A,FALSE,"Non-Earning";#N/A,#N/A,FALSE,"Commercial";#N/A,#N/A,FALSE,"Detailed"}</definedName>
    <definedName name="WE" localSheetId="15" hidden="1">{#N/A,#N/A,FALSE,"COVER";#N/A,#N/A,FALSE,"Index";#N/A,#N/A,FALSE,"Non-Earning";#N/A,#N/A,FALSE,"Commercial";#N/A,#N/A,FALSE,"Detailed"}</definedName>
    <definedName name="WE" hidden="1">{#N/A,#N/A,FALSE,"COVER";#N/A,#N/A,FALSE,"Index";#N/A,#N/A,FALSE,"Non-Earning";#N/A,#N/A,FALSE,"Commercial";#N/A,#N/A,FALSE,"Detailed"}</definedName>
    <definedName name="we.3" localSheetId="10"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10"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10" hidden="1">{"QTD_LPO2N2",#N/A,FALSE,"QTD"}</definedName>
    <definedName name="we3x" hidden="1">{"QTD_LPO2N2",#N/A,FALSE,"QTD"}</definedName>
    <definedName name="weaw" localSheetId="10" hidden="1">{"YTD",#N/A,FALSE,"SUM"}</definedName>
    <definedName name="weaw" hidden="1">{"YTD",#N/A,FALSE,"SUM"}</definedName>
    <definedName name="weawe" localSheetId="10" hidden="1">{"QTD_HYCO",#N/A,FALSE,"QTD"}</definedName>
    <definedName name="weawe" hidden="1">{"QTD_HYCO",#N/A,FALSE,"QTD"}</definedName>
    <definedName name="wec"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10" hidden="1">{"QTD_PRS",#N/A,FALSE,"QTD"}</definedName>
    <definedName name="wecs" hidden="1">{"QTD_PRS",#N/A,FALSE,"QTD"}</definedName>
    <definedName name="wecsd" localSheetId="10"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10" hidden="1">{"orixcsc",#N/A,FALSE,"ORIX CSC";"orixcsc2",#N/A,FALSE,"ORIX CSC"}</definedName>
    <definedName name="wed" hidden="1">{"orixcsc",#N/A,FALSE,"ORIX CSC";"orixcsc2",#N/A,FALSE,"ORIX CSC"}</definedName>
    <definedName name="wed.2"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10" hidden="1">{"overview",#N/A,FALSE,"summary";"net assets",#N/A,FALSE,"summary";"asset turnover",#N/A,FALSE,"summary";"orona",#N/A,FALSE,"summary"}</definedName>
    <definedName name="weds" hidden="1">{"overview",#N/A,FALSE,"summary";"net assets",#N/A,FALSE,"summary";"asset turnover",#N/A,FALSE,"summary";"orona",#N/A,FALSE,"summary"}</definedName>
    <definedName name="wee" localSheetId="10" hidden="1">{#N/A,#N/A,FALSE,"KA CH  (2)"}</definedName>
    <definedName name="wee" hidden="1">{#N/A,#N/A,FALSE,"KA CH  (2)"}</definedName>
    <definedName name="WEEEEE" localSheetId="10" hidden="1">{#N/A,#N/A,FALSE,"Minors";#N/A,#N/A,FALSE,"96CAPREV"}</definedName>
    <definedName name="WEEEEE" hidden="1">{#N/A,#N/A,FALSE,"Minors";#N/A,#N/A,FALSE,"96CAPREV"}</definedName>
    <definedName name="weeky_reports2" localSheetId="10" hidden="1">{#N/A,#N/A,FALSE,"MW";#N/A,#N/A,FALSE,"NE";#N/A,#N/A,FALSE,"NW";#N/A,#N/A,FALSE,"RD";#N/A,#N/A,FALSE,"SE";#N/A,#N/A,FALSE,"SW";#N/A,#N/A,FALSE,"W"}</definedName>
    <definedName name="weeky_reports2" hidden="1">{#N/A,#N/A,FALSE,"MW";#N/A,#N/A,FALSE,"NE";#N/A,#N/A,FALSE,"NW";#N/A,#N/A,FALSE,"RD";#N/A,#N/A,FALSE,"SE";#N/A,#N/A,FALSE,"SW";#N/A,#N/A,FALSE,"W"}</definedName>
    <definedName name="weg" localSheetId="10" hidden="1">{#N/A,#N/A,FALSE,"COVER";#N/A,#N/A,FALSE,"SUMP&amp;L";#N/A,#N/A,FALSE,"SUBSP&amp;L";#N/A,#N/A,FALSE,"SALESANAL"}</definedName>
    <definedName name="weg" hidden="1">{#N/A,#N/A,FALSE,"COVER";#N/A,#N/A,FALSE,"SUMP&amp;L";#N/A,#N/A,FALSE,"SUBSP&amp;L";#N/A,#N/A,FALSE,"SALESANAL"}</definedName>
    <definedName name="weight" localSheetId="10">#REF!</definedName>
    <definedName name="weight">#REF!</definedName>
    <definedName name="weix" localSheetId="10" hidden="1">{"Comp_of_Price_Effect",#N/A,FALSE,"QTRDPVAR"}</definedName>
    <definedName name="weix" hidden="1">{"Comp_of_Price_Effect",#N/A,FALSE,"QTRDPVAR"}</definedName>
    <definedName name="wen.gb._hm." localSheetId="10"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p" localSheetId="10" hidden="1">{"oct_res_comm",#N/A,FALSE,"VarToBud"}</definedName>
    <definedName name="weop" hidden="1">{"oct_res_comm",#N/A,FALSE,"VarToBud"}</definedName>
    <definedName name="weow" hidden="1">#REF!</definedName>
    <definedName name="wer"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wer"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wer.g" localSheetId="10" hidden="1">{#N/A,#N/A,FALSE,"KA CH  (2)"}</definedName>
    <definedName name="wer.g" hidden="1">{#N/A,#N/A,FALSE,"KA CH  (2)"}</definedName>
    <definedName name="weraw" localSheetId="10" hidden="1">{"mgmt forecast",#N/A,FALSE,"Mgmt Forecast";"dcf table",#N/A,FALSE,"Mgmt Forecast";"sensitivity",#N/A,FALSE,"Mgmt Forecast";"table inputs",#N/A,FALSE,"Mgmt Forecast";"calculations",#N/A,FALSE,"Mgmt Forecast"}</definedName>
    <definedName name="weraw" hidden="1">{"mgmt forecast",#N/A,FALSE,"Mgmt Forecast";"dcf table",#N/A,FALSE,"Mgmt Forecast";"sensitivity",#N/A,FALSE,"Mgmt Forecast";"table inputs",#N/A,FALSE,"Mgmt Forecast";"calculations",#N/A,FALSE,"Mgmt Forecast"}</definedName>
    <definedName name="were" localSheetId="10" hidden="1">{"mgmt forecast",#N/A,FALSE,"Mgmt Forecast";"dcf table",#N/A,FALSE,"Mgmt Forecast";"sensitivity",#N/A,FALSE,"Mgmt Forecast";"table inputs",#N/A,FALSE,"Mgmt Forecast";"calculations",#N/A,FALSE,"Mgmt Forecast"}</definedName>
    <definedName name="were" hidden="1">{"mgmt forecast",#N/A,FALSE,"Mgmt Forecast";"dcf table",#N/A,FALSE,"Mgmt Forecast";"sensitivity",#N/A,FALSE,"Mgmt Forecast";"table inputs",#N/A,FALSE,"Mgmt Forecast";"calculations",#N/A,FALSE,"Mgmt Forecast"}</definedName>
    <definedName name="werq" localSheetId="10" hidden="1">{"NOPCAPEVA",#N/A,FALSE,"Nopat";"FCFCSTAR",#N/A,FALSE,"FCFVAL";"EVAVL",#N/A,FALSE,"EVAVAL";"LEASE",#N/A,FALSE,"OpLease"}</definedName>
    <definedName name="werq" hidden="1">{"NOPCAPEVA",#N/A,FALSE,"Nopat";"FCFCSTAR",#N/A,FALSE,"FCFVAL";"EVAVL",#N/A,FALSE,"EVAVAL";"LEASE",#N/A,FALSE,"OpLease"}</definedName>
    <definedName name="werrr" localSheetId="10">{#N/A,#N/A,FALSE,"Pharm";#N/A,#N/A,FALSE,"WWCM"}</definedName>
    <definedName name="werrr">{#N/A,#N/A,FALSE,"Pharm";#N/A,#N/A,FALSE,"WWCM"}</definedName>
    <definedName name="wert" localSheetId="10" hidden="1">{#N/A,"PURADD",FALSE,"Business Analysis";#N/A,"PURSPP",FALSE,"Business Analysis";#N/A,"CTGIND",FALSE,"Business Analysis";#N/A,"PURCHM",FALSE,"Business Analysis";#N/A,"SPADD",FALSE,"Business Analysis";#N/A,"EPOXY",FALSE,"Business Analysis";#N/A,"PURPER",FALSE,"Business Analysis"}</definedName>
    <definedName name="wert" hidden="1">{#N/A,"PURADD",FALSE,"Business Analysis";#N/A,"PURSPP",FALSE,"Business Analysis";#N/A,"CTGIND",FALSE,"Business Analysis";#N/A,"PURCHM",FALSE,"Business Analysis";#N/A,"SPADD",FALSE,"Business Analysis";#N/A,"EPOXY",FALSE,"Business Analysis";#N/A,"PURPER",FALSE,"Business Analysis"}</definedName>
    <definedName name="werwe"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erwe_1" hidden="1">{#N/A,#N/A,FALSE,"Projections";#N/A,#N/A,FALSE,"AccrDil";#N/A,#N/A,FALSE,"PurchPriMult";#N/A,#N/A,FALSE,"Mults7_13";#N/A,#N/A,FALSE,"Mkt Mults";#N/A,#N/A,FALSE,"Acq Mults";#N/A,#N/A,FALSE,"StockPrices";#N/A,#N/A,FALSE,"Prem Paid";#N/A,#N/A,FALSE,"DCF";#N/A,#N/A,FALSE,"AUTO";#N/A,#N/A,FALSE,"Relative Trading";#N/A,#N/A,FALSE,"Mkt Val";#N/A,#N/A,FALSE,"Acq Val"}</definedName>
    <definedName name="wesarasfdfdfds" localSheetId="10" hidden="1">{"e_Target Assumptions",#N/A,FALSE,"Financials";"f_Target Income Statement",#N/A,FALSE,"Financials";"g_Target Balance Sheet",#N/A,FALSE,"Financials";"h_Target Cashflow Statement",#N/A,FALSE,"Financials"}</definedName>
    <definedName name="wesarasfdfdfds" hidden="1">{"e_Target Assumptions",#N/A,FALSE,"Financials";"f_Target Income Statement",#N/A,FALSE,"Financials";"g_Target Balance Sheet",#N/A,FALSE,"Financials";"h_Target Cashflow Statement",#N/A,FALSE,"Financials"}</definedName>
    <definedName name="wesarasfdfdfds_1" localSheetId="10" hidden="1">{"e_Target Assumptions",#N/A,FALSE,"Financials";"f_Target Income Statement",#N/A,FALSE,"Financials";"g_Target Balance Sheet",#N/A,FALSE,"Financials";"h_Target Cashflow Statement",#N/A,FALSE,"Financials"}</definedName>
    <definedName name="wesarasfdfdfds_1" hidden="1">{"e_Target Assumptions",#N/A,FALSE,"Financials";"f_Target Income Statement",#N/A,FALSE,"Financials";"g_Target Balance Sheet",#N/A,FALSE,"Financials";"h_Target Cashflow Statement",#N/A,FALSE,"Financials"}</definedName>
    <definedName name="wesarasfdfdfds_1_1" localSheetId="10" hidden="1">{"e_Target Assumptions",#N/A,FALSE,"Financials";"f_Target Income Statement",#N/A,FALSE,"Financials";"g_Target Balance Sheet",#N/A,FALSE,"Financials";"h_Target Cashflow Statement",#N/A,FALSE,"Financials"}</definedName>
    <definedName name="wesarasfdfdfds_1_1" hidden="1">{"e_Target Assumptions",#N/A,FALSE,"Financials";"f_Target Income Statement",#N/A,FALSE,"Financials";"g_Target Balance Sheet",#N/A,FALSE,"Financials";"h_Target Cashflow Statement",#N/A,FALSE,"Financials"}</definedName>
    <definedName name="wesarasfdfdfds_2" localSheetId="10" hidden="1">{"e_Target Assumptions",#N/A,FALSE,"Financials";"f_Target Income Statement",#N/A,FALSE,"Financials";"g_Target Balance Sheet",#N/A,FALSE,"Financials";"h_Target Cashflow Statement",#N/A,FALSE,"Financials"}</definedName>
    <definedName name="wesarasfdfdfds_2" hidden="1">{"e_Target Assumptions",#N/A,FALSE,"Financials";"f_Target Income Statement",#N/A,FALSE,"Financials";"g_Target Balance Sheet",#N/A,FALSE,"Financials";"h_Target Cashflow Statement",#N/A,FALSE,"Financials"}</definedName>
    <definedName name="Westburne" localSheetId="10">{#N/A,#N/A,FALSE,"Projections";#N/A,#N/A,FALSE,"Multiples Valuation";#N/A,#N/A,FALSE,"LBO";#N/A,#N/A,FALSE,"Multiples_Sensitivity";#N/A,#N/A,FALSE,"Summary"}</definedName>
    <definedName name="Westburne">{#N/A,#N/A,FALSE,"Projections";#N/A,#N/A,FALSE,"Multiples Valuation";#N/A,#N/A,FALSE,"LBO";#N/A,#N/A,FALSE,"Multiples_Sensitivity";#N/A,#N/A,FALSE,"Summary"}</definedName>
    <definedName name="wew" localSheetId="10" hidden="1">{#N/A,#N/A,FALSE,"P&amp;L";#N/A,#N/A,FALSE,"BalSheet";#N/A,#N/A,FALSE,"EBITDA";#N/A,#N/A,FALSE,"Assumptions";#N/A,#N/A,FALSE,"CashFlows"}</definedName>
    <definedName name="wew" hidden="1">{#N/A,#N/A,FALSE,"P&amp;L";#N/A,#N/A,FALSE,"BalSheet";#N/A,#N/A,FALSE,"EBITDA";#N/A,#N/A,FALSE,"Assumptions";#N/A,#N/A,FALSE,"CashFlows"}</definedName>
    <definedName name="wew_1" localSheetId="10" hidden="1">{#N/A,#N/A,FALSE,"P&amp;L";#N/A,#N/A,FALSE,"BalSheet";#N/A,#N/A,FALSE,"EBITDA";#N/A,#N/A,FALSE,"Assumptions";#N/A,#N/A,FALSE,"CashFlows"}</definedName>
    <definedName name="wew_1" hidden="1">{#N/A,#N/A,FALSE,"P&amp;L";#N/A,#N/A,FALSE,"BalSheet";#N/A,#N/A,FALSE,"EBITDA";#N/A,#N/A,FALSE,"Assumptions";#N/A,#N/A,FALSE,"CashFlows"}</definedName>
    <definedName name="wewe" localSheetId="10" hidden="1">{"LOUISIANA",#N/A,FALSE,"CM"}</definedName>
    <definedName name="wewe" hidden="1">{"LOUISIANA",#N/A,FALSE,"CM"}</definedName>
    <definedName name="wewew" localSheetId="10" hidden="1">{#N/A,#N/A,FALSE,"P&amp;L";#N/A,#N/A,FALSE,"BalSheet";#N/A,#N/A,FALSE,"EBITDA";#N/A,#N/A,FALSE,"Assumptions";#N/A,#N/A,FALSE,"CashFlows"}</definedName>
    <definedName name="wewew" hidden="1">{#N/A,#N/A,FALSE,"P&amp;L";#N/A,#N/A,FALSE,"BalSheet";#N/A,#N/A,FALSE,"EBITDA";#N/A,#N/A,FALSE,"Assumptions";#N/A,#N/A,FALSE,"CashFlows"}</definedName>
    <definedName name="wewew_1" localSheetId="10" hidden="1">{#N/A,#N/A,FALSE,"P&amp;L";#N/A,#N/A,FALSE,"BalSheet";#N/A,#N/A,FALSE,"EBITDA";#N/A,#N/A,FALSE,"Assumptions";#N/A,#N/A,FALSE,"CashFlows"}</definedName>
    <definedName name="wewew_1" hidden="1">{#N/A,#N/A,FALSE,"P&amp;L";#N/A,#N/A,FALSE,"BalSheet";#N/A,#N/A,FALSE,"EBITDA";#N/A,#N/A,FALSE,"Assumptions";#N/A,#N/A,FALSE,"CashFlows"}</definedName>
    <definedName name="wews" localSheetId="10" hidden="1">{"pro_view",#N/A,FALSE,"EEFSNAP2";"rep_view",#N/A,FALSE,"EEFSNAP2"}</definedName>
    <definedName name="wews" hidden="1">{"pro_view",#N/A,FALSE,"EEFSNAP2";"rep_view",#N/A,FALSE,"EEFSNAP2"}</definedName>
    <definedName name="weza" localSheetId="10" hidden="1">{"QTD_PACKAGE",#N/A,FALSE,"QTD"}</definedName>
    <definedName name="weza" hidden="1">{"QTD_PACKAGE",#N/A,FALSE,"QTD"}</definedName>
    <definedName name="weze" localSheetId="10"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10" hidden="1">{"YD PACKAGE",#N/A,FALSE,"YTD"}</definedName>
    <definedName name="wezf" hidden="1">{"YD PACKAGE",#N/A,FALSE,"YTD"}</definedName>
    <definedName name="what" localSheetId="10">#REF!</definedName>
    <definedName name="what">#REF!</definedName>
    <definedName name="WHATEVER"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localSheetId="10">{#N/A,#N/A,FALSE,"Summary";#N/A,#N/A,FALSE,"Projections";#N/A,#N/A,FALSE,"Mkt Mults";#N/A,#N/A,FALSE,"DCF";#N/A,#N/A,FALSE,"Accr Dil";#N/A,#N/A,FALSE,"PIC LBO";#N/A,#N/A,FALSE,"MULT10_4";#N/A,#N/A,FALSE,"CBI LBO"}</definedName>
    <definedName name="whatisthis">{#N/A,#N/A,FALSE,"Summary";#N/A,#N/A,FALSE,"Projections";#N/A,#N/A,FALSE,"Mkt Mults";#N/A,#N/A,FALSE,"DCF";#N/A,#N/A,FALSE,"Accr Dil";#N/A,#N/A,FALSE,"PIC LBO";#N/A,#N/A,FALSE,"MULT10_4";#N/A,#N/A,FALSE,"CBI LBO"}</definedName>
    <definedName name="whatisthissss" localSheetId="10">{#N/A,#N/A,FALSE,"IPO";#N/A,#N/A,FALSE,"DCF";#N/A,#N/A,FALSE,"LBO";#N/A,#N/A,FALSE,"MULT_VAL";#N/A,#N/A,FALSE,"Status Quo";#N/A,#N/A,FALSE,"Recap"}</definedName>
    <definedName name="whatisthissss">{#N/A,#N/A,FALSE,"IPO";#N/A,#N/A,FALSE,"DCF";#N/A,#N/A,FALSE,"LBO";#N/A,#N/A,FALSE,"MULT_VAL";#N/A,#N/A,FALSE,"Status Quo";#N/A,#N/A,FALSE,"Recap"}</definedName>
    <definedName name="whatisthisssss" localSheetId="10">{#N/A,#N/A,FALSE,"Summary";#N/A,#N/A,FALSE,"Projections";#N/A,#N/A,FALSE,"Mkt Mults";#N/A,#N/A,FALSE,"DCF";#N/A,#N/A,FALSE,"Accr Dil";#N/A,#N/A,FALSE,"PIC LBO";#N/A,#N/A,FALSE,"MULT10_4";#N/A,#N/A,FALSE,"CBI LBO"}</definedName>
    <definedName name="whatisthisssss">{#N/A,#N/A,FALSE,"Summary";#N/A,#N/A,FALSE,"Projections";#N/A,#N/A,FALSE,"Mkt Mults";#N/A,#N/A,FALSE,"DCF";#N/A,#N/A,FALSE,"Accr Dil";#N/A,#N/A,FALSE,"PIC LBO";#N/A,#N/A,FALSE,"MULT10_4";#N/A,#N/A,FALSE,"CBI LBO"}</definedName>
    <definedName name="whoknows" localSheetId="10" hidden="1">{#N/A,#N/A,FALSE,"Aging Summary";#N/A,#N/A,FALSE,"Ratio Analysis";#N/A,#N/A,FALSE,"Test 120 Day Accts";#N/A,#N/A,FALSE,"Tickmarks"}</definedName>
    <definedName name="whoknows" hidden="1">{#N/A,#N/A,FALSE,"Aging Summary";#N/A,#N/A,FALSE,"Ratio Analysis";#N/A,#N/A,FALSE,"Test 120 Day Accts";#N/A,#N/A,FALSE,"Tickmarks"}</definedName>
    <definedName name="whoknows23" localSheetId="10" hidden="1">{#N/A,#N/A,FALSE,"Aging Summary";#N/A,#N/A,FALSE,"Ratio Analysis";#N/A,#N/A,FALSE,"Test 120 Day Accts";#N/A,#N/A,FALSE,"Tickmarks"}</definedName>
    <definedName name="whoknows23" hidden="1">{#N/A,#N/A,FALSE,"Aging Summary";#N/A,#N/A,FALSE,"Ratio Analysis";#N/A,#N/A,FALSE,"Test 120 Day Accts";#N/A,#N/A,FALSE,"Tickmarks"}</definedName>
    <definedName name="whoknowsagain14" localSheetId="10" hidden="1">{"PAGE1",#N/A,FALSE,"BID (3)";"PAGE2",#N/A,FALSE,"BID (3)"}</definedName>
    <definedName name="whoknowsagain14" hidden="1">{"PAGE1",#N/A,FALSE,"BID (3)";"PAGE2",#N/A,FALSE,"BID (3)"}</definedName>
    <definedName name="whoknowsagain4" localSheetId="10" hidden="1">{"PAGE1",#N/A,FALSE,"BID (3)";"PAGE2",#N/A,FALSE,"BID (3)"}</definedName>
    <definedName name="whoknowsagain4" hidden="1">{"PAGE1",#N/A,FALSE,"BID (3)";"PAGE2",#N/A,FALSE,"BID (3)"}</definedName>
    <definedName name="whtrst" hidden="1">#REF!</definedName>
    <definedName name="william" localSheetId="10">{#N/A,#N/A,FALSE,"Projections";#N/A,#N/A,FALSE,"AccrDil";#N/A,#N/A,FALSE,"PurchPriMult";#N/A,#N/A,FALSE,"Mults7_13";#N/A,#N/A,FALSE,"Mkt Mults";#N/A,#N/A,FALSE,"Acq Mults";#N/A,#N/A,FALSE,"StockPrices";#N/A,#N/A,FALSE,"Prem Paid";#N/A,#N/A,FALSE,"DCF";#N/A,#N/A,FALSE,"AUTO";#N/A,#N/A,FALSE,"Relative Trading";#N/A,#N/A,FALSE,"Mkt Val";#N/A,#N/A,FALSE,"Acq Val"}</definedName>
    <definedName name="william">{#N/A,#N/A,FALSE,"Projections";#N/A,#N/A,FALSE,"AccrDil";#N/A,#N/A,FALSE,"PurchPriMult";#N/A,#N/A,FALSE,"Mults7_13";#N/A,#N/A,FALSE,"Mkt Mults";#N/A,#N/A,FALSE,"Acq Mults";#N/A,#N/A,FALSE,"StockPrices";#N/A,#N/A,FALSE,"Prem Paid";#N/A,#N/A,FALSE,"DCF";#N/A,#N/A,FALSE,"AUTO";#N/A,#N/A,FALSE,"Relative Trading";#N/A,#N/A,FALSE,"Mkt Val";#N/A,#N/A,FALSE,"Acq Val"}</definedName>
    <definedName name="willie" localSheetId="10" hidden="1">{#N/A,#N/A,FALSE,"Bakersfield PCs";#N/A,#N/A,FALSE,"Bremer PCs";#N/A,#N/A,FALSE,"Bakersfield Notebooks"}</definedName>
    <definedName name="willie" hidden="1">{#N/A,#N/A,FALSE,"Bakersfield PCs";#N/A,#N/A,FALSE,"Bremer PCs";#N/A,#N/A,FALSE,"Bakersfield Notebooks"}</definedName>
    <definedName name="win" localSheetId="10">{#N/A,#N/A,FALSE,"HVAC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win">{#N/A,#N/A,FALSE,"HVAC CONSOLIDATED";#N/A,#N/A,FALSE,"ALCO";#N/A,#N/A,FALSE,"VALYCONTROL CONSOLIDATED";#N/A,#N/A,FALSE,"COPELAND CONSOLIDATED";#N/A,#N/A,FALSE,"COPELAND AIR CONDITIONING";#N/A,#N/A,FALSE,"ALLIANCE";#N/A,#N/A,FALSE,"COPELAND EUROPE";#N/A,#N/A,FALSE,"COPELAND INTERNATIONAL";#N/A,#N/A,FALSE,"COPELAND REFRIGERATION";#N/A,#N/A,FALSE,"CPC";#N/A,#N/A,FALSE,"EMD-HERMETIC";#N/A,#N/A,FALSE,"FUSITE";#N/A,#N/A,FALSE,"WHITE-RODGERS";#N/A,#N/A,FALSE,"GENERAL CONTROLS"}</definedName>
    <definedName name="WIPVar" localSheetId="10" hidden="1">{"PL",#N/A,TRUE,"MOFS";"BS",#N/A,TRUE,"MOFS";"CF",#N/A,TRUE,"MOFS"}</definedName>
    <definedName name="WIPVar" hidden="1">{"PL",#N/A,TRUE,"MOFS";"BS",#N/A,TRUE,"MOFS";"CF",#N/A,TRUE,"MOFS"}</definedName>
    <definedName name="wke" localSheetId="10" hidden="1">{#N/A,#N/A,FALSE,"FRANCE MONTH DETAIL  FFR";#N/A,#N/A,FALSE,"FRANCE MONTH DETAIL  NLG";#N/A,#N/A,FALSE,"FRANCE YTD  DETAIL FFR";#N/A,#N/A,FALSE,"FRANCE YTD  DETAIL NLG"}</definedName>
    <definedName name="wke" hidden="1">{#N/A,#N/A,FALSE,"FRANCE MONTH DETAIL  FFR";#N/A,#N/A,FALSE,"FRANCE MONTH DETAIL  NLG";#N/A,#N/A,FALSE,"FRANCE YTD  DETAIL FFR";#N/A,#N/A,FALSE,"FRANCE YTD  DETAIL NLG"}</definedName>
    <definedName name="wlll" localSheetId="10" hidden="1">{"bs",#N/A,FALSE,"SCF"}</definedName>
    <definedName name="wlll" hidden="1">{"bs",#N/A,FALSE,"SCF"}</definedName>
    <definedName name="woi" localSheetId="10" hidden="1">{"detail",#N/A,FALSE,"mfg";"summary",#N/A,FALSE,"mfg"}</definedName>
    <definedName name="woi" hidden="1">{"detail",#N/A,FALSE,"mfg";"summary",#N/A,FALSE,"mfg"}</definedName>
    <definedName name="womxien" localSheetId="10" hidden="1">{"detail",#N/A,FALSE,"mfg";"summary",#N/A,FALSE,"mfg"}</definedName>
    <definedName name="womxien" hidden="1">{"detail",#N/A,FALSE,"mfg";"summary",#N/A,FALSE,"mfg"}</definedName>
    <definedName name="Woods" localSheetId="10" hidden="1">#REF!</definedName>
    <definedName name="Woods" localSheetId="9" hidden="1">#REF!</definedName>
    <definedName name="Woods" localSheetId="8" hidden="1">#REF!</definedName>
    <definedName name="Woods" localSheetId="16" hidden="1">#REF!</definedName>
    <definedName name="Woods" hidden="1">#REF!</definedName>
    <definedName name="wop" localSheetId="10"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p_1" localSheetId="10" hidden="1">{#N/A,#N/A,FALSE,"Title";#N/A,#N/A,FALSE,"Index";#N/A,#N/A,FALSE,"1";#N/A,#N/A,FALSE,"2";#N/A,#N/A,FALSE,"3";#N/A,#N/A,FALSE,"4";#N/A,#N/A,FALSE,"5";#N/A,#N/A,FALSE,"5A";#N/A,#N/A,FALSE,"6";#N/A,#N/A,FALSE,"7";#N/A,#N/A,FALSE,"8"}</definedName>
    <definedName name="wop_1" hidden="1">{#N/A,#N/A,FALSE,"Title";#N/A,#N/A,FALSE,"Index";#N/A,#N/A,FALSE,"1";#N/A,#N/A,FALSE,"2";#N/A,#N/A,FALSE,"3";#N/A,#N/A,FALSE,"4";#N/A,#N/A,FALSE,"5";#N/A,#N/A,FALSE,"5A";#N/A,#N/A,FALSE,"6";#N/A,#N/A,FALSE,"7";#N/A,#N/A,FALSE,"8"}</definedName>
    <definedName name="work" localSheetId="10">{#N/A,#N/A,FALSE,"COVER";#N/A,#N/A,FALSE,"SUMMARY";#N/A,#N/A,FALSE,"INCOME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ork">{#N/A,#N/A,FALSE,"COVER";#N/A,#N/A,FALSE,"SUMMARY";#N/A,#N/A,FALSE,"INCOME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orking" localSheetId="10">{#N/A,#N/A,FALSE,"REPORT"}</definedName>
    <definedName name="working">{#N/A,#N/A,FALSE,"REPORT"}</definedName>
    <definedName name="WorkingCapitalAdjusted">#REF!</definedName>
    <definedName name="WORKSHEET">#REF!</definedName>
    <definedName name="woweowo" localSheetId="10" hidden="1">{#N/A,#N/A,FALSE,"COVER";#N/A,#N/A,FALSE,"SUMP&amp;L";#N/A,#N/A,FALSE,"SUBSP&amp;L";#N/A,#N/A,FALSE,"SALESANAL"}</definedName>
    <definedName name="woweowo" hidden="1">{#N/A,#N/A,FALSE,"COVER";#N/A,#N/A,FALSE,"SUMP&amp;L";#N/A,#N/A,FALSE,"SUBSP&amp;L";#N/A,#N/A,FALSE,"SALESANAL"}</definedName>
    <definedName name="wq" localSheetId="10">{"PRS",#N/A,FALSE,"CM"}</definedName>
    <definedName name="wq">{"PRS",#N/A,FALSE,"CM"}</definedName>
    <definedName name="wqa" localSheetId="10" hidden="1">{#N/A,"PURCHM",FALSE,"Business Analysis";#N/A,"SPADD",FALSE,"Business Analysis"}</definedName>
    <definedName name="wqa" hidden="1">{#N/A,"PURCHM",FALSE,"Business Analysis";#N/A,"SPADD",FALSE,"Business Analysis"}</definedName>
    <definedName name="wqc" localSheetId="10" hidden="1">{"ACT",#N/A,FALSE,"Q3Elec P&amp;L fy 99  ";"BUD",#N/A,FALSE,"Q3Elec P&amp;L fy 99  ";"PRIOR",#N/A,FALSE,"Q3Elec P&amp;L fy 99  "}</definedName>
    <definedName name="wqc" hidden="1">{"ACT",#N/A,FALSE,"Q3Elec P&amp;L fy 99  ";"BUD",#N/A,FALSE,"Q3Elec P&amp;L fy 99  ";"PRIOR",#N/A,FALSE,"Q3Elec P&amp;L fy 99  "}</definedName>
    <definedName name="wqd" localSheetId="10" hidden="1">{"OTHER",#N/A,FALSE,"CM"}</definedName>
    <definedName name="wqd" hidden="1">{"OTHER",#N/A,FALSE,"CM"}</definedName>
    <definedName name="wqeq" localSheetId="10" hidden="1">{"Commentary",#N/A,FALSE,"May"}</definedName>
    <definedName name="wqeq" hidden="1">{"Commentary",#N/A,FALSE,"May"}</definedName>
    <definedName name="wqer" localSheetId="10"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wq" localSheetId="10" hidden="1">{"BA detail",#N/A,FALSE,"Q3YTD "}</definedName>
    <definedName name="wqwq" hidden="1">{"BA detail",#N/A,FALSE,"Q3YTD "}</definedName>
    <definedName name="wqwt" localSheetId="10">{#N/A,#N/A,FALSE,"Projections";#N/A,#N/A,FALSE,"Contribution_Stock";#N/A,#N/A,FALSE,"PF_Combo_Stock";#N/A,#N/A,FALSE,"Projections";#N/A,#N/A,FALSE,"Contribution_Cash";#N/A,#N/A,FALSE,"PF_Combo_Cash";#N/A,#N/A,FALSE,"IPO_Cash"}</definedName>
    <definedName name="wqwt">{#N/A,#N/A,FALSE,"Projections";#N/A,#N/A,FALSE,"Contribution_Stock";#N/A,#N/A,FALSE,"PF_Combo_Stock";#N/A,#N/A,FALSE,"Projections";#N/A,#N/A,FALSE,"Contribution_Cash";#N/A,#N/A,FALSE,"PF_Combo_Cash";#N/A,#N/A,FALSE,"IPO_Cash"}</definedName>
    <definedName name="wqx" localSheetId="10" hidden="1">{"Comp_of_Price_Effect",#N/A,FALSE,"QTRDPVAR"}</definedName>
    <definedName name="wqx" hidden="1">{"Comp_of_Price_Effect",#N/A,FALSE,"QTRDPVAR"}</definedName>
    <definedName name="wr34ar" localSheetId="10" hidden="1">{"QTD_LOUISIANA",#N/A,FALSE,"QTD"}</definedName>
    <definedName name="wr34ar" hidden="1">{"QTD_LOUISIANA",#N/A,FALSE,"QTD"}</definedName>
    <definedName name="wradw" localSheetId="10"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10" hidden="1">{#N/A,#N/A,FALSE,"TECH CENTRE RXDU66";#N/A,#N/A,FALSE,"ASU VAAX66";#N/A,#N/A,FALSE,"TCM VAKX66"}</definedName>
    <definedName name="wrc" hidden="1">{#N/A,#N/A,FALSE,"TECH CENTRE RXDU66";#N/A,#N/A,FALSE,"ASU VAAX66";#N/A,#N/A,FALSE,"TCM VAKX66"}</definedName>
    <definedName name="wrd" localSheetId="10" hidden="1">{#N/A,#N/A,FALSE,"INPUTS";#N/A,#N/A,FALSE,"PROFORMA BSHEET";#N/A,#N/A,FALSE,"COMBINED";#N/A,#N/A,FALSE,"HIGH YIELD";#N/A,#N/A,FALSE,"COMB_GRAPHS"}</definedName>
    <definedName name="wrd" localSheetId="15" hidden="1">{#N/A,#N/A,FALSE,"INPUTS";#N/A,#N/A,FALSE,"PROFORMA BSHEET";#N/A,#N/A,FALSE,"COMBINED";#N/A,#N/A,FALSE,"HIGH YIELD";#N/A,#N/A,FALSE,"COMB_GRAPHS"}</definedName>
    <definedName name="wrd" hidden="1">{#N/A,#N/A,FALSE,"INPUTS";#N/A,#N/A,FALSE,"PROFORMA BSHEET";#N/A,#N/A,FALSE,"COMBINED";#N/A,#N/A,FALSE,"HIGH YIELD";#N/A,#N/A,FALSE,"COMB_GRAPHS"}</definedName>
    <definedName name="wrd.2._.pagers.3" localSheetId="10">{"Cover",#N/A,FALSE,"Cover";"Summary",#N/A,FALSE,"Summarpage"}</definedName>
    <definedName name="wrd.2._.pagers.3">{"Cover",#N/A,FALSE,"Cover";"Summary",#N/A,FALSE,"Summarpage"}</definedName>
    <definedName name="wrd.2._.pagers.3_1" localSheetId="10" hidden="1">{"Cover",#N/A,FALSE,"Cover";"Summary",#N/A,FALSE,"Summarpage"}</definedName>
    <definedName name="wrd.2._.pagers.3_1" hidden="1">{"Cover",#N/A,FALSE,"Cover";"Summary",#N/A,FALSE,"Summarpage"}</definedName>
    <definedName name="wrd.2._.pagers.3_1_1" localSheetId="10" hidden="1">{"Cover",#N/A,FALSE,"Cover";"Summary",#N/A,FALSE,"Summarpage"}</definedName>
    <definedName name="wrd.2._.pagers.3_1_1" hidden="1">{"Cover",#N/A,FALSE,"Cover";"Summary",#N/A,FALSE,"Summarpage"}</definedName>
    <definedName name="wrd.2._.pagers.3_2" localSheetId="10" hidden="1">{"Cover",#N/A,FALSE,"Cover";"Summary",#N/A,FALSE,"Summarpage"}</definedName>
    <definedName name="wrd.2._.pagers.3_2" hidden="1">{"Cover",#N/A,FALSE,"Cover";"Summary",#N/A,FALSE,"Summarpage"}</definedName>
    <definedName name="wrewrw" localSheetId="10"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10" hidden="1">{#N/A,"PURCHM",FALSE,"Business Analysis";#N/A,"SPADD",FALSE,"Business Analysis"}</definedName>
    <definedName name="wrf" hidden="1">{#N/A,"PURCHM",FALSE,"Business Analysis";#N/A,"SPADD",FALSE,"Business Analysis"}</definedName>
    <definedName name="wrm.pucspaddq2" localSheetId="10" hidden="1">{#N/A,"PURCHM",FALSE,"Business Analysis";#N/A,"SPADD",FALSE,"Business Analysis"}</definedName>
    <definedName name="wrm.pucspaddq2" hidden="1">{#N/A,"PURCHM",FALSE,"Business Analysis";#N/A,"SPADD",FALSE,"Business Analysis"}</definedName>
    <definedName name="wrn" localSheetId="10" hidden="1">{"FCB_ALL",#N/A,FALSE,"FCB"}</definedName>
    <definedName name="wrn" localSheetId="15" hidden="1">{"FCB_ALL",#N/A,FALSE,"FCB"}</definedName>
    <definedName name="wrn" hidden="1">{"FCB_ALL",#N/A,FALSE,"FCB"}</definedName>
    <definedName name="wrn.09BASIC." localSheetId="10" hidden="1">{"YTDONLY",#N/A,FALSE,"09-SUM  ";"REGULAR1",#N/A,FALSE,"09-SUM  "}</definedName>
    <definedName name="wrn.09BASIC." hidden="1">{"YTDONLY",#N/A,FALSE,"09-SUM  ";"REGULAR1",#N/A,FALSE,"09-SUM  "}</definedName>
    <definedName name="wrn.09BASICv2" localSheetId="10" hidden="1">{"YTDONLY",#N/A,FALSE,"09-SUM  ";"REGULAR1",#N/A,FALSE,"09-SUM  "}</definedName>
    <definedName name="wrn.09BASICv2" hidden="1">{"YTDONLY",#N/A,FALSE,"09-SUM  ";"REGULAR1",#N/A,FALSE,"09-SUM  "}</definedName>
    <definedName name="wrn.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0" hidden="1">{#N/A,#N/A,FALSE,"Calc";#N/A,#N/A,FALSE,"Sensitivity";#N/A,#N/A,FALSE,"LT Earn.Dil.";#N/A,#N/A,FALSE,"Dil. AVP"}</definedName>
    <definedName name="wrn.1." localSheetId="15" hidden="1">{#N/A,#N/A,FALSE,"Calc";#N/A,#N/A,FALSE,"Sensitivity";#N/A,#N/A,FALSE,"LT Earn.Dil.";#N/A,#N/A,FALSE,"Dil. AVP"}</definedName>
    <definedName name="wrn.1." hidden="1">{#N/A,#N/A,FALSE,"Calc";#N/A,#N/A,FALSE,"Sensitivity";#N/A,#N/A,FALSE,"LT Earn.Dil.";#N/A,#N/A,FALSE,"Dil. AVP"}</definedName>
    <definedName name="wrn.1._1" localSheetId="10"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1_1" localSheetId="10" hidden="1">{"cover",#N/A,TRUE,"Cover";"toc1",#N/A,TRUE,"TOC";"ts1",#N/A,TRUE,"Transaction Summary";"ei",#N/A,TRUE,"Earnings Impact";"ad",#N/A,TRUE,"accretion dilution"}</definedName>
    <definedName name="wrn.1._1_1" hidden="1">{"cover",#N/A,TRUE,"Cover";"toc1",#N/A,TRUE,"TOC";"ts1",#N/A,TRUE,"Transaction Summary";"ei",#N/A,TRUE,"Earnings Impact";"ad",#N/A,TRUE,"accretion dilution"}</definedName>
    <definedName name="wrn.1._2" localSheetId="10"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0." localSheetId="10">{"cover",#N/A,TRUE,"Cover";"toc3",#N/A,TRUE,"TOC";"over",#N/A,TRUE,"Overview";"ts2",#N/A,TRUE,"Det_Trans_Sum";"ei1c",#N/A,TRUE,"Earnings Impact";"ad1",#N/A,TRUE,"accretion dilution";"pfis1",#N/A,TRUE,"Pro Forma Income Statement";"acq1c",#N/A,TRUE,"Acquirer";"tar1c",#N/A,TRUE,"Target"}</definedName>
    <definedName name="wrn.10.">{"cover",#N/A,TRUE,"Cover";"toc3",#N/A,TRUE,"TOC";"over",#N/A,TRUE,"Overview";"ts2",#N/A,TRUE,"Det_Trans_Sum";"ei1c",#N/A,TRUE,"Earnings Impact";"ad1",#N/A,TRUE,"accretion dilution";"pfis1",#N/A,TRUE,"Pro Forma Income Statement";"acq1c",#N/A,TRUE,"Acquirer";"tar1c",#N/A,TRUE,"Target"}</definedName>
    <definedName name="wrn.10._1" localSheetId="10" hidden="1">{"cover",#N/A,TRUE,"Cover";"toc3",#N/A,TRUE,"TOC";"over",#N/A,TRUE,"Overview";"ts2",#N/A,TRUE,"Det_Trans_Sum";"ei1c",#N/A,TRUE,"Earnings Impact";"ad1",#N/A,TRUE,"accretion dilution";"pfis1",#N/A,TRUE,"Pro Forma Income Statement";"acq1c",#N/A,TRUE,"Acquirer";"tar1c",#N/A,TRUE,"Target"}</definedName>
    <definedName name="wrn.10._1" hidden="1">{"cover",#N/A,TRUE,"Cover";"toc3",#N/A,TRUE,"TOC";"over",#N/A,TRUE,"Overview";"ts2",#N/A,TRUE,"Det_Trans_Sum";"ei1c",#N/A,TRUE,"Earnings Impact";"ad1",#N/A,TRUE,"accretion dilution";"pfis1",#N/A,TRUE,"Pro Forma Income Statement";"acq1c",#N/A,TRUE,"Acquirer";"tar1c",#N/A,TRUE,"Target"}</definedName>
    <definedName name="wrn.10._1_1" localSheetId="10" hidden="1">{"cover",#N/A,TRUE,"Cover";"toc3",#N/A,TRUE,"TOC";"over",#N/A,TRUE,"Overview";"ts2",#N/A,TRUE,"Det_Trans_Sum";"ei1c",#N/A,TRUE,"Earnings Impact";"ad1",#N/A,TRUE,"accretion dilution";"pfis1",#N/A,TRUE,"Pro Forma Income Statement";"acq1c",#N/A,TRUE,"Acquirer";"tar1c",#N/A,TRUE,"Target"}</definedName>
    <definedName name="wrn.10._1_1" hidden="1">{"cover",#N/A,TRUE,"Cover";"toc3",#N/A,TRUE,"TOC";"over",#N/A,TRUE,"Overview";"ts2",#N/A,TRUE,"Det_Trans_Sum";"ei1c",#N/A,TRUE,"Earnings Impact";"ad1",#N/A,TRUE,"accretion dilution";"pfis1",#N/A,TRUE,"Pro Forma Income Statement";"acq1c",#N/A,TRUE,"Acquirer";"tar1c",#N/A,TRUE,"Target"}</definedName>
    <definedName name="wrn.10._2" localSheetId="10"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0._.Monthly._.Package." localSheetId="1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localSheetId="15"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 localSheetId="10" hidden="1">{"101",#N/A,FALSE,"101"}</definedName>
    <definedName name="wrn.101." hidden="1">{"101",#N/A,FALSE,"101"}</definedName>
    <definedName name="wrn.10K._.FS._.AND._.TABLE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localSheetId="1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0" hidden="1">{#N/A,#N/A,FALSE,"TABLE_1 YTD";#N/A,#N/A,FALSE,"TABLE_1A QTD"}</definedName>
    <definedName name="wrn.10Q._.TABLES." localSheetId="15" hidden="1">{#N/A,#N/A,FALSE,"TABLE_1 YTD";#N/A,#N/A,FALSE,"TABLE_1A QTD"}</definedName>
    <definedName name="wrn.10Q._.TABLES." hidden="1">{#N/A,#N/A,FALSE,"TABLE_1 YTD";#N/A,#N/A,FALSE,"TABLE_1A QTD"}</definedName>
    <definedName name="wrn.11." localSheetId="10">{"cover",#N/A,TRUE,"Cover";"toc3",#N/A,TRUE,"TOC";"over",#N/A,TRUE,"Overview";"ts2",#N/A,TRUE,"Det_Trans_Sum";"ei2c",#N/A,TRUE,"Earnings Impact";"ad2",#N/A,TRUE,"accretion dilution";"pfis2",#N/A,TRUE,"Pro Forma Income Statement";"acq2c",#N/A,TRUE,"Acquirer";"tar2c",#N/A,TRUE,"Target"}</definedName>
    <definedName name="wrn.11.">{"cover",#N/A,TRUE,"Cover";"toc3",#N/A,TRUE,"TOC";"over",#N/A,TRUE,"Overview";"ts2",#N/A,TRUE,"Det_Trans_Sum";"ei2c",#N/A,TRUE,"Earnings Impact";"ad2",#N/A,TRUE,"accretion dilution";"pfis2",#N/A,TRUE,"Pro Forma Income Statement";"acq2c",#N/A,TRUE,"Acquirer";"tar2c",#N/A,TRUE,"Target"}</definedName>
    <definedName name="wrn.11._1" localSheetId="10"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1_1" localSheetId="10" hidden="1">{"cover",#N/A,TRUE,"Cover";"toc3",#N/A,TRUE,"TOC";"over",#N/A,TRUE,"Overview";"ts2",#N/A,TRUE,"Det_Trans_Sum";"ei2c",#N/A,TRUE,"Earnings Impact";"ad2",#N/A,TRUE,"accretion dilution";"pfis2",#N/A,TRUE,"Pro Forma Income Statement";"acq2c",#N/A,TRUE,"Acquirer";"tar2c",#N/A,TRUE,"Target"}</definedName>
    <definedName name="wrn.11._1_1" hidden="1">{"cover",#N/A,TRUE,"Cover";"toc3",#N/A,TRUE,"TOC";"over",#N/A,TRUE,"Overview";"ts2",#N/A,TRUE,"Det_Trans_Sum";"ei2c",#N/A,TRUE,"Earnings Impact";"ad2",#N/A,TRUE,"accretion dilution";"pfis2",#N/A,TRUE,"Pro Forma Income Statement";"acq2c",#N/A,TRUE,"Acquirer";"tar2c",#N/A,TRUE,"Target"}</definedName>
    <definedName name="wrn.11._2" localSheetId="10"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1111" localSheetId="10">{#N/A,#N/A,FALSE,"Pharm";#N/A,#N/A,FALSE,"WWCM"}</definedName>
    <definedName name="wrn.111111">{#N/A,#N/A,FALSE,"Pharm";#N/A,#N/A,FALSE,"WWCM"}</definedName>
    <definedName name="wrn.1130trds." localSheetId="10" hidden="1">{#N/A,#N/A,FALSE,"RECEIVABLES";#N/A,#N/A,FALSE,"TRADE RECEIVABLES";#N/A,#N/A,FALSE,"COLLECTION DAYS";#N/A,#N/A,FALSE,"PRODUCTION INVENTORY";#N/A,#N/A,FALSE,"PITO";#N/A,#N/A,FALSE,"NOA"}</definedName>
    <definedName name="wrn.1130trds." localSheetId="15" hidden="1">{#N/A,#N/A,FALSE,"RECEIVABLES";#N/A,#N/A,FALSE,"TRADE RECEIVABLES";#N/A,#N/A,FALSE,"COLLECTION DAYS";#N/A,#N/A,FALSE,"PRODUCTION INVENTORY";#N/A,#N/A,FALSE,"PITO";#N/A,#N/A,FALSE,"NOA"}</definedName>
    <definedName name="wrn.1130trds." hidden="1">{#N/A,#N/A,FALSE,"RECEIVABLES";#N/A,#N/A,FALSE,"TRADE RECEIVABLES";#N/A,#N/A,FALSE,"COLLECTION DAYS";#N/A,#N/A,FALSE,"PRODUCTION INVENTORY";#N/A,#N/A,FALSE,"PITO";#N/A,#N/A,FALSE,"NOA"}</definedName>
    <definedName name="wrn.12." localSheetId="10">{"cover",#N/A,TRUE,"Cover";"toc3",#N/A,TRUE,"TOC";"over",#N/A,TRUE,"Overview";"ts2",#N/A,TRUE,"Det_Trans_Sum";"ei3c",#N/A,TRUE,"Earnings Impact";"ad3",#N/A,TRUE,"accretion dilution";"pfis3",#N/A,TRUE,"Pro Forma Income Statement";"acq3c",#N/A,TRUE,"Acquirer";"tar3c",#N/A,TRUE,"Target"}</definedName>
    <definedName name="wrn.12.">{"cover",#N/A,TRUE,"Cover";"toc3",#N/A,TRUE,"TOC";"over",#N/A,TRUE,"Overview";"ts2",#N/A,TRUE,"Det_Trans_Sum";"ei3c",#N/A,TRUE,"Earnings Impact";"ad3",#N/A,TRUE,"accretion dilution";"pfis3",#N/A,TRUE,"Pro Forma Income Statement";"acq3c",#N/A,TRUE,"Acquirer";"tar3c",#N/A,TRUE,"Target"}</definedName>
    <definedName name="wrn.12._1" localSheetId="10"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1_1" localSheetId="10" hidden="1">{"cover",#N/A,TRUE,"Cover";"toc3",#N/A,TRUE,"TOC";"over",#N/A,TRUE,"Overview";"ts2",#N/A,TRUE,"Det_Trans_Sum";"ei3c",#N/A,TRUE,"Earnings Impact";"ad3",#N/A,TRUE,"accretion dilution";"pfis3",#N/A,TRUE,"Pro Forma Income Statement";"acq3c",#N/A,TRUE,"Acquirer";"tar3c",#N/A,TRUE,"Target"}</definedName>
    <definedName name="wrn.12._1_1" hidden="1">{"cover",#N/A,TRUE,"Cover";"toc3",#N/A,TRUE,"TOC";"over",#N/A,TRUE,"Overview";"ts2",#N/A,TRUE,"Det_Trans_Sum";"ei3c",#N/A,TRUE,"Earnings Impact";"ad3",#N/A,TRUE,"accretion dilution";"pfis3",#N/A,TRUE,"Pro Forma Income Statement";"acq3c",#N/A,TRUE,"Acquirer";"tar3c",#N/A,TRUE,"Target"}</definedName>
    <definedName name="wrn.12._2" localSheetId="10"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0._.Adv._.Book."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_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_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 localSheetId="10" hidden="1">{#N/A,#N/A,FALSE,"PRO FORMA FINANCIALS"}</definedName>
    <definedName name="wrn.1294BS." hidden="1">{#N/A,#N/A,FALSE,"PRO FORMA FINANCIALS"}</definedName>
    <definedName name="wrn.1294BSADJUST." localSheetId="10" hidden="1">{#N/A,#N/A,FALSE,"PRO FORMA FINANCIALS"}</definedName>
    <definedName name="wrn.1294BSADJUST." hidden="1">{#N/A,#N/A,FALSE,"PRO FORMA FINANCIALS"}</definedName>
    <definedName name="wrn.1294IS." localSheetId="10" hidden="1">{#N/A,#N/A,FALSE,"PRO FORMA FINANCIALS"}</definedName>
    <definedName name="wrn.1294IS." hidden="1">{#N/A,#N/A,FALSE,"PRO FORMA FINANCIALS"}</definedName>
    <definedName name="wrn.1294ISADJUST." localSheetId="10" hidden="1">{#N/A,#N/A,FALSE,"PRO FORMA FINANCIALS"}</definedName>
    <definedName name="wrn.1294ISADJUST." hidden="1">{#N/A,#N/A,FALSE,"PRO FORMA FINANCIALS"}</definedName>
    <definedName name="wrn.13." localSheetId="10">{"cover",#N/A,TRUE,"Cover";"toc4",#N/A,TRUE,"TOC";"over",#N/A,TRUE,"Overview";"ts2",#N/A,TRUE,"Det_Trans_Sum";"eic",#N/A,TRUE,"Earnings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_1"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localSheetId="1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0">{"cover",#N/A,TRUE,"Cover";"toc4",#N/A,TRUE,"TOC";"over",#N/A,TRUE,"Overview";"ts2",#N/A,TRUE,"Det_Trans_Sum";"ei1c",#N/A,TRUE,"Earnings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_1"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localSheetId="1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0">{"cover",#N/A,TRUE,"Cover";"toc4",#N/A,TRUE,"TOC";"over",#N/A,TRUE,"Overview";"ts2",#N/A,TRUE,"Det_Trans_Sum";"ei2c",#N/A,TRUE,"Earnings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_1"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localSheetId="1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0">{"cover",#N/A,TRUE,"Cover";"toc4",#N/A,TRUE,"TOC";"over",#N/A,TRUE,"Overview";"ts2",#N/A,TRUE,"Det_Trans_Sum";"ei3c",#N/A,TRUE,"Earnings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_1"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2" localSheetId="1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0">{"cover",#N/A,TRUE,"Cover";"toc5",#N/A,TRUE,"TOC";"over",#N/A,TRUE,"Overview";"ts2",#N/A,TRUE,"Det_Trans_Sum";"eic",#N/A,TRUE,"Earnings Impact";"ad",#N/A,TRUE,"accretion dilution";"pfis",#N/A,TRUE,"Pro Forma Income Statement";"ca",#N/A,TRUE,"Contribution_Analysis";"acqc",#N/A,TRUE,"Acquirer";"tarc",#N/A,TRUE,"Target"}</definedName>
    <definedName name="wrn.17.">{"cover",#N/A,TRUE,"Cover";"toc5",#N/A,TRUE,"TOC";"over",#N/A,TRUE,"Overview";"ts2",#N/A,TRUE,"Det_Trans_Sum";"eic",#N/A,TRUE,"Earnings Impact";"ad",#N/A,TRUE,"accretion dilution";"pfis",#N/A,TRUE,"Pro Forma Income Statement";"ca",#N/A,TRUE,"Contribution_Analysis";"acqc",#N/A,TRUE,"Acquirer";"tarc",#N/A,TRUE,"Target"}</definedName>
    <definedName name="wrn.17._1" localSheetId="10"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1_1" localSheetId="10" hidden="1">{"cover",#N/A,TRUE,"Cover";"toc5",#N/A,TRUE,"TOC";"over",#N/A,TRUE,"Overview";"ts2",#N/A,TRUE,"Det_Trans_Sum";"eic",#N/A,TRUE,"Earnings Impact";"ad",#N/A,TRUE,"accretion dilution";"pfis",#N/A,TRUE,"Pro Forma Income Statement";"ca",#N/A,TRUE,"Contribution_Analysis";"acqc",#N/A,TRUE,"Acquirer";"tarc",#N/A,TRUE,"Target"}</definedName>
    <definedName name="wrn.17._1_1" hidden="1">{"cover",#N/A,TRUE,"Cover";"toc5",#N/A,TRUE,"TOC";"over",#N/A,TRUE,"Overview";"ts2",#N/A,TRUE,"Det_Trans_Sum";"eic",#N/A,TRUE,"Earnings Impact";"ad",#N/A,TRUE,"accretion dilution";"pfis",#N/A,TRUE,"Pro Forma Income Statement";"ca",#N/A,TRUE,"Contribution_Analysis";"acqc",#N/A,TRUE,"Acquirer";"tarc",#N/A,TRUE,"Target"}</definedName>
    <definedName name="wrn.17._2" localSheetId="10"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8." localSheetId="10">{"cover",#N/A,TRUE,"Cover";"toc5",#N/A,TRUE,"TOC";"over",#N/A,TRUE,"Overview";"ts2",#N/A,TRUE,"Det_Trans_Sum";"ei1c",#N/A,TRUE,"Earnings Impact";"ad1",#N/A,TRUE,"accretion dilution";"pfis1",#N/A,TRUE,"Pro Forma Income Statement";"ca1",#N/A,TRUE,"Contribution_Analysis";"acq1c",#N/A,TRUE,"Acquirer";"tar1c",#N/A,TRUE,"Target"}</definedName>
    <definedName name="wrn.18.">{"cover",#N/A,TRUE,"Cover";"toc5",#N/A,TRUE,"TOC";"over",#N/A,TRUE,"Overview";"ts2",#N/A,TRUE,"Det_Trans_Sum";"ei1c",#N/A,TRUE,"Earnings Impact";"ad1",#N/A,TRUE,"accretion dilution";"pfis1",#N/A,TRUE,"Pro Forma Income Statement";"ca1",#N/A,TRUE,"Contribution_Analysis";"acq1c",#N/A,TRUE,"Acquirer";"tar1c",#N/A,TRUE,"Target"}</definedName>
    <definedName name="wrn.18._.months._.FC." localSheetId="10" hidden="1">{"P&amp;L 18 months",#N/A,TRUE,"P&amp;L";"HC 18 months",#N/A,TRUE,"HC calculation";"CF 18 months",#N/A,TRUE,"FCashflow";"BS 18 months",#N/A,TRUE,"BS";"CapEx 18 months",#N/A,TRUE,"CapEx"}</definedName>
    <definedName name="wrn.18._.months._.FC." hidden="1">{"P&amp;L 18 months",#N/A,TRUE,"P&amp;L";"HC 18 months",#N/A,TRUE,"HC calculation";"CF 18 months",#N/A,TRUE,"FCashflow";"BS 18 months",#N/A,TRUE,"BS";"CapEx 18 months",#N/A,TRUE,"CapEx"}</definedName>
    <definedName name="wrn.18._.months._.FC._1" localSheetId="10" hidden="1">{"P&amp;L 18 months",#N/A,TRUE,"P&amp;L";"HC 18 months",#N/A,TRUE,"HC calculation";"CF 18 months",#N/A,TRUE,"FCashflow";"BS 18 months",#N/A,TRUE,"BS";"CapEx 18 months",#N/A,TRUE,"CapEx"}</definedName>
    <definedName name="wrn.18._.months._.FC._1" hidden="1">{"P&amp;L 18 months",#N/A,TRUE,"P&amp;L";"HC 18 months",#N/A,TRUE,"HC calculation";"CF 18 months",#N/A,TRUE,"FCashflow";"BS 18 months",#N/A,TRUE,"BS";"CapEx 18 months",#N/A,TRUE,"CapEx"}</definedName>
    <definedName name="wrn.18._.months._.FC._2" localSheetId="10" hidden="1">{"P&amp;L 18 months",#N/A,TRUE,"P&amp;L";"HC 18 months",#N/A,TRUE,"HC calculation";"CF 18 months",#N/A,TRUE,"FCashflow";"BS 18 months",#N/A,TRUE,"BS";"CapEx 18 months",#N/A,TRUE,"CapEx"}</definedName>
    <definedName name="wrn.18._.months._.FC._2" hidden="1">{"P&amp;L 18 months",#N/A,TRUE,"P&amp;L";"HC 18 months",#N/A,TRUE,"HC calculation";"CF 18 months",#N/A,TRUE,"FCashflow";"BS 18 months",#N/A,TRUE,"BS";"CapEx 18 months",#N/A,TRUE,"CapEx"}</definedName>
    <definedName name="wrn.18._.months._.FC._3" localSheetId="10" hidden="1">{"P&amp;L 18 months",#N/A,TRUE,"P&amp;L";"HC 18 months",#N/A,TRUE,"HC calculation";"CF 18 months",#N/A,TRUE,"FCashflow";"BS 18 months",#N/A,TRUE,"BS";"CapEx 18 months",#N/A,TRUE,"CapEx"}</definedName>
    <definedName name="wrn.18._.months._.FC._3" hidden="1">{"P&amp;L 18 months",#N/A,TRUE,"P&amp;L";"HC 18 months",#N/A,TRUE,"HC calculation";"CF 18 months",#N/A,TRUE,"FCashflow";"BS 18 months",#N/A,TRUE,"BS";"CapEx 18 months",#N/A,TRUE,"CapEx"}</definedName>
    <definedName name="wrn.18._.months._.FC._4" localSheetId="10" hidden="1">{"P&amp;L 18 months",#N/A,TRUE,"P&amp;L";"HC 18 months",#N/A,TRUE,"HC calculation";"CF 18 months",#N/A,TRUE,"FCashflow";"BS 18 months",#N/A,TRUE,"BS";"CapEx 18 months",#N/A,TRUE,"CapEx"}</definedName>
    <definedName name="wrn.18._.months._.FC._4" hidden="1">{"P&amp;L 18 months",#N/A,TRUE,"P&amp;L";"HC 18 months",#N/A,TRUE,"HC calculation";"CF 18 months",#N/A,TRUE,"FCashflow";"BS 18 months",#N/A,TRUE,"BS";"CapEx 18 months",#N/A,TRUE,"CapEx"}</definedName>
    <definedName name="wrn.18._.months._.FC._5" localSheetId="10" hidden="1">{"P&amp;L 18 months",#N/A,TRUE,"P&amp;L";"HC 18 months",#N/A,TRUE,"HC calculation";"CF 18 months",#N/A,TRUE,"FCashflow";"BS 18 months",#N/A,TRUE,"BS";"CapEx 18 months",#N/A,TRUE,"CapEx"}</definedName>
    <definedName name="wrn.18._.months._.FC._5" hidden="1">{"P&amp;L 18 months",#N/A,TRUE,"P&amp;L";"HC 18 months",#N/A,TRUE,"HC calculation";"CF 18 months",#N/A,TRUE,"FCashflow";"BS 18 months",#N/A,TRUE,"BS";"CapEx 18 months",#N/A,TRUE,"CapEx"}</definedName>
    <definedName name="wrn.18._1"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1_1"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1_1" hidden="1">{"cover",#N/A,TRUE,"Cover";"toc5",#N/A,TRUE,"TOC";"over",#N/A,TRUE,"Overview";"ts2",#N/A,TRUE,"Det_Trans_Sum";"ei1c",#N/A,TRUE,"Earnings Impact";"ad1",#N/A,TRUE,"accretion dilution";"pfis1",#N/A,TRUE,"Pro Forma Income Statement";"ca1",#N/A,TRUE,"Contribution_Analysis";"acq1c",#N/A,TRUE,"Acquirer";"tar1c",#N/A,TRUE,"Target"}</definedName>
    <definedName name="wrn.18._2" localSheetId="10"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9." localSheetId="10">{"cover",#N/A,TRUE,"Cover";"toc5",#N/A,TRUE,"TOC";"ts2",#N/A,TRUE,"Det_Trans_Sum";"over",#N/A,TRUE,"Overview";"ei2c",#N/A,TRUE,"Earnings Impact";"ad2",#N/A,TRUE,"accretion dilution";"pfis2",#N/A,TRUE,"Pro Forma Income Statement";"ca2",#N/A,TRUE,"Contribution_Analysis";"acq2c",#N/A,TRUE,"Acquirer";"tar2c",#N/A,TRUE,"Target"}</definedName>
    <definedName name="wrn.19.">{"cover",#N/A,TRUE,"Cover";"toc5",#N/A,TRUE,"TOC";"ts2",#N/A,TRUE,"Det_Trans_Sum";"over",#N/A,TRUE,"Overview";"ei2c",#N/A,TRUE,"Earnings Impact";"ad2",#N/A,TRUE,"accretion dilution";"pfis2",#N/A,TRUE,"Pro Forma Income Statement";"ca2",#N/A,TRUE,"Contribution_Analysis";"acq2c",#N/A,TRUE,"Acquirer";"tar2c",#N/A,TRUE,"Target"}</definedName>
    <definedName name="wrn.19._1"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1_1"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1_1" hidden="1">{"cover",#N/A,TRUE,"Cover";"toc5",#N/A,TRUE,"TOC";"ts2",#N/A,TRUE,"Det_Trans_Sum";"over",#N/A,TRUE,"Overview";"ei2c",#N/A,TRUE,"Earnings Impact";"ad2",#N/A,TRUE,"accretion dilution";"pfis2",#N/A,TRUE,"Pro Forma Income Statement";"ca2",#N/A,TRUE,"Contribution_Analysis";"acq2c",#N/A,TRUE,"Acquirer";"tar2c",#N/A,TRUE,"Target"}</definedName>
    <definedName name="wrn.19._2" localSheetId="10"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10">{#N/A,#N/A,FALSE,"OK2";#N/A,#N/A,FALSE,"OK1";#N/A,#N/A,FALSE,"Kentucky";#N/A,#N/A,FALSE,"Summary"}</definedName>
    <definedName name="wrn.1995._.afe.">{#N/A,#N/A,FALSE,"OK2";#N/A,#N/A,FALSE,"OK1";#N/A,#N/A,FALSE,"Kentucky";#N/A,#N/A,FALSE,"Summary"}</definedName>
    <definedName name="wrn.1996._.BUDGET." localSheetId="10" hidden="1">{"SUMMARY",#N/A,TRUE,"SUMMARY";"compare",#N/A,TRUE,"Vs. Bus Plan";"ratios",#N/A,TRUE,"Ratios";"REVENUE",#N/A,TRUE,"Revenue";"expenses",#N/A,TRUE,"1996 budget";"payroll",#N/A,TRUE,"Payroll"}</definedName>
    <definedName name="wrn.1996._.BUDGET." localSheetId="15"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TO._.2004." localSheetId="10" hidden="1">{"ten year ratios",#N/A,TRUE,"PROFIT_LOSS";"ten year ratios",#N/A,TRUE,"Ratios";"ten yr opex and capex",#N/A,TRUE,"1996 budget";"ten year revenues",#N/A,TRUE,"Revenue_1996-2004";"ten year payroll",#N/A,TRUE,"Payroll"}</definedName>
    <definedName name="wrn.1996._.TO._.2004." localSheetId="15"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_.Budget." localSheetId="1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IPO._.Update." localSheetId="10" hidden="1">{#N/A,#N/A,FALSE,"Summary";#N/A,#N/A,FALSE,"Pending";#N/A,#N/A,FALSE,"Aug'98";#N/A,#N/A,FALSE,"July'98";#N/A,#N/A,FALSE,"June'98";#N/A,#N/A,FALSE,"May'98";#N/A,#N/A,FALSE,"Apr'98";#N/A,#N/A,FALSE,"Mar'98";#N/A,#N/A,FALSE,"Feb'98";#N/A,#N/A,FALSE,"Jan'98"}</definedName>
    <definedName name="wrn.1998._.IPO._.Update." hidden="1">{#N/A,#N/A,FALSE,"Summary";#N/A,#N/A,FALSE,"Pending";#N/A,#N/A,FALSE,"Aug'98";#N/A,#N/A,FALSE,"July'98";#N/A,#N/A,FALSE,"June'98";#N/A,#N/A,FALSE,"May'98";#N/A,#N/A,FALSE,"Apr'98";#N/A,#N/A,FALSE,"Mar'98";#N/A,#N/A,FALSE,"Feb'98";#N/A,#N/A,FALSE,"Jan'98"}</definedName>
    <definedName name="wrn.1999"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localSheetId="10" hidden="1">{"common_pl",#N/A,FALSE,"Commonized PL";"analyst",#N/A,FALSE,"Budget to Analyst";"sec",#N/A,FALSE,"SEC PL";"summary",#N/A,FALSE,"Summary";"detail",#N/A,FALSE,"Detail"}</definedName>
    <definedName name="wrn.1999._.budget." hidden="1">{"common_pl",#N/A,FALSE,"Commonized PL";"analyst",#N/A,FALSE,"Budget to Analyst";"sec",#N/A,FALSE,"SEC PL";"summary",#N/A,FALSE,"Summary";"detail",#N/A,FALSE,"Detail"}</definedName>
    <definedName name="wrn.1999._.Budget._.Supplementary." localSheetId="10">{#N/A,#N/A,TRUE,"Trend";#N/A,#N/A,TRUE,"Employee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st._.Quarter." localSheetId="10">{#N/A,#N/A,TRUE,"1Q BCG";#N/A,#N/A,TRUE,"1Q w|o Wireless";#N/A,#N/A,TRUE,"1Q Wireless"}</definedName>
    <definedName name="wrn.1st._.Quarter.">{#N/A,#N/A,TRUE,"1Q BCG";#N/A,#N/A,TRUE,"1Q w|o Wireless";#N/A,#N/A,TRUE,"1Q Wireless"}</definedName>
    <definedName name="wrn.2" localSheetId="10">{"BalSht_byMonth",#N/A,FALSE,"Legal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10">{"cover",#N/A,TRUE,"Cover";"toc1",#N/A,TRUE,"TOC";"ts1",#N/A,TRUE,"Transaction Summary";"ei1",#N/A,TRUE,"Earnings Impact";"ad1",#N/A,TRUE,"accretion dilution"}</definedName>
    <definedName name="wrn.2.">{"cover",#N/A,TRUE,"Cover";"toc1",#N/A,TRUE,"TOC";"ts1",#N/A,TRUE,"Transaction Summary";"ei1",#N/A,TRUE,"Earnings Impact";"ad1",#N/A,TRUE,"accretion dilution"}</definedName>
    <definedName name="wrn.2._.pagers." localSheetId="10">{"Cover",#N/A,FALSE,"Cover";"Summary",#N/A,FALSE,"Summarpage"}</definedName>
    <definedName name="wrn.2._.pagers.">{"Cover",#N/A,FALSE,"Cover";"Summary",#N/A,FALSE,"Summarpage"}</definedName>
    <definedName name="wrn.2._.pagers._1" localSheetId="10" hidden="1">{"Cover",#N/A,FALSE,"Cover";"Summary",#N/A,FALSE,"Summarpage"}</definedName>
    <definedName name="wrn.2._.pagers._1" hidden="1">{"Cover",#N/A,FALSE,"Cover";"Summary",#N/A,FALSE,"Summarpage"}</definedName>
    <definedName name="wrn.2._.pagers._1_1" localSheetId="10" hidden="1">{"Cover",#N/A,FALSE,"Cover";"Summary",#N/A,FALSE,"Summarpage"}</definedName>
    <definedName name="wrn.2._.pagers._1_1" hidden="1">{"Cover",#N/A,FALSE,"Cover";"Summary",#N/A,FALSE,"Summarpage"}</definedName>
    <definedName name="wrn.2._.pagers._2" localSheetId="10" hidden="1">{"Cover",#N/A,FALSE,"Cover";"Summary",#N/A,FALSE,"Summarpage"}</definedName>
    <definedName name="wrn.2._.pagers._2" hidden="1">{"Cover",#N/A,FALSE,"Cover";"Summary",#N/A,FALSE,"Summarpage"}</definedName>
    <definedName name="wrn.2._.pagers.2" localSheetId="10">{"Cover",#N/A,FALSE,"Cover";"Summary",#N/A,FALSE,"Summarpage"}</definedName>
    <definedName name="wrn.2._.pagers.2">{"Cover",#N/A,FALSE,"Cover";"Summary",#N/A,FALSE,"Summarpage"}</definedName>
    <definedName name="wrn.2._.pagers.2_1" localSheetId="10" hidden="1">{"Cover",#N/A,FALSE,"Cover";"Summary",#N/A,FALSE,"Summarpage"}</definedName>
    <definedName name="wrn.2._.pagers.2_1" hidden="1">{"Cover",#N/A,FALSE,"Cover";"Summary",#N/A,FALSE,"Summarpage"}</definedName>
    <definedName name="wrn.2._.pagers.2_1_1" localSheetId="10" hidden="1">{"Cover",#N/A,FALSE,"Cover";"Summary",#N/A,FALSE,"Summarpage"}</definedName>
    <definedName name="wrn.2._.pagers.2_1_1" hidden="1">{"Cover",#N/A,FALSE,"Cover";"Summary",#N/A,FALSE,"Summarpage"}</definedName>
    <definedName name="wrn.2._.pagers.2_2" localSheetId="10" hidden="1">{"Cover",#N/A,FALSE,"Cover";"Summary",#N/A,FALSE,"Summarpage"}</definedName>
    <definedName name="wrn.2._.pagers.2_2" hidden="1">{"Cover",#N/A,FALSE,"Cover";"Summary",#N/A,FALSE,"Summarpage"}</definedName>
    <definedName name="wrn.2._1" localSheetId="10"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1_1" localSheetId="10" hidden="1">{"cover",#N/A,TRUE,"Cover";"toc1",#N/A,TRUE,"TOC";"ts1",#N/A,TRUE,"Transaction Summary";"ei1",#N/A,TRUE,"Earnings Impact";"ad1",#N/A,TRUE,"accretion dilution"}</definedName>
    <definedName name="wrn.2._1_1" hidden="1">{"cover",#N/A,TRUE,"Cover";"toc1",#N/A,TRUE,"TOC";"ts1",#N/A,TRUE,"Transaction Summary";"ei1",#N/A,TRUE,"Earnings Impact";"ad1",#N/A,TRUE,"accretion dilution"}</definedName>
    <definedName name="wrn.2._2" localSheetId="10"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0." localSheetId="10">{"cover",#N/A,TRUE,"Cover";"toc5",#N/A,TRUE,"TOC";"over",#N/A,TRUE,"Overview";"ts2",#N/A,TRUE,"Det_Trans_Sum";"ei3c",#N/A,TRUE,"Earnings Impact";"ad3",#N/A,TRUE,"accretion dilution";"pfis3",#N/A,TRUE,"Pro Forma Income Statement";"ca3",#N/A,TRUE,"Contribution_Analysis";"acq3c",#N/A,TRUE,"Acquirer";"tar3c",#N/A,TRUE,"Target"}</definedName>
    <definedName name="wrn.20.">{"cover",#N/A,TRUE,"Cover";"toc5",#N/A,TRUE,"TOC";"over",#N/A,TRUE,"Overview";"ts2",#N/A,TRUE,"Det_Trans_Sum";"ei3c",#N/A,TRUE,"Earnings Impact";"ad3",#N/A,TRUE,"accretion dilution";"pfis3",#N/A,TRUE,"Pro Forma Income Statement";"ca3",#N/A,TRUE,"Contribution_Analysis";"acq3c",#N/A,TRUE,"Acquirer";"tar3c",#N/A,TRUE,"Target"}</definedName>
    <definedName name="wrn.20._1"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1_1"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1_1" hidden="1">{"cover",#N/A,TRUE,"Cover";"toc5",#N/A,TRUE,"TOC";"over",#N/A,TRUE,"Overview";"ts2",#N/A,TRUE,"Det_Trans_Sum";"ei3c",#N/A,TRUE,"Earnings Impact";"ad3",#N/A,TRUE,"accretion dilution";"pfis3",#N/A,TRUE,"Pro Forma Income Statement";"ca3",#N/A,TRUE,"Contribution_Analysis";"acq3c",#N/A,TRUE,"Acquirer";"tar3c",#N/A,TRUE,"Target"}</definedName>
    <definedName name="wrn.20._2" localSheetId="10"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00._.Package._.GOM." localSheetId="10" hidden="1">{"2000PPE",#N/A,FALSE,"PPE 2000";"2000DD",#N/A,FALSE,"DrydocksOther"}</definedName>
    <definedName name="wrn.2000._.Package._.GOM." hidden="1">{"2000PPE",#N/A,FALSE,"PPE 2000";"2000DD",#N/A,FALSE,"DrydocksOther"}</definedName>
    <definedName name="wrn.21." localSheetId="10">{"cover",#N/A,TRUE,"Cover";"toc6",#N/A,TRUE,"TOC";"over",#N/A,TRUE,"Overview";"ts2",#N/A,TRUE,"Det_Trans_Sum";"eic",#N/A,TRUE,"Earnings Impact";"ad",#N/A,TRUE,"accretion dilution";"hg",#N/A,TRUE,"Has-Gets";"pfis",#N/A,TRUE,"Pro Forma Income Statement";"ca",#N/A,TRUE,"Contribution_Analysis";"acqc",#N/A,TRUE,"Acquirer";"tarc",#N/A,TRUE,"Target"}</definedName>
    <definedName name="wrn.21.">{"cover",#N/A,TRUE,"Cover";"toc6",#N/A,TRUE,"TOC";"over",#N/A,TRUE,"Overview";"ts2",#N/A,TRUE,"Det_Trans_Sum";"eic",#N/A,TRUE,"Earnings Impact";"ad",#N/A,TRUE,"accretion dilution";"hg",#N/A,TRUE,"Has-Gets";"pfis",#N/A,TRUE,"Pro Forma Income Statement";"ca",#N/A,TRUE,"Contribution_Analysis";"acqc",#N/A,TRUE,"Acquirer";"tarc",#N/A,TRUE,"Target"}</definedName>
    <definedName name="wrn.21._1"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1_1"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localSheetId="10"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0">{"cover",#N/A,TRUE,"Cover";"toc6",#N/A,TRUE,"TOC";"over",#N/A,TRUE,"Overview";"ts2",#N/A,TRUE,"Det_Trans_Sum";"ei1c",#N/A,TRUE,"Earnings Impact";"ad1",#N/A,TRUE,"accretion dilution";"hg1",#N/A,TRUE,"Has-Gets";"pfis1",#N/A,TRUE,"Pro Forma Income Statement";"ca1",#N/A,TRUE,"Contribution_Analysis";"acq1c",#N/A,TRUE,"Acquirer";"tar1c",#N/A,TRUE,"Target"}</definedName>
    <definedName name="wrn.22.">{"cover",#N/A,TRUE,"Cover";"toc6",#N/A,TRUE,"TOC";"over",#N/A,TRUE,"Overview";"ts2",#N/A,TRUE,"Det_Trans_Sum";"ei1c",#N/A,TRUE,"Earnings Impact";"ad1",#N/A,TRUE,"accretion dilution";"hg1",#N/A,TRUE,"Has-Gets";"pfis1",#N/A,TRUE,"Pro Forma Income Statement";"ca1",#N/A,TRUE,"Contribution_Analysis";"acq1c",#N/A,TRUE,"Acquirer";"tar1c",#N/A,TRUE,"Target"}</definedName>
    <definedName name="wrn.22._1"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_1"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localSheetId="1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0">{"cover",#N/A,TRUE,"Cover";"toc6",#N/A,TRUE,"TOC";"pfis3",#N/A,TRUE,"Overview";"ts2",#N/A,TRUE,"Det_Trans_Sum";"ei2c",#N/A,TRUE,"Earnings Impact";"ad2",#N/A,TRUE,"accretion dilution";"hg2",#N/A,TRUE,"Has-Gets";"pfis2",#N/A,TRUE,"Pro Forma Income Statement";"ca2",#N/A,TRUE,"Contribution_Analysis";"acq2c",#N/A,TRUE,"Acquirer";"tar2c",#N/A,TRUE,"Target"}</definedName>
    <definedName name="wrn.23.">{"cover",#N/A,TRUE,"Cover";"toc6",#N/A,TRUE,"TOC";"pfis3",#N/A,TRUE,"Overview";"ts2",#N/A,TRUE,"Det_Trans_Sum";"ei2c",#N/A,TRUE,"Earnings Impact";"ad2",#N/A,TRUE,"accretion dilution";"hg2",#N/A,TRUE,"Has-Gets";"pfis2",#N/A,TRUE,"Pro Forma Income Statement";"ca2",#N/A,TRUE,"Contribution_Analysis";"acq2c",#N/A,TRUE,"Acquirer";"tar2c",#N/A,TRUE,"Target"}</definedName>
    <definedName name="wrn.23._1"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_1"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localSheetId="1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0">{"cover",#N/A,TRUE,"Cover";"toc6",#N/A,TRUE,"TOC";"over",#N/A,TRUE,"Overview";"ts2",#N/A,TRUE,"Det_Trans_Sum";"ei3c",#N/A,TRUE,"Earnings Impact";"ad3",#N/A,TRUE,"accretion dilution";"hg3",#N/A,TRUE,"Has-Gets";"pfis",#N/A,TRUE,"Pro Forma Income Statement";"ca3",#N/A,TRUE,"Contribution_Analysis";"acq3c",#N/A,TRUE,"Acquirer";"tar3c",#N/A,TRUE,"Target"}</definedName>
    <definedName name="wrn.24.">{"cover",#N/A,TRUE,"Cover";"toc6",#N/A,TRUE,"TOC";"over",#N/A,TRUE,"Overview";"ts2",#N/A,TRUE,"Det_Trans_Sum";"ei3c",#N/A,TRUE,"Earnings Impact";"ad3",#N/A,TRUE,"accretion dilution";"hg3",#N/A,TRUE,"Has-Gets";"pfis",#N/A,TRUE,"Pro Forma Income Statement";"ca3",#N/A,TRUE,"Contribution_Analysis";"acq3c",#N/A,TRUE,"Acquirer";"tar3c",#N/A,TRUE,"Target"}</definedName>
    <definedName name="wrn.24._1"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_1"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localSheetId="1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0">{"cover",#N/A,TRUE,"Cover";"toc3",#N/A,TRUE,"TOC";"over",#N/A,TRUE,"Overview";"ts2",#N/A,TRUE,"Det_Trans_Sum";"ei",#N/A,TRUE,"Earnings Impact";"ad",#N/A,TRUE,"accretion dilution";"pfis",#N/A,TRUE,"Pro Forma Income Statement";"acq",#N/A,TRUE,"Acquirer";"tar",#N/A,TRUE,"Target"}</definedName>
    <definedName name="wrn.25.">{"cover",#N/A,TRUE,"Cover";"toc3",#N/A,TRUE,"TOC";"over",#N/A,TRUE,"Overview";"ts2",#N/A,TRUE,"Det_Trans_Sum";"ei",#N/A,TRUE,"Earnings Impact";"ad",#N/A,TRUE,"accretion dilution";"pfis",#N/A,TRUE,"Pro Forma Income Statement";"acq",#N/A,TRUE,"Acquirer";"tar",#N/A,TRUE,"Target"}</definedName>
    <definedName name="wrn.25._1" localSheetId="10"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1_1" localSheetId="10" hidden="1">{"cover",#N/A,TRUE,"Cover";"toc3",#N/A,TRUE,"TOC";"over",#N/A,TRUE,"Overview";"ts2",#N/A,TRUE,"Det_Trans_Sum";"ei",#N/A,TRUE,"Earnings Impact";"ad",#N/A,TRUE,"accretion dilution";"pfis",#N/A,TRUE,"Pro Forma Income Statement";"acq",#N/A,TRUE,"Acquirer";"tar",#N/A,TRUE,"Target"}</definedName>
    <definedName name="wrn.25._1_1" hidden="1">{"cover",#N/A,TRUE,"Cover";"toc3",#N/A,TRUE,"TOC";"over",#N/A,TRUE,"Overview";"ts2",#N/A,TRUE,"Det_Trans_Sum";"ei",#N/A,TRUE,"Earnings Impact";"ad",#N/A,TRUE,"accretion dilution";"pfis",#N/A,TRUE,"Pro Forma Income Statement";"acq",#N/A,TRUE,"Acquirer";"tar",#N/A,TRUE,"Target"}</definedName>
    <definedName name="wrn.25._2" localSheetId="10"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6." localSheetId="10">{"cover",#N/A,TRUE,"Cover";"toc3",#N/A,TRUE,"TOC";"over",#N/A,TRUE,"Overview";"ts2",#N/A,TRUE,"Det_Trans_Sum";"ei1",#N/A,TRUE,"Earnings Impact";"ad1",#N/A,TRUE,"accretion dilution";"pfis1",#N/A,TRUE,"Pro Forma Income Statement";"acq1",#N/A,TRUE,"Acquirer";"tar1",#N/A,TRUE,"Target"}</definedName>
    <definedName name="wrn.26.">{"cover",#N/A,TRUE,"Cover";"toc3",#N/A,TRUE,"TOC";"over",#N/A,TRUE,"Overview";"ts2",#N/A,TRUE,"Det_Trans_Sum";"ei1",#N/A,TRUE,"Earnings Impact";"ad1",#N/A,TRUE,"accretion dilution";"pfis1",#N/A,TRUE,"Pro Forma Income Statement";"acq1",#N/A,TRUE,"Acquirer";"tar1",#N/A,TRUE,"Target"}</definedName>
    <definedName name="wrn.26._1" localSheetId="10"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1_1" localSheetId="10" hidden="1">{"cover",#N/A,TRUE,"Cover";"toc3",#N/A,TRUE,"TOC";"over",#N/A,TRUE,"Overview";"ts2",#N/A,TRUE,"Det_Trans_Sum";"ei1",#N/A,TRUE,"Earnings Impact";"ad1",#N/A,TRUE,"accretion dilution";"pfis1",#N/A,TRUE,"Pro Forma Income Statement";"acq1",#N/A,TRUE,"Acquirer";"tar1",#N/A,TRUE,"Target"}</definedName>
    <definedName name="wrn.26._1_1" hidden="1">{"cover",#N/A,TRUE,"Cover";"toc3",#N/A,TRUE,"TOC";"over",#N/A,TRUE,"Overview";"ts2",#N/A,TRUE,"Det_Trans_Sum";"ei1",#N/A,TRUE,"Earnings Impact";"ad1",#N/A,TRUE,"accretion dilution";"pfis1",#N/A,TRUE,"Pro Forma Income Statement";"acq1",#N/A,TRUE,"Acquirer";"tar1",#N/A,TRUE,"Target"}</definedName>
    <definedName name="wrn.26._2" localSheetId="10"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7." localSheetId="10">{"cover",#N/A,TRUE,"Cover";"toc3",#N/A,TRUE,"TOC";"over",#N/A,TRUE,"Overview";"ts2",#N/A,TRUE,"Det_Trans_Sum";"ei2",#N/A,TRUE,"Earnings Impact";"ad2",#N/A,TRUE,"accretion dilution";"pfis2",#N/A,TRUE,"Pro Forma Income Statement";"acq2",#N/A,TRUE,"Acquirer";"tar2",#N/A,TRUE,"Target"}</definedName>
    <definedName name="wrn.27.">{"cover",#N/A,TRUE,"Cover";"toc3",#N/A,TRUE,"TOC";"over",#N/A,TRUE,"Overview";"ts2",#N/A,TRUE,"Det_Trans_Sum";"ei2",#N/A,TRUE,"Earnings Impact";"ad2",#N/A,TRUE,"accretion dilution";"pfis2",#N/A,TRUE,"Pro Forma Income Statement";"acq2",#N/A,TRUE,"Acquirer";"tar2",#N/A,TRUE,"Target"}</definedName>
    <definedName name="wrn.27._1" localSheetId="10"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1_1" localSheetId="10" hidden="1">{"cover",#N/A,TRUE,"Cover";"toc3",#N/A,TRUE,"TOC";"over",#N/A,TRUE,"Overview";"ts2",#N/A,TRUE,"Det_Trans_Sum";"ei2",#N/A,TRUE,"Earnings Impact";"ad2",#N/A,TRUE,"accretion dilution";"pfis2",#N/A,TRUE,"Pro Forma Income Statement";"acq2",#N/A,TRUE,"Acquirer";"tar2",#N/A,TRUE,"Target"}</definedName>
    <definedName name="wrn.27._1_1" hidden="1">{"cover",#N/A,TRUE,"Cover";"toc3",#N/A,TRUE,"TOC";"over",#N/A,TRUE,"Overview";"ts2",#N/A,TRUE,"Det_Trans_Sum";"ei2",#N/A,TRUE,"Earnings Impact";"ad2",#N/A,TRUE,"accretion dilution";"pfis2",#N/A,TRUE,"Pro Forma Income Statement";"acq2",#N/A,TRUE,"Acquirer";"tar2",#N/A,TRUE,"Target"}</definedName>
    <definedName name="wrn.27._2" localSheetId="10"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8." localSheetId="10">{"cover",#N/A,TRUE,"Cover";"toc3",#N/A,TRUE,"TOC";"over",#N/A,TRUE,"Overview";"ts2",#N/A,TRUE,"Det_Trans_Sum";"ei3",#N/A,TRUE,"Earnings Impact";"ad3",#N/A,TRUE,"accretion dilution";"pfis3",#N/A,TRUE,"Pro Forma Income Statement";"acq3",#N/A,TRUE,"Acquirer";"tar3",#N/A,TRUE,"Target"}</definedName>
    <definedName name="wrn.28.">{"cover",#N/A,TRUE,"Cover";"toc3",#N/A,TRUE,"TOC";"over",#N/A,TRUE,"Overview";"ts2",#N/A,TRUE,"Det_Trans_Sum";"ei3",#N/A,TRUE,"Earnings Impact";"ad3",#N/A,TRUE,"accretion dilution";"pfis3",#N/A,TRUE,"Pro Forma Income Statement";"acq3",#N/A,TRUE,"Acquirer";"tar3",#N/A,TRUE,"Target"}</definedName>
    <definedName name="wrn.28._1" localSheetId="10"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1_1" localSheetId="10" hidden="1">{"cover",#N/A,TRUE,"Cover";"toc3",#N/A,TRUE,"TOC";"over",#N/A,TRUE,"Overview";"ts2",#N/A,TRUE,"Det_Trans_Sum";"ei3",#N/A,TRUE,"Earnings Impact";"ad3",#N/A,TRUE,"accretion dilution";"pfis3",#N/A,TRUE,"Pro Forma Income Statement";"acq3",#N/A,TRUE,"Acquirer";"tar3",#N/A,TRUE,"Target"}</definedName>
    <definedName name="wrn.28._1_1" hidden="1">{"cover",#N/A,TRUE,"Cover";"toc3",#N/A,TRUE,"TOC";"over",#N/A,TRUE,"Overview";"ts2",#N/A,TRUE,"Det_Trans_Sum";"ei3",#N/A,TRUE,"Earnings Impact";"ad3",#N/A,TRUE,"accretion dilution";"pfis3",#N/A,TRUE,"Pro Forma Income Statement";"acq3",#N/A,TRUE,"Acquirer";"tar3",#N/A,TRUE,"Target"}</definedName>
    <definedName name="wrn.28._2" localSheetId="10"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9." localSheetId="10">{"cover",#N/A,TRUE,"Cover";"toc4",#N/A,TRUE,"TOC";"over",#N/A,TRUE,"Overview";"ts2",#N/A,TRUE,"Det_Trans_Sum";"ei",#N/A,TRUE,"Earnings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_1"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localSheetId="1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localSheetId="10">{#N/A,#N/A,TRUE,"2Q BCG";#N/A,#N/A,TRUE,"2Q w|o Wireless";#N/A,#N/A,TRUE,"2Q Wireless"}</definedName>
    <definedName name="wrn.2nd._.Quarter.">{#N/A,#N/A,TRUE,"2Q BCG";#N/A,#N/A,TRUE,"2Q w|o Wireless";#N/A,#N/A,TRUE,"2Q Wireless"}</definedName>
    <definedName name="wrn.3." localSheetId="10">{"cover",#N/A,TRUE,"Cover";"toc1",#N/A,TRUE,"TOC";"ts1",#N/A,TRUE,"Transaction Summary";"ei2",#N/A,TRUE,"Earnings Impact";"ad2",#N/A,TRUE,"accretion dilution"}</definedName>
    <definedName name="wrn.3.">{"cover",#N/A,TRUE,"Cover";"toc1",#N/A,TRUE,"TOC";"ts1",#N/A,TRUE,"Transaction Summary";"ei2",#N/A,TRUE,"Earnings Impact";"ad2",#N/A,TRUE,"accretion dilution"}</definedName>
    <definedName name="wrn.3._1" localSheetId="10"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1_1" localSheetId="10" hidden="1">{"cover",#N/A,TRUE,"Cover";"toc1",#N/A,TRUE,"TOC";"ts1",#N/A,TRUE,"Transaction Summary";"ei2",#N/A,TRUE,"Earnings Impact";"ad2",#N/A,TRUE,"accretion dilution"}</definedName>
    <definedName name="wrn.3._1_1" hidden="1">{"cover",#N/A,TRUE,"Cover";"toc1",#N/A,TRUE,"TOC";"ts1",#N/A,TRUE,"Transaction Summary";"ei2",#N/A,TRUE,"Earnings Impact";"ad2",#N/A,TRUE,"accretion dilution"}</definedName>
    <definedName name="wrn.3._2" localSheetId="10"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00._.Adv.._.Board."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_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localSheetId="1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_1"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1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localSheetId="1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0">{"cover",#N/A,TRUE,"Cover";"toc4",#N/A,TRUE,"TOC";"over",#N/A,TRUE,"Overview";"ts2",#N/A,TRUE,"Det_Trans_Sum";"ei2",#N/A,TRUE,"Earnings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_1"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localSheetId="1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0">{"cover",#N/A,TRUE,"Cover";"toc4",#N/A,TRUE,"TOC";"over",#N/A,TRUE,"Overview";"ts2",#N/A,TRUE,"Det_Trans_Sum";"ei3",#N/A,TRUE,"Earnings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_1"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localSheetId="1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0">{"cover",#N/A,TRUE,"Cover";"toc5",#N/A,TRUE,"TOC";"over",#N/A,TRUE,"Overview";"ts2",#N/A,TRUE,"Det_Trans_Sum";"ei",#N/A,TRUE,"Earnings Impact";"ad",#N/A,TRUE,"accretion dilution";"pfis",#N/A,TRUE,"Pro Forma Income Statement";"ca",#N/A,TRUE,"Contribution_Analysis";"acq",#N/A,TRUE,"Acquirer";"tar",#N/A,TRUE,"Target"}</definedName>
    <definedName name="wrn.33.">{"cover",#N/A,TRUE,"Cover";"toc5",#N/A,TRUE,"TOC";"over",#N/A,TRUE,"Overview";"ts2",#N/A,TRUE,"Det_Trans_Sum";"ei",#N/A,TRUE,"Earnings Impact";"ad",#N/A,TRUE,"accretion dilution";"pfis",#N/A,TRUE,"Pro Forma Income Statement";"ca",#N/A,TRUE,"Contribution_Analysis";"acq",#N/A,TRUE,"Acquirer";"tar",#N/A,TRUE,"Target"}</definedName>
    <definedName name="wrn.33._1" localSheetId="10"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1_1" localSheetId="10" hidden="1">{"cover",#N/A,TRUE,"Cover";"toc5",#N/A,TRUE,"TOC";"over",#N/A,TRUE,"Overview";"ts2",#N/A,TRUE,"Det_Trans_Sum";"ei",#N/A,TRUE,"Earnings Impact";"ad",#N/A,TRUE,"accretion dilution";"pfis",#N/A,TRUE,"Pro Forma Income Statement";"ca",#N/A,TRUE,"Contribution_Analysis";"acq",#N/A,TRUE,"Acquirer";"tar",#N/A,TRUE,"Target"}</definedName>
    <definedName name="wrn.33._1_1" hidden="1">{"cover",#N/A,TRUE,"Cover";"toc5",#N/A,TRUE,"TOC";"over",#N/A,TRUE,"Overview";"ts2",#N/A,TRUE,"Det_Trans_Sum";"ei",#N/A,TRUE,"Earnings Impact";"ad",#N/A,TRUE,"accretion dilution";"pfis",#N/A,TRUE,"Pro Forma Income Statement";"ca",#N/A,TRUE,"Contribution_Analysis";"acq",#N/A,TRUE,"Acquirer";"tar",#N/A,TRUE,"Target"}</definedName>
    <definedName name="wrn.33._2" localSheetId="10"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4." localSheetId="10">{"cover",#N/A,TRUE,"Cover";"toc5",#N/A,TRUE,"TOC";"over",#N/A,TRUE,"Overview";"ts2",#N/A,TRUE,"Det_Trans_Sum";"ei1",#N/A,TRUE,"Earnings Impact";"ad1",#N/A,TRUE,"accretion dilution";"pfis1",#N/A,TRUE,"Pro Forma Income Statement";"ca1",#N/A,TRUE,"Contribution_Analysis";"acq1",#N/A,TRUE,"Acquirer";"tar1",#N/A,TRUE,"Target"}</definedName>
    <definedName name="wrn.34.">{"cover",#N/A,TRUE,"Cover";"toc5",#N/A,TRUE,"TOC";"over",#N/A,TRUE,"Overview";"ts2",#N/A,TRUE,"Det_Trans_Sum";"ei1",#N/A,TRUE,"Earnings Impact";"ad1",#N/A,TRUE,"accretion dilution";"pfis1",#N/A,TRUE,"Pro Forma Income Statement";"ca1",#N/A,TRUE,"Contribution_Analysis";"acq1",#N/A,TRUE,"Acquirer";"tar1",#N/A,TRUE,"Target"}</definedName>
    <definedName name="wrn.34._1" localSheetId="10"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1_1" localSheetId="10" hidden="1">{"cover",#N/A,TRUE,"Cover";"toc5",#N/A,TRUE,"TOC";"over",#N/A,TRUE,"Overview";"ts2",#N/A,TRUE,"Det_Trans_Sum";"ei1",#N/A,TRUE,"Earnings Impact";"ad1",#N/A,TRUE,"accretion dilution";"pfis1",#N/A,TRUE,"Pro Forma Income Statement";"ca1",#N/A,TRUE,"Contribution_Analysis";"acq1",#N/A,TRUE,"Acquirer";"tar1",#N/A,TRUE,"Target"}</definedName>
    <definedName name="wrn.34._1_1" hidden="1">{"cover",#N/A,TRUE,"Cover";"toc5",#N/A,TRUE,"TOC";"over",#N/A,TRUE,"Overview";"ts2",#N/A,TRUE,"Det_Trans_Sum";"ei1",#N/A,TRUE,"Earnings Impact";"ad1",#N/A,TRUE,"accretion dilution";"pfis1",#N/A,TRUE,"Pro Forma Income Statement";"ca1",#N/A,TRUE,"Contribution_Analysis";"acq1",#N/A,TRUE,"Acquirer";"tar1",#N/A,TRUE,"Target"}</definedName>
    <definedName name="wrn.34._2" localSheetId="10"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5." localSheetId="10">{"cover",#N/A,TRUE,"Cover";"toc5",#N/A,TRUE,"TOC";"over",#N/A,TRUE,"Overview";"ts2",#N/A,TRUE,"Det_Trans_Sum";"ei2",#N/A,TRUE,"Earnings Impact";"ad2",#N/A,TRUE,"accretion dilution";"pfis2",#N/A,TRUE,"Pro Forma Income Statement";"ca2",#N/A,TRUE,"Contribution_Analysis";"acq2",#N/A,TRUE,"Acquirer";"tar2",#N/A,TRUE,"Target"}</definedName>
    <definedName name="wrn.35.">{"cover",#N/A,TRUE,"Cover";"toc5",#N/A,TRUE,"TOC";"over",#N/A,TRUE,"Overview";"ts2",#N/A,TRUE,"Det_Trans_Sum";"ei2",#N/A,TRUE,"Earnings Impact";"ad2",#N/A,TRUE,"accretion dilution";"pfis2",#N/A,TRUE,"Pro Forma Income Statement";"ca2",#N/A,TRUE,"Contribution_Analysis";"acq2",#N/A,TRUE,"Acquirer";"tar2",#N/A,TRUE,"Target"}</definedName>
    <definedName name="wrn.35._1" localSheetId="10"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1_1" localSheetId="10" hidden="1">{"cover",#N/A,TRUE,"Cover";"toc5",#N/A,TRUE,"TOC";"over",#N/A,TRUE,"Overview";"ts2",#N/A,TRUE,"Det_Trans_Sum";"ei2",#N/A,TRUE,"Earnings Impact";"ad2",#N/A,TRUE,"accretion dilution";"pfis2",#N/A,TRUE,"Pro Forma Income Statement";"ca2",#N/A,TRUE,"Contribution_Analysis";"acq2",#N/A,TRUE,"Acquirer";"tar2",#N/A,TRUE,"Target"}</definedName>
    <definedName name="wrn.35._1_1" hidden="1">{"cover",#N/A,TRUE,"Cover";"toc5",#N/A,TRUE,"TOC";"over",#N/A,TRUE,"Overview";"ts2",#N/A,TRUE,"Det_Trans_Sum";"ei2",#N/A,TRUE,"Earnings Impact";"ad2",#N/A,TRUE,"accretion dilution";"pfis2",#N/A,TRUE,"Pro Forma Income Statement";"ca2",#N/A,TRUE,"Contribution_Analysis";"acq2",#N/A,TRUE,"Acquirer";"tar2",#N/A,TRUE,"Target"}</definedName>
    <definedName name="wrn.35._2" localSheetId="10"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6." localSheetId="10">{"cover",#N/A,TRUE,"Cover";"toc5",#N/A,TRUE,"TOC";"over",#N/A,TRUE,"Overview";"ts2",#N/A,TRUE,"Det_Trans_Sum";"ei3",#N/A,TRUE,"Earnings Impact";"ad3",#N/A,TRUE,"accretion dilution";"pfis3",#N/A,TRUE,"Pro Forma Income Statement";"ca3",#N/A,TRUE,"Contribution_Analysis";"acq3",#N/A,TRUE,"Acquirer";"tar3",#N/A,TRUE,"Target"}</definedName>
    <definedName name="wrn.36.">{"cover",#N/A,TRUE,"Cover";"toc5",#N/A,TRUE,"TOC";"over",#N/A,TRUE,"Overview";"ts2",#N/A,TRUE,"Det_Trans_Sum";"ei3",#N/A,TRUE,"Earnings Impact";"ad3",#N/A,TRUE,"accretion dilution";"pfis3",#N/A,TRUE,"Pro Forma Income Statement";"ca3",#N/A,TRUE,"Contribution_Analysis";"acq3",#N/A,TRUE,"Acquirer";"tar3",#N/A,TRUE,"Target"}</definedName>
    <definedName name="wrn.36._1" localSheetId="10"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1_1" localSheetId="10" hidden="1">{"cover",#N/A,TRUE,"Cover";"toc5",#N/A,TRUE,"TOC";"over",#N/A,TRUE,"Overview";"ts2",#N/A,TRUE,"Det_Trans_Sum";"ei3",#N/A,TRUE,"Earnings Impact";"ad3",#N/A,TRUE,"accretion dilution";"pfis3",#N/A,TRUE,"Pro Forma Income Statement";"ca3",#N/A,TRUE,"Contribution_Analysis";"acq3",#N/A,TRUE,"Acquirer";"tar3",#N/A,TRUE,"Target"}</definedName>
    <definedName name="wrn.36._1_1" hidden="1">{"cover",#N/A,TRUE,"Cover";"toc5",#N/A,TRUE,"TOC";"over",#N/A,TRUE,"Overview";"ts2",#N/A,TRUE,"Det_Trans_Sum";"ei3",#N/A,TRUE,"Earnings Impact";"ad3",#N/A,TRUE,"accretion dilution";"pfis3",#N/A,TRUE,"Pro Forma Income Statement";"ca3",#N/A,TRUE,"Contribution_Analysis";"acq3",#N/A,TRUE,"Acquirer";"tar3",#N/A,TRUE,"Target"}</definedName>
    <definedName name="wrn.36._2" localSheetId="10"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7." localSheetId="10">{"cover",#N/A,TRUE,"Cover";"toc6",#N/A,TRUE,"TOC";"over",#N/A,TRUE,"Overview";"ts2",#N/A,TRUE,"Det_Trans_Sum";"ei",#N/A,TRUE,"Earnings Impact";"ad",#N/A,TRUE,"accretion dilution";"hg",#N/A,TRUE,"Has-Gets";"pfis",#N/A,TRUE,"Pro Forma Income Statement";"ca",#N/A,TRUE,"Contribution_Analysis";"acq",#N/A,TRUE,"Acquirer";"tar",#N/A,TRUE,"Target"}</definedName>
    <definedName name="wrn.37.">{"cover",#N/A,TRUE,"Cover";"toc6",#N/A,TRUE,"TOC";"over",#N/A,TRUE,"Overview";"ts2",#N/A,TRUE,"Det_Trans_Sum";"ei",#N/A,TRUE,"Earnings Impact";"ad",#N/A,TRUE,"accretion dilution";"hg",#N/A,TRUE,"Has-Gets";"pfis",#N/A,TRUE,"Pro Forma Income Statement";"ca",#N/A,TRUE,"Contribution_Analysis";"acq",#N/A,TRUE,"Acquirer";"tar",#N/A,TRUE,"Target"}</definedName>
    <definedName name="wrn.37._1"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1_1"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1_1" hidden="1">{"cover",#N/A,TRUE,"Cover";"toc6",#N/A,TRUE,"TOC";"over",#N/A,TRUE,"Overview";"ts2",#N/A,TRUE,"Det_Trans_Sum";"ei",#N/A,TRUE,"Earnings Impact";"ad",#N/A,TRUE,"accretion dilution";"hg",#N/A,TRUE,"Has-Gets";"pfis",#N/A,TRUE,"Pro Forma Income Statement";"ca",#N/A,TRUE,"Contribution_Analysis";"acq",#N/A,TRUE,"Acquirer";"tar",#N/A,TRUE,"Target"}</definedName>
    <definedName name="wrn.37._2" localSheetId="10"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0">{"cover",#N/A,TRUE,"Cover";"toc6",#N/A,TRUE,"TOC";"over",#N/A,TRUE,"Overview";"ts2",#N/A,TRUE,"Det_Trans_Sum";"ei1",#N/A,TRUE,"Earnings Impact";"ad1",#N/A,TRUE,"accretion dilution";"hg1",#N/A,TRUE,"Has-Gets";"pfis1",#N/A,TRUE,"Pro Forma Income Statement";"ca1",#N/A,TRUE,"Contribution_Analysis";"acq1",#N/A,TRUE,"Acquirer";"tar1",#N/A,TRUE,"Target"}</definedName>
    <definedName name="wrn.38.">{"cover",#N/A,TRUE,"Cover";"toc6",#N/A,TRUE,"TOC";"over",#N/A,TRUE,"Overview";"ts2",#N/A,TRUE,"Det_Trans_Sum";"ei1",#N/A,TRUE,"Earnings Impact";"ad1",#N/A,TRUE,"accretion dilution";"hg1",#N/A,TRUE,"Has-Gets";"pfis1",#N/A,TRUE,"Pro Forma Income Statement";"ca1",#N/A,TRUE,"Contribution_Analysis";"acq1",#N/A,TRUE,"Acquirer";"tar1",#N/A,TRUE,"Target"}</definedName>
    <definedName name="wrn.38._1"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_1"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localSheetId="10"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0">{"cover",#N/A,TRUE,"Cover";"toc6",#N/A,TRUE,"TOC";"over",#N/A,TRUE,"Overview";"ts2",#N/A,TRUE,"Det_Trans_Sum";"ei2",#N/A,TRUE,"Earnings Impact";"ad2",#N/A,TRUE,"accretion dilution";"hg2",#N/A,TRUE,"Has-Gets";"pfis2",#N/A,TRUE,"Pro Forma Income Statement";"ca2",#N/A,TRUE,"Contribution_Analysis";"acq2",#N/A,TRUE,"Acquirer";"tar2",#N/A,TRUE,"Target"}</definedName>
    <definedName name="wrn.39.">{"cover",#N/A,TRUE,"Cover";"toc6",#N/A,TRUE,"TOC";"over",#N/A,TRUE,"Overview";"ts2",#N/A,TRUE,"Det_Trans_Sum";"ei2",#N/A,TRUE,"Earnings Impact";"ad2",#N/A,TRUE,"accretion dilution";"hg2",#N/A,TRUE,"Has-Gets";"pfis2",#N/A,TRUE,"Pro Forma Income Statement";"ca2",#N/A,TRUE,"Contribution_Analysis";"acq2",#N/A,TRUE,"Acquirer";"tar2",#N/A,TRUE,"Target"}</definedName>
    <definedName name="wrn.39._1"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_1"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localSheetId="10"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10" hidden="1">{#N/A,"Base",FALSE,"Dividend";#N/A,"Conservative",FALSE,"Dividend";#N/A,"Downside",FALSE,"Dividend"}</definedName>
    <definedName name="wrn.3cases." localSheetId="15" hidden="1">{#N/A,"Base",FALSE,"Dividend";#N/A,"Conservative",FALSE,"Dividend";#N/A,"Downside",FALSE,"Dividend"}</definedName>
    <definedName name="wrn.3cases." hidden="1">{#N/A,"Base",FALSE,"Dividend";#N/A,"Conservative",FALSE,"Dividend";#N/A,"Downside",FALSE,"Dividend"}</definedName>
    <definedName name="wrn.3rd._.Quarter." localSheetId="10">{#N/A,#N/A,TRUE,"3Q BCG";#N/A,#N/A,TRUE,"3Q w|o Wireless";#N/A,#N/A,TRUE,"3Q Wireless"}</definedName>
    <definedName name="wrn.3rd._.Quarter.">{#N/A,#N/A,TRUE,"3Q BCG";#N/A,#N/A,TRUE,"3Q w|o Wireless";#N/A,#N/A,TRUE,"3Q Wireless"}</definedName>
    <definedName name="wrn.3yr._.plan._.local._.currency." localSheetId="10" hidden="1">{"Backlog and PL",#N/A,FALSE,"3yr plan (local currency)";"Revenue",#N/A,FALSE,"3yr plan (local currency)";"Other",#N/A,FALSE,"3yr plan (local currency)"}</definedName>
    <definedName name="wrn.3yr._.plan._.local._.currency." localSheetId="15" hidden="1">{"Backlog and PL",#N/A,FALSE,"3yr plan (local currency)";"Revenue",#N/A,FALSE,"3yr plan (local currency)";"Other",#N/A,FALSE,"3yr plan (local currency)"}</definedName>
    <definedName name="wrn.3yr._.plan._.local._.currency." hidden="1">{"Backlog and PL",#N/A,FALSE,"3yr plan (local currency)";"Revenue",#N/A,FALSE,"3yr plan (local currency)";"Other",#N/A,FALSE,"3yr plan (local currency)"}</definedName>
    <definedName name="wrn.3yr._.plan._.USD." localSheetId="10" hidden="1">{"Backlog and PL $",#N/A,FALSE,"3yr plan (local currency)";"Revenue $",#N/A,FALSE,"3yr plan (local currency)";"Other $",#N/A,FALSE,"3yr plan (local currency)"}</definedName>
    <definedName name="wrn.3yr._.plan._.USD." localSheetId="15" hidden="1">{"Backlog and PL $",#N/A,FALSE,"3yr plan (local currency)";"Revenue $",#N/A,FALSE,"3yr plan (local currency)";"Other $",#N/A,FALSE,"3yr plan (local currency)"}</definedName>
    <definedName name="wrn.3yr._.plan._.USD." hidden="1">{"Backlog and PL $",#N/A,FALSE,"3yr plan (local currency)";"Revenue $",#N/A,FALSE,"3yr plan (local currency)";"Other $",#N/A,FALSE,"3yr plan (local currency)"}</definedName>
    <definedName name="wrn.4." localSheetId="10">{"toc1",#N/A,FALSE,"TOC";"cover",#N/A,FALSE,"Cover";"ts1",#N/A,FALSE,"Transaction Summary";"ei3",#N/A,FALSE,"Earnings Impact";"ad3",#N/A,FALSE,"accretion dilution"}</definedName>
    <definedName name="wrn.4.">{"toc1",#N/A,FALSE,"TOC";"cover",#N/A,FALSE,"Cover";"ts1",#N/A,FALSE,"Transaction Summary";"ei3",#N/A,FALSE,"Earnings Impact";"ad3",#N/A,FALSE,"accretion dilution"}</definedName>
    <definedName name="wrn.4._1" localSheetId="10"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1_1" localSheetId="10" hidden="1">{"toc1",#N/A,FALSE,"TOC";"cover",#N/A,FALSE,"Cover";"ts1",#N/A,FALSE,"Transaction Summary";"ei3",#N/A,FALSE,"Earnings Impact";"ad3",#N/A,FALSE,"accretion dilution"}</definedName>
    <definedName name="wrn.4._1_1" hidden="1">{"toc1",#N/A,FALSE,"TOC";"cover",#N/A,FALSE,"Cover";"ts1",#N/A,FALSE,"Transaction Summary";"ei3",#N/A,FALSE,"Earnings Impact";"ad3",#N/A,FALSE,"accretion dilution"}</definedName>
    <definedName name="wrn.4._2" localSheetId="10"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0." localSheetId="10">{"cover",#N/A,TRUE,"Cover";"toc6",#N/A,TRUE,"TOC";"over",#N/A,TRUE,"Overview";"ts2",#N/A,TRUE,"Det_Trans_Sum";"ei3",#N/A,TRUE,"Earnings Impact";"ad3",#N/A,TRUE,"accretion dilution";"hg3",#N/A,TRUE,"Has-Gets";"pfis3",#N/A,TRUE,"Pro Forma Income Statement";"ca3",#N/A,TRUE,"Contribution_Analysis";"acq3",#N/A,TRUE,"Acquirer";"tar3",#N/A,TRUE,"Target"}</definedName>
    <definedName name="wrn.40.">{"cover",#N/A,TRUE,"Cover";"toc6",#N/A,TRUE,"TOC";"over",#N/A,TRUE,"Overview";"ts2",#N/A,TRUE,"Det_Trans_Sum";"ei3",#N/A,TRUE,"Earnings Impact";"ad3",#N/A,TRUE,"accretion dilution";"hg3",#N/A,TRUE,"Has-Gets";"pfis3",#N/A,TRUE,"Pro Forma Income Statement";"ca3",#N/A,TRUE,"Contribution_Analysis";"acq3",#N/A,TRUE,"Acquirer";"tar3",#N/A,TRUE,"Target"}</definedName>
    <definedName name="wrn.40._1"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_1"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localSheetId="1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0">{"cover",#N/A,TRUE,"Cover";"toc7",#N/A,TRUE,"TOC";"over",#N/A,TRUE,"Overview";"ts2",#N/A,TRUE,"Det_Trans_Sum";"eic",#N/A,TRUE,"Earnings Impact";"ad",#N/A,TRUE,"accretion dilution";"pfis",#N/A,TRUE,"Pro Forma Income Statement";"profba",#N/A,TRUE,"Pro Forma Balance Sheet";"acqc",#N/A,TRUE,"Acquirer";"tarc",#N/A,TRUE,"Target"}</definedName>
    <definedName name="wrn.41.">{"cover",#N/A,TRUE,"Cover";"toc7",#N/A,TRUE,"TOC";"over",#N/A,TRUE,"Overview";"ts2",#N/A,TRUE,"Det_Trans_Sum";"eic",#N/A,TRUE,"Earnings Impact";"ad",#N/A,TRUE,"accretion dilution";"pfis",#N/A,TRUE,"Pro Forma Income Statement";"profba",#N/A,TRUE,"Pro Forma Balance Sheet";"acqc",#N/A,TRUE,"Acquirer";"tarc",#N/A,TRUE,"Target"}</definedName>
    <definedName name="wrn.41._1"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1_1"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1_1" hidden="1">{"cover",#N/A,TRUE,"Cover";"toc7",#N/A,TRUE,"TOC";"over",#N/A,TRUE,"Overview";"ts2",#N/A,TRUE,"Det_Trans_Sum";"eic",#N/A,TRUE,"Earnings Impact";"ad",#N/A,TRUE,"accretion dilution";"pfis",#N/A,TRUE,"Pro Forma Income Statement";"profba",#N/A,TRUE,"Pro Forma Balance Sheet";"acqc",#N/A,TRUE,"Acquirer";"tarc",#N/A,TRUE,"Target"}</definedName>
    <definedName name="wrn.41._2" localSheetId="10"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2." localSheetId="10">{"cover",#N/A,TRUE,"Cover";"toc7",#N/A,TRUE,"TOC";"over",#N/A,TRUE,"Overview";"ts2",#N/A,TRUE,"Det_Trans_Sum";"ei1c",#N/A,TRUE,"Earnings Impact";"ad1",#N/A,TRUE,"accretion dilution";"pfis1",#N/A,TRUE,"Pro Forma Income Statement";"profba",#N/A,TRUE,"Pro Forma Balance Sheet";"acq1c",#N/A,TRUE,"Acquirer";"tar1c",#N/A,TRUE,"Target"}</definedName>
    <definedName name="wrn.42.">{"cover",#N/A,TRUE,"Cover";"toc7",#N/A,TRUE,"TOC";"over",#N/A,TRUE,"Overview";"ts2",#N/A,TRUE,"Det_Trans_Sum";"ei1c",#N/A,TRUE,"Earnings Impact";"ad1",#N/A,TRUE,"accretion dilution";"pfis1",#N/A,TRUE,"Pro Forma Income Statement";"profba",#N/A,TRUE,"Pro Forma Balance Sheet";"acq1c",#N/A,TRUE,"Acquirer";"tar1c",#N/A,TRUE,"Target"}</definedName>
    <definedName name="wrn.42._1"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1_1"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1_1" hidden="1">{"cover",#N/A,TRUE,"Cover";"toc7",#N/A,TRUE,"TOC";"over",#N/A,TRUE,"Overview";"ts2",#N/A,TRUE,"Det_Trans_Sum";"ei1c",#N/A,TRUE,"Earnings Impact";"ad1",#N/A,TRUE,"accretion dilution";"pfis1",#N/A,TRUE,"Pro Forma Income Statement";"profba",#N/A,TRUE,"Pro Forma Balance Sheet";"acq1c",#N/A,TRUE,"Acquirer";"tar1c",#N/A,TRUE,"Target"}</definedName>
    <definedName name="wrn.42._2" localSheetId="10"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0">{"cover",#N/A,TRUE,"Cover";"toc7",#N/A,TRUE,"TOC";"over",#N/A,TRUE,"Overview";"ts2",#N/A,TRUE,"Det_Trans_Sum";"ei2c",#N/A,TRUE,"Earnings Impact";"ad2",#N/A,TRUE,"accretion dilution";"pfis2",#N/A,TRUE,"Pro Forma Income Statement";"profba",#N/A,TRUE,"Pro Forma Balance Sheet";"acq2c",#N/A,TRUE,"Acquirer";"tar2c",#N/A,TRUE,"Target"}</definedName>
    <definedName name="wrn.43.">{"cover",#N/A,TRUE,"Cover";"toc7",#N/A,TRUE,"TOC";"over",#N/A,TRUE,"Overview";"ts2",#N/A,TRUE,"Det_Trans_Sum";"ei2c",#N/A,TRUE,"Earnings Impact";"ad2",#N/A,TRUE,"accretion dilution";"pfis2",#N/A,TRUE,"Pro Forma Income Statement";"profba",#N/A,TRUE,"Pro Forma Balance Sheet";"acq2c",#N/A,TRUE,"Acquirer";"tar2c",#N/A,TRUE,"Target"}</definedName>
    <definedName name="wrn.43._1"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1_1"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1_1" hidden="1">{"cover",#N/A,TRUE,"Cover";"toc7",#N/A,TRUE,"TOC";"over",#N/A,TRUE,"Overview";"ts2",#N/A,TRUE,"Det_Trans_Sum";"ei2c",#N/A,TRUE,"Earnings Impact";"ad2",#N/A,TRUE,"accretion dilution";"pfis2",#N/A,TRUE,"Pro Forma Income Statement";"profba",#N/A,TRUE,"Pro Forma Balance Sheet";"acq2c",#N/A,TRUE,"Acquirer";"tar2c",#N/A,TRUE,"Target"}</definedName>
    <definedName name="wrn.43._2" localSheetId="10"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0">{"cover",#N/A,TRUE,"Cover";"toc7",#N/A,TRUE,"TOC";"over",#N/A,TRUE,"Overview";"ts2",#N/A,TRUE,"Det_Trans_Sum";"ei3c",#N/A,TRUE,"Earnings Impact";"ad3",#N/A,TRUE,"accretion dilution";"pfis3",#N/A,TRUE,"Pro Forma Income Statement";"profba",#N/A,TRUE,"Pro Forma Balance Sheet";"acq3c",#N/A,TRUE,"Acquirer";"tar3c",#N/A,TRUE,"Target"}</definedName>
    <definedName name="wrn.44.">{"cover",#N/A,TRUE,"Cover";"toc7",#N/A,TRUE,"TOC";"over",#N/A,TRUE,"Overview";"ts2",#N/A,TRUE,"Det_Trans_Sum";"ei3c",#N/A,TRUE,"Earnings Impact";"ad3",#N/A,TRUE,"accretion dilution";"pfis3",#N/A,TRUE,"Pro Forma Income Statement";"profba",#N/A,TRUE,"Pro Forma Balance Sheet";"acq3c",#N/A,TRUE,"Acquirer";"tar3c",#N/A,TRUE,"Target"}</definedName>
    <definedName name="wrn.44._1"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1_1"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1_1" hidden="1">{"cover",#N/A,TRUE,"Cover";"toc7",#N/A,TRUE,"TOC";"over",#N/A,TRUE,"Overview";"ts2",#N/A,TRUE,"Det_Trans_Sum";"ei3c",#N/A,TRUE,"Earnings Impact";"ad3",#N/A,TRUE,"accretion dilution";"pfis3",#N/A,TRUE,"Pro Forma Income Statement";"profba",#N/A,TRUE,"Pro Forma Balance Sheet";"acq3c",#N/A,TRUE,"Acquirer";"tar3c",#N/A,TRUE,"Target"}</definedName>
    <definedName name="wrn.44._2" localSheetId="10"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0">{"cover",#N/A,TRUE,"Cover";"toc8",#N/A,TRUE,"TOC";"over",#N/A,TRUE,"Overview";"ts2",#N/A,TRUE,"Det_Trans_Sum";"eic",#N/A,TRUE,"Earnings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long._.sheet." localSheetId="10">{#N/A,#N/A,FALSE,"Combined LongSheet"}</definedName>
    <definedName name="wrn.45._.long._.sheet.">{#N/A,#N/A,FALSE,"Combined LongSheet"}</definedName>
    <definedName name="wrn.45._1"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_1"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localSheetId="1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0">{"cover",#N/A,TRUE,"Cover";"toc8",#N/A,TRUE,"TOC";"over",#N/A,TRUE,"Overview";"ts2",#N/A,TRUE,"Det_Trans_Sum";"ei1c",#N/A,TRUE,"Earnings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_1"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localSheetId="1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0">{"cover",#N/A,TRUE,"Cover";"toc8",#N/A,TRUE,"TOC";"over",#N/A,TRUE,"Overview";"ts2",#N/A,TRUE,"Det_Trans_Sum";"ei2c",#N/A,TRUE,"Earnings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_1"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localSheetId="1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0">{"cover",#N/A,TRUE,"Cover";"toc8",#N/A,TRUE,"TOC";"over",#N/A,TRUE,"Overview";"ts2",#N/A,TRUE,"Det_Trans_Sum";"ei3c",#N/A,TRUE,"Earnings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_1"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localSheetId="1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0">{"cover",#N/A,TRUE,"Cover";"toc9",#N/A,TRUE,"TOC";"over",#N/A,TRUE,"Overview";"ts2",#N/A,TRUE,"Det_Trans_Sum";"eic",#N/A,TRUE,"Earnings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_1"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localSheetId="1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 localSheetId="10" hidden="1">{#N/A,#N/A,FALSE,"PRO FORMA FINANCIALS"}</definedName>
    <definedName name="wrn.495BS." hidden="1">{#N/A,#N/A,FALSE,"PRO FORMA FINANCIALS"}</definedName>
    <definedName name="wrn.495BSADJUST." localSheetId="10" hidden="1">{#N/A,#N/A,FALSE,"PRO FORMA FINANCIALS"}</definedName>
    <definedName name="wrn.495BSADJUST." hidden="1">{#N/A,#N/A,FALSE,"PRO FORMA FINANCIALS"}</definedName>
    <definedName name="wrn.495IS." localSheetId="10" hidden="1">{#N/A,#N/A,FALSE,"PRO FORMA FINANCIALS"}</definedName>
    <definedName name="wrn.495IS." hidden="1">{#N/A,#N/A,FALSE,"PRO FORMA FINANCIALS"}</definedName>
    <definedName name="wrn.495ISADJUST." localSheetId="10" hidden="1">{#N/A,#N/A,FALSE,"PRO FORMA FINANCIALS"}</definedName>
    <definedName name="wrn.495ISADJUST." hidden="1">{#N/A,#N/A,FALSE,"PRO FORMA FINANCIALS"}</definedName>
    <definedName name="wrn.4th._.Quarter." localSheetId="10">{#N/A,#N/A,TRUE,"4Q BCG";#N/A,#N/A,TRUE,"4Q w|o Wireless";#N/A,#N/A,TRUE,"4Q Wireless"}</definedName>
    <definedName name="wrn.4th._.Quarter.">{#N/A,#N/A,TRUE,"4Q BCG";#N/A,#N/A,TRUE,"4Q w|o Wireless";#N/A,#N/A,TRUE,"4Q Wireless"}</definedName>
    <definedName name="wrn.5." localSheetId="10">{"cover",#N/A,TRUE,"Cover";"toc2",#N/A,TRUE,"TOC";"ts1",#N/A,TRUE,"Transaction Summary";"ei",#N/A,TRUE,"Earnings Impact";"ad",#N/A,TRUE,"accretion dilution";"hg",#N/A,TRUE,"Has-Gets"}</definedName>
    <definedName name="wrn.5.">{"cover",#N/A,TRUE,"Cover";"toc2",#N/A,TRUE,"TOC";"ts1",#N/A,TRUE,"Transaction Summary";"ei",#N/A,TRUE,"Earnings Impact";"ad",#N/A,TRUE,"accretion dilution";"hg",#N/A,TRUE,"Has-Gets"}</definedName>
    <definedName name="wrn.5._.Year." localSheetId="10">{#N/A,#N/A,FALSE,"Cover";"Bal 1",#N/A,FALSE,"Balance Sheet";"Inc 1",#N/A,FALSE,"Income Statement";"CF 1",#N/A,FALSE,"Cashflow";"Bal 2",#N/A,FALSE,"Balance Sheet";"Inc 2",#N/A,FALSE,"Income Statement";"CF 2",#N/A,FALSE,"Cashflow";"Other 1",#N/A,FALSE,"Additional Info"}</definedName>
    <definedName name="wrn.5._.Year.">{#N/A,#N/A,FALSE,"Cover";"Bal 1",#N/A,FALSE,"Balance Sheet";"Inc 1",#N/A,FALSE,"Income Statement";"CF 1",#N/A,FALSE,"Cashflow";"Bal 2",#N/A,FALSE,"Balance Sheet";"Inc 2",#N/A,FALSE,"Income Statement";"CF 2",#N/A,FALSE,"Cashflow";"Other 1",#N/A,FALSE,"Additional Info"}</definedName>
    <definedName name="wrn.5._1" localSheetId="10"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1_1" localSheetId="10" hidden="1">{"cover",#N/A,TRUE,"Cover";"toc2",#N/A,TRUE,"TOC";"ts1",#N/A,TRUE,"Transaction Summary";"ei",#N/A,TRUE,"Earnings Impact";"ad",#N/A,TRUE,"accretion dilution";"hg",#N/A,TRUE,"Has-Gets"}</definedName>
    <definedName name="wrn.5._1_1" hidden="1">{"cover",#N/A,TRUE,"Cover";"toc2",#N/A,TRUE,"TOC";"ts1",#N/A,TRUE,"Transaction Summary";"ei",#N/A,TRUE,"Earnings Impact";"ad",#N/A,TRUE,"accretion dilution";"hg",#N/A,TRUE,"Has-Gets"}</definedName>
    <definedName name="wrn.5._2" localSheetId="10"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0." localSheetId="1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_1"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localSheetId="1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0">{"cover",#N/A,TRUE,"Cover";"toc9",#N/A,TRUE,"TOC";"over",#N/A,TRUE,"Overview";"ei2c",#N/A,TRUE,"Earnings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_1"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localSheetId="1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0">{"cover",#N/A,TRUE,"Cover";"toc9",#N/A,TRUE,"TOC";"over",#N/A,TRUE,"Overview";"ts2",#N/A,TRUE,"Det_Trans_Sum";"ei3c",#N/A,TRUE,"Earnings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_1"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localSheetId="1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0">{"cover",#N/A,TRUE,"Cover";"toc10",#N/A,TRUE,"TOC";"over",#N/A,TRUE,"Overview";"ts2",#N/A,TRUE,"Det_Trans_Sum";"eic",#N/A,TRUE,"Earnings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_1"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localSheetId="1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0">{"cover",#N/A,TRUE,"Cover";"toc10",#N/A,TRUE,"TOC";"over",#N/A,TRUE,"Overview";"over",#N/A,TRUE,"Det_Trans_Sum";"ei1c",#N/A,TRUE,"Earnings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_1"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localSheetId="1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0">{"cover",#N/A,TRUE,"Cover";"toc10",#N/A,TRUE,"TOC";"over",#N/A,TRUE,"Overview";"ts2",#N/A,TRUE,"Det_Trans_Sum";"ei2c",#N/A,TRUE,"Earnings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_1"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localSheetId="1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0">{"cover",#N/A,TRUE,"Cover";"toc10",#N/A,TRUE,"TOC";"over",#N/A,TRUE,"Overview";"ts2",#N/A,TRUE,"Det_Trans_Sum";"ei3c",#N/A,TRUE,"Earnings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_1"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localSheetId="1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0">{"cover",#N/A,TRUE,"Cover";"toc7",#N/A,TRUE,"TOC";"over",#N/A,TRUE,"Overview";"ts2",#N/A,TRUE,"Det_Trans_Sum";"ei",#N/A,TRUE,"Earnings Impact";"ad",#N/A,TRUE,"accretion dilution";"pfis",#N/A,TRUE,"Pro Forma Income Statement";"profba",#N/A,TRUE,"Pro Forma Balance Sheet";"acq",#N/A,TRUE,"Acquirer";"tar",#N/A,TRUE,"Target"}</definedName>
    <definedName name="wrn.57.">{"cover",#N/A,TRUE,"Cover";"toc7",#N/A,TRUE,"TOC";"over",#N/A,TRUE,"Overview";"ts2",#N/A,TRUE,"Det_Trans_Sum";"ei",#N/A,TRUE,"Earnings Impact";"ad",#N/A,TRUE,"accretion dilution";"pfis",#N/A,TRUE,"Pro Forma Income Statement";"profba",#N/A,TRUE,"Pro Forma Balance Sheet";"acq",#N/A,TRUE,"Acquirer";"tar",#N/A,TRUE,"Target"}</definedName>
    <definedName name="wrn.57._1" localSheetId="10"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1_1" localSheetId="10" hidden="1">{"cover",#N/A,TRUE,"Cover";"toc7",#N/A,TRUE,"TOC";"over",#N/A,TRUE,"Overview";"ts2",#N/A,TRUE,"Det_Trans_Sum";"ei",#N/A,TRUE,"Earnings Impact";"ad",#N/A,TRUE,"accretion dilution";"pfis",#N/A,TRUE,"Pro Forma Income Statement";"profba",#N/A,TRUE,"Pro Forma Balance Sheet";"acq",#N/A,TRUE,"Acquirer";"tar",#N/A,TRUE,"Target"}</definedName>
    <definedName name="wrn.57._1_1" hidden="1">{"cover",#N/A,TRUE,"Cover";"toc7",#N/A,TRUE,"TOC";"over",#N/A,TRUE,"Overview";"ts2",#N/A,TRUE,"Det_Trans_Sum";"ei",#N/A,TRUE,"Earnings Impact";"ad",#N/A,TRUE,"accretion dilution";"pfis",#N/A,TRUE,"Pro Forma Income Statement";"profba",#N/A,TRUE,"Pro Forma Balance Sheet";"acq",#N/A,TRUE,"Acquirer";"tar",#N/A,TRUE,"Target"}</definedName>
    <definedName name="wrn.57._2" localSheetId="10"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8." localSheetId="10">{"cover",#N/A,TRUE,"Cover";"toc7",#N/A,TRUE,"TOC";"over",#N/A,TRUE,"Overview";"ts2",#N/A,TRUE,"Det_Trans_Sum";"ei1",#N/A,TRUE,"Earnings Impact";"ad1",#N/A,TRUE,"accretion dilution";"pfis1",#N/A,TRUE,"Pro Forma Income Statement";"profba",#N/A,TRUE,"Pro Forma Balance Sheet";"acq1",#N/A,TRUE,"Acquirer";"tar1",#N/A,TRUE,"Target"}</definedName>
    <definedName name="wrn.58.">{"cover",#N/A,TRUE,"Cover";"toc7",#N/A,TRUE,"TOC";"over",#N/A,TRUE,"Overview";"ts2",#N/A,TRUE,"Det_Trans_Sum";"ei1",#N/A,TRUE,"Earnings Impact";"ad1",#N/A,TRUE,"accretion dilution";"pfis1",#N/A,TRUE,"Pro Forma Income Statement";"profba",#N/A,TRUE,"Pro Forma Balance Sheet";"acq1",#N/A,TRUE,"Acquirer";"tar1",#N/A,TRUE,"Target"}</definedName>
    <definedName name="wrn.58._1"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1_1"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1_1" hidden="1">{"cover",#N/A,TRUE,"Cover";"toc7",#N/A,TRUE,"TOC";"over",#N/A,TRUE,"Overview";"ts2",#N/A,TRUE,"Det_Trans_Sum";"ei1",#N/A,TRUE,"Earnings Impact";"ad1",#N/A,TRUE,"accretion dilution";"pfis1",#N/A,TRUE,"Pro Forma Income Statement";"profba",#N/A,TRUE,"Pro Forma Balance Sheet";"acq1",#N/A,TRUE,"Acquirer";"tar1",#N/A,TRUE,"Target"}</definedName>
    <definedName name="wrn.58._2" localSheetId="10"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0">{"cover",#N/A,TRUE,"Cover";"toc7",#N/A,TRUE,"TOC";"over",#N/A,TRUE,"Overview";"ts2",#N/A,TRUE,"Det_Trans_Sum";"ei2",#N/A,TRUE,"Earnings Impact";"ad2",#N/A,TRUE,"accretion dilution";"pfis2",#N/A,TRUE,"Pro Forma Income Statement";"profba",#N/A,TRUE,"Pro Forma Balance Sheet";"acq2",#N/A,TRUE,"Acquirer";"tar2",#N/A,TRUE,"Target"}</definedName>
    <definedName name="wrn.59.">{"cover",#N/A,TRUE,"Cover";"toc7",#N/A,TRUE,"TOC";"over",#N/A,TRUE,"Overview";"ts2",#N/A,TRUE,"Det_Trans_Sum";"ei2",#N/A,TRUE,"Earnings Impact";"ad2",#N/A,TRUE,"accretion dilution";"pfis2",#N/A,TRUE,"Pro Forma Income Statement";"profba",#N/A,TRUE,"Pro Forma Balance Sheet";"acq2",#N/A,TRUE,"Acquirer";"tar2",#N/A,TRUE,"Target"}</definedName>
    <definedName name="wrn.59._1"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1_1"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1_1" hidden="1">{"cover",#N/A,TRUE,"Cover";"toc7",#N/A,TRUE,"TOC";"over",#N/A,TRUE,"Overview";"ts2",#N/A,TRUE,"Det_Trans_Sum";"ei2",#N/A,TRUE,"Earnings Impact";"ad2",#N/A,TRUE,"accretion dilution";"pfis2",#N/A,TRUE,"Pro Forma Income Statement";"profba",#N/A,TRUE,"Pro Forma Balance Sheet";"acq2",#N/A,TRUE,"Acquirer";"tar2",#N/A,TRUE,"Target"}</definedName>
    <definedName name="wrn.59._2" localSheetId="10"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0">{"cover",#N/A,TRUE,"Cover";"toc2",#N/A,TRUE,"TOC";"ts1",#N/A,TRUE,"Transaction Summary";"ei1",#N/A,TRUE,"Earnings Impact";"ad1",#N/A,TRUE,"accretion dilution";"hg1",#N/A,TRUE,"Has-Gets"}</definedName>
    <definedName name="wrn.6.">{"cover",#N/A,TRUE,"Cover";"toc2",#N/A,TRUE,"TOC";"ts1",#N/A,TRUE,"Transaction Summary";"ei1",#N/A,TRUE,"Earnings Impact";"ad1",#N/A,TRUE,"accretion dilution";"hg1",#N/A,TRUE,"Has-Gets"}</definedName>
    <definedName name="wrn.6._1" localSheetId="10"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1_1" localSheetId="10" hidden="1">{"cover",#N/A,TRUE,"Cover";"toc2",#N/A,TRUE,"TOC";"ts1",#N/A,TRUE,"Transaction Summary";"ei1",#N/A,TRUE,"Earnings Impact";"ad1",#N/A,TRUE,"accretion dilution";"hg1",#N/A,TRUE,"Has-Gets"}</definedName>
    <definedName name="wrn.6._1_1" hidden="1">{"cover",#N/A,TRUE,"Cover";"toc2",#N/A,TRUE,"TOC";"ts1",#N/A,TRUE,"Transaction Summary";"ei1",#N/A,TRUE,"Earnings Impact";"ad1",#N/A,TRUE,"accretion dilution";"hg1",#N/A,TRUE,"Has-Gets"}</definedName>
    <definedName name="wrn.6._2" localSheetId="10"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0." localSheetId="10">{"cover",#N/A,TRUE,"Cover";"toc7",#N/A,TRUE,"TOC";"over",#N/A,TRUE,"Overview";"ts2",#N/A,TRUE,"Det_Trans_Sum";"ei3",#N/A,TRUE,"Earnings Impact";"ad3",#N/A,TRUE,"accretion dilution";"pfis3",#N/A,TRUE,"Pro Forma Income Statement";"profba",#N/A,TRUE,"Pro Forma Balance Sheet";"acq3",#N/A,TRUE,"Acquirer";"tar3",#N/A,TRUE,"Target"}</definedName>
    <definedName name="wrn.60.">{"cover",#N/A,TRUE,"Cover";"toc7",#N/A,TRUE,"TOC";"over",#N/A,TRUE,"Overview";"ts2",#N/A,TRUE,"Det_Trans_Sum";"ei3",#N/A,TRUE,"Earnings Impact";"ad3",#N/A,TRUE,"accretion dilution";"pfis3",#N/A,TRUE,"Pro Forma Income Statement";"profba",#N/A,TRUE,"Pro Forma Balance Sheet";"acq3",#N/A,TRUE,"Acquirer";"tar3",#N/A,TRUE,"Target"}</definedName>
    <definedName name="wrn.60._1"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1_1"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1_1" hidden="1">{"cover",#N/A,TRUE,"Cover";"toc7",#N/A,TRUE,"TOC";"over",#N/A,TRUE,"Overview";"ts2",#N/A,TRUE,"Det_Trans_Sum";"ei3",#N/A,TRUE,"Earnings Impact";"ad3",#N/A,TRUE,"accretion dilution";"pfis3",#N/A,TRUE,"Pro Forma Income Statement";"profba",#N/A,TRUE,"Pro Forma Balance Sheet";"acq3",#N/A,TRUE,"Acquirer";"tar3",#N/A,TRUE,"Target"}</definedName>
    <definedName name="wrn.60._2" localSheetId="10"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0">{"cover",#N/A,TRUE,"Cover";"toc8",#N/A,TRUE,"TOC";"over",#N/A,TRUE,"Overview";"ts2",#N/A,TRUE,"Det_Trans_Sum";"ei",#N/A,TRUE,"Earnings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_1"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localSheetId="1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0">{"cover",#N/A,TRUE,"Cover";"toc8",#N/A,TRUE,"TOC";"over",#N/A,TRUE,"Overview";"ts2",#N/A,TRUE,"Det_Trans_Sum";"ei1",#N/A,TRUE,"Earnings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_1"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localSheetId="1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0">{"cover",#N/A,TRUE,"Cover";"toc8",#N/A,TRUE,"TOC";"over",#N/A,TRUE,"Overview";"ts2",#N/A,TRUE,"Det_Trans_Sum";"ei2",#N/A,TRUE,"Earnings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_1"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localSheetId="1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0">{"cover",#N/A,TRUE,"Cover";"toc8",#N/A,TRUE,"TOC";"over",#N/A,TRUE,"Overview";"ts2",#N/A,TRUE,"Det_Trans_Sum";"ei3",#N/A,TRUE,"Earnings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_1"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localSheetId="1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0">{"cover",#N/A,TRUE,"Cover";"toc9",#N/A,TRUE,"TOC";"over",#N/A,TRUE,"Overview";"ts2",#N/A,TRUE,"Det_Trans_Sum";"ei",#N/A,TRUE,"Earnings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_1"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localSheetId="1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0">{"cover",#N/A,TRUE,"Cover";"toc9",#N/A,TRUE,"TOC";"over",#N/A,TRUE,"Overview";"ts2",#N/A,TRUE,"Det_Trans_Sum";"ei1",#N/A,TRUE,"Earnings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_1"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localSheetId="1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0">{"cover",#N/A,TRUE,"Cover";"toc9",#N/A,TRUE,"TOC";"over",#N/A,TRUE,"Overview";"ts2",#N/A,TRUE,"Det_Trans_Sum";"ei2",#N/A,TRUE,"Earnings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_1"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localSheetId="1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0">{"cover",#N/A,TRUE,"Cover";"toc9",#N/A,TRUE,"TOC";"over",#N/A,TRUE,"Overview";"ts2",#N/A,TRUE,"Det_Trans_Sum";"ei3",#N/A,TRUE,"Earnings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_1"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localSheetId="1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0">{"cover",#N/A,TRUE,"Cover";"toc10",#N/A,TRUE,"TOC";"over",#N/A,TRUE,"Overview";"ts2",#N/A,TRUE,"Det_Trans_Sum";"ei",#N/A,TRUE,"Earnings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_1"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localSheetId="1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0">{"cover",#N/A,TRUE,"Cover";"toc2",#N/A,TRUE,"TOC";"ts1",#N/A,TRUE,"Transaction Summary";"ei2c",#N/A,TRUE,"Earnings Impact";"ad2",#N/A,TRUE,"accretion dilution";"hg2",#N/A,TRUE,"Has-Gets"}</definedName>
    <definedName name="wrn.7.">{"cover",#N/A,TRUE,"Cover";"toc2",#N/A,TRUE,"TOC";"ts1",#N/A,TRUE,"Transaction Summary";"ei2c",#N/A,TRUE,"Earnings Impact";"ad2",#N/A,TRUE,"accretion dilution";"hg2",#N/A,TRUE,"Has-Gets"}</definedName>
    <definedName name="wrn.7._1" localSheetId="10"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1_1" localSheetId="10" hidden="1">{"cover",#N/A,TRUE,"Cover";"toc2",#N/A,TRUE,"TOC";"ts1",#N/A,TRUE,"Transaction Summary";"ei2c",#N/A,TRUE,"Earnings Impact";"ad2",#N/A,TRUE,"accretion dilution";"hg2",#N/A,TRUE,"Has-Gets"}</definedName>
    <definedName name="wrn.7._1_1" hidden="1">{"cover",#N/A,TRUE,"Cover";"toc2",#N/A,TRUE,"TOC";"ts1",#N/A,TRUE,"Transaction Summary";"ei2c",#N/A,TRUE,"Earnings Impact";"ad2",#N/A,TRUE,"accretion dilution";"hg2",#N/A,TRUE,"Has-Gets"}</definedName>
    <definedName name="wrn.7._2" localSheetId="10"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0." localSheetId="1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_1"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1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localSheetId="1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0">{"cover",#N/A,TRUE,"Cover";"toc10",#N/A,TRUE,"TOC";"over",#N/A,TRUE,"Overview";"ts2",#N/A,TRUE,"Det_Trans_Sum";"ei2",#N/A,TRUE,"Earnings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_1"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localSheetId="1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0">{"cover",#N/A,TRUE,"Cover";"toc10",#N/A,TRUE,"TOC";"over",#N/A,TRUE,"Overview";"ts2",#N/A,TRUE,"Det_Trans_Sum";"ei3",#N/A,TRUE,"Earnings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_1"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localSheetId="1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10">{#N/A,#N/A,FALSE,"REPORT"}</definedName>
    <definedName name="wrn.730.">{#N/A,#N/A,FALSE,"REPORT"}</definedName>
    <definedName name="wrn.731" localSheetId="10">{#N/A,#N/A,FALSE,"REPORT"}</definedName>
    <definedName name="wrn.731">{#N/A,#N/A,FALSE,"REPORT"}</definedName>
    <definedName name="wrn.750." localSheetId="10">{#N/A,#N/A,FALSE,"REPORT"}</definedName>
    <definedName name="wrn.750.">{#N/A,#N/A,FALSE,"REPORT"}</definedName>
    <definedName name="wrn.7501" localSheetId="10">{#N/A,#N/A,FALSE,"REPORT"}</definedName>
    <definedName name="wrn.7501">{#N/A,#N/A,FALSE,"REPORT"}</definedName>
    <definedName name="wrn.760.16." localSheetId="10">{#N/A,#N/A,FALSE,"REPORT"}</definedName>
    <definedName name="wrn.760.16.">{#N/A,#N/A,FALSE,"REPORT"}</definedName>
    <definedName name="wrn.7900" localSheetId="10">{#N/A,#N/A,FALSE,"REPORT"}</definedName>
    <definedName name="wrn.7900">{#N/A,#N/A,FALSE,"REPORT"}</definedName>
    <definedName name="wrn.8." localSheetId="10">{"cover",#N/A,TRUE,"Cover";"toc2",#N/A,TRUE,"TOC";"ts1",#N/A,TRUE,"Transaction Summary";"ei3",#N/A,TRUE,"Earnings Impact";"ad3",#N/A,TRUE,"accretion dilution";"hg3",#N/A,TRUE,"Has-Gets"}</definedName>
    <definedName name="wrn.8.">{"cover",#N/A,TRUE,"Cover";"toc2",#N/A,TRUE,"TOC";"ts1",#N/A,TRUE,"Transaction Summary";"ei3",#N/A,TRUE,"Earnings Impact";"ad3",#N/A,TRUE,"accretion dilution";"hg3",#N/A,TRUE,"Has-Gets"}</definedName>
    <definedName name="wrn.8._1" localSheetId="10"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1_1" localSheetId="10" hidden="1">{"cover",#N/A,TRUE,"Cover";"toc2",#N/A,TRUE,"TOC";"ts1",#N/A,TRUE,"Transaction Summary";"ei3",#N/A,TRUE,"Earnings Impact";"ad3",#N/A,TRUE,"accretion dilution";"hg3",#N/A,TRUE,"Has-Gets"}</definedName>
    <definedName name="wrn.8._1_1" hidden="1">{"cover",#N/A,TRUE,"Cover";"toc2",#N/A,TRUE,"TOC";"ts1",#N/A,TRUE,"Transaction Summary";"ei3",#N/A,TRUE,"Earnings Impact";"ad3",#N/A,TRUE,"accretion dilution";"hg3",#N/A,TRUE,"Has-Gets"}</definedName>
    <definedName name="wrn.8._2" localSheetId="10"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9." localSheetId="10">{"cover",#N/A,TRUE,"Cover";"toc3",#N/A,TRUE,"TOC";"over",#N/A,TRUE,"Overview";"ts2",#N/A,TRUE,"Det_Trans_Sum";"eic",#N/A,TRUE,"Earnings Impact";"ad",#N/A,TRUE,"accretion dilution";"pfis",#N/A,TRUE,"Pro Forma Income Statement";"acqc",#N/A,TRUE,"Acquirer";"tarc",#N/A,TRUE,"Target"}</definedName>
    <definedName name="wrn.9.">{"cover",#N/A,TRUE,"Cover";"toc3",#N/A,TRUE,"TOC";"over",#N/A,TRUE,"Overview";"ts2",#N/A,TRUE,"Det_Trans_Sum";"eic",#N/A,TRUE,"Earnings Impact";"ad",#N/A,TRUE,"accretion dilution";"pfis",#N/A,TRUE,"Pro Forma Income Statement";"acqc",#N/A,TRUE,"Acquirer";"tarc",#N/A,TRUE,"Target"}</definedName>
    <definedName name="wrn.9._1" localSheetId="10"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1_1" localSheetId="10" hidden="1">{"cover",#N/A,TRUE,"Cover";"toc3",#N/A,TRUE,"TOC";"over",#N/A,TRUE,"Overview";"ts2",#N/A,TRUE,"Det_Trans_Sum";"eic",#N/A,TRUE,"Earnings Impact";"ad",#N/A,TRUE,"accretion dilution";"pfis",#N/A,TRUE,"Pro Forma Income Statement";"acqc",#N/A,TRUE,"Acquirer";"tarc",#N/A,TRUE,"Target"}</definedName>
    <definedName name="wrn.9._1_1" hidden="1">{"cover",#N/A,TRUE,"Cover";"toc3",#N/A,TRUE,"TOC";"over",#N/A,TRUE,"Overview";"ts2",#N/A,TRUE,"Det_Trans_Sum";"eic",#N/A,TRUE,"Earnings Impact";"ad",#N/A,TRUE,"accretion dilution";"pfis",#N/A,TRUE,"Pro Forma Income Statement";"acqc",#N/A,TRUE,"Acquirer";"tarc",#N/A,TRUE,"Target"}</definedName>
    <definedName name="wrn.9._2" localSheetId="10"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0._.Adv._.Board."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_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_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0">{#N/A,#N/A,FALSE,"REPORT"}</definedName>
    <definedName name="wrn.905">{#N/A,#N/A,FALSE,"REPORT"}</definedName>
    <definedName name="wrn.94PV." localSheetId="10" hidden="1">{"Page1",#N/A,FALSE,"94PV";"Page2",#N/A,FALSE,"94PV"}</definedName>
    <definedName name="wrn.94PV." localSheetId="15" hidden="1">{"Page1",#N/A,FALSE,"94PV";"Page2",#N/A,FALSE,"94PV"}</definedName>
    <definedName name="wrn.94PV." hidden="1">{"Page1",#N/A,FALSE,"94PV";"Page2",#N/A,FALSE,"94PV"}</definedName>
    <definedName name="wrn.96_Finan." localSheetId="10" hidden="1">{"Finan_96",#N/A,FALSE,"proforma"}</definedName>
    <definedName name="wrn.96_Finan." hidden="1">{"Finan_96",#N/A,FALSE,"proforma"}</definedName>
    <definedName name="wrn.96PLAN." localSheetId="10" hidden="1">{#N/A,#N/A,FALSE,"SUMMTH"}</definedName>
    <definedName name="wrn.96PLAN." hidden="1">{#N/A,#N/A,FALSE,"SUMMTH"}</definedName>
    <definedName name="wrn.97_Finan." localSheetId="10" hidden="1">{"Finan_97",#N/A,FALSE,"proforma"}</definedName>
    <definedName name="wrn.97_Finan." hidden="1">{"Finan_97",#N/A,FALSE,"proforma"}</definedName>
    <definedName name="wrn.97_Utility."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 hidden="1">{#N/A,#N/A,FALSE,"Statements";#N/A,#N/A,FALSE,"Capital";#N/A,#N/A,FALSE,"UTIL Monthly Inc ";#N/A,#N/A,FALSE,"UTIL REVENUE";#N/A,#N/A,FALSE,"UTIL SERV REV ";#N/A,#N/A,FALSE,"Manpower";#N/A,#N/A,FALSE,"Maintenance";#N/A,#N/A,FALSE,"Util Sales Support";#N/A,#N/A,FALSE,"SI - UTIL";#N/A,#N/A,FALSE,"Sales - Utili";#N/A,#N/A,FALSE,"Util - Mktg"}</definedName>
    <definedName name="wrn.97_Utility.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2"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3"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4"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1_5" hidden="1">{#N/A,#N/A,FALSE,"Statements";#N/A,#N/A,FALSE,"Capital";#N/A,#N/A,FALSE,"UTIL Monthly Inc ";#N/A,#N/A,FALSE,"UTIL REVENUE";#N/A,#N/A,FALSE,"UTIL SERV REV ";#N/A,#N/A,FALSE,"Manpower";#N/A,#N/A,FALSE,"Maintenance";#N/A,#N/A,FALSE,"Util Sales Support";#N/A,#N/A,FALSE,"SI - UTIL";#N/A,#N/A,FALSE,"Sales - Utili";#N/A,#N/A,FALSE,"Util - Mktg"}</definedName>
    <definedName name="wrn.97_Utility.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1"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2"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3"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4"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2_5" hidden="1">{#N/A,#N/A,FALSE,"Statements";#N/A,#N/A,FALSE,"Capital";#N/A,#N/A,FALSE,"UTIL Monthly Inc ";#N/A,#N/A,FALSE,"UTIL REVENUE";#N/A,#N/A,FALSE,"UTIL SERV REV ";#N/A,#N/A,FALSE,"Manpower";#N/A,#N/A,FALSE,"Maintenance";#N/A,#N/A,FALSE,"Util Sales Support";#N/A,#N/A,FALSE,"SI - UTIL";#N/A,#N/A,FALSE,"Sales - Utili";#N/A,#N/A,FALSE,"Util - Mktg"}</definedName>
    <definedName name="wrn.97_Utility.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1"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2"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3"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4"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3_5" hidden="1">{#N/A,#N/A,FALSE,"Statements";#N/A,#N/A,FALSE,"Capital";#N/A,#N/A,FALSE,"UTIL Monthly Inc ";#N/A,#N/A,FALSE,"UTIL REVENUE";#N/A,#N/A,FALSE,"UTIL SERV REV ";#N/A,#N/A,FALSE,"Manpower";#N/A,#N/A,FALSE,"Maintenance";#N/A,#N/A,FALSE,"Util Sales Support";#N/A,#N/A,FALSE,"SI - UTIL";#N/A,#N/A,FALSE,"Sales - Utili";#N/A,#N/A,FALSE,"Util - Mktg"}</definedName>
    <definedName name="wrn.97_Utility._4"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4" hidden="1">{#N/A,#N/A,FALSE,"Statements";#N/A,#N/A,FALSE,"Capital";#N/A,#N/A,FALSE,"UTIL Monthly Inc ";#N/A,#N/A,FALSE,"UTIL REVENUE";#N/A,#N/A,FALSE,"UTIL SERV REV ";#N/A,#N/A,FALSE,"Manpower";#N/A,#N/A,FALSE,"Maintenance";#N/A,#N/A,FALSE,"Util Sales Support";#N/A,#N/A,FALSE,"SI - UTIL";#N/A,#N/A,FALSE,"Sales - Utili";#N/A,#N/A,FALSE,"Util - Mktg"}</definedName>
    <definedName name="wrn.97_Utility._5" localSheetId="10" hidden="1">{#N/A,#N/A,FALSE,"Statements";#N/A,#N/A,FALSE,"Capital";#N/A,#N/A,FALSE,"UTIL Monthly Inc ";#N/A,#N/A,FALSE,"UTIL REVENUE";#N/A,#N/A,FALSE,"UTIL SERV REV ";#N/A,#N/A,FALSE,"Manpower";#N/A,#N/A,FALSE,"Maintenance";#N/A,#N/A,FALSE,"Util Sales Support";#N/A,#N/A,FALSE,"SI - UTIL";#N/A,#N/A,FALSE,"Sales - Utili";#N/A,#N/A,FALSE,"Util - Mktg"}</definedName>
    <definedName name="wrn.97_Utility._5" hidden="1">{#N/A,#N/A,FALSE,"Statements";#N/A,#N/A,FALSE,"Capital";#N/A,#N/A,FALSE,"UTIL Monthly Inc ";#N/A,#N/A,FALSE,"UTIL REVENUE";#N/A,#N/A,FALSE,"UTIL SERV REV ";#N/A,#N/A,FALSE,"Manpower";#N/A,#N/A,FALSE,"Maintenance";#N/A,#N/A,FALSE,"Util Sales Support";#N/A,#N/A,FALSE,"SI - UTIL";#N/A,#N/A,FALSE,"Sales - Utili";#N/A,#N/A,FALSE,"Util - Mktg"}</definedName>
    <definedName name="wrn.99999" localSheetId="10">{#N/A,#N/A,FALSE,"REPORT"}</definedName>
    <definedName name="wrn.99999">{#N/A,#N/A,FALSE,"REPORT"}</definedName>
    <definedName name="wrn.A_B_workpapers." localSheetId="10"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B_workpapers."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 localSheetId="10" hidden="1">{#N/A,#N/A,FALSE,"A_D";#N/A,#N/A,FALSE,"WACC";#N/A,#N/A,FALSE,"DCF";#N/A,#N/A,FALSE,"A";#N/A,#N/A,FALSE,"LBO";#N/A,#N/A,FALSE,"C";#N/A,#N/A,FALSE,"impd";#N/A,#N/A,FALSE,"comps"}</definedName>
    <definedName name="wrn.A_VALUATION." localSheetId="15"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_VALUATION._1" localSheetId="10"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aa" localSheetId="10">{#N/A,#N/A,FALSE,"Pharm";#N/A,#N/A,FALSE,"WWCM"}</definedName>
    <definedName name="wrn.aaa">{#N/A,#N/A,FALSE,"Pharm";#N/A,#N/A,FALSE,"WWCM"}</definedName>
    <definedName name="wrn.aaaaaaa" localSheetId="10">{#N/A,#N/A,FALSE,"Pharm";#N/A,#N/A,FALSE,"WWCM"}</definedName>
    <definedName name="wrn.aaaaaaa">{#N/A,#N/A,FALSE,"Pharm";#N/A,#N/A,FALSE,"WWCM"}</definedName>
    <definedName name="wrn.Accounts." localSheetId="10" hidden="1">{"turnover",#N/A,FALSE;"profits",#N/A,FALSE;"cash",#N/A,FALSE}</definedName>
    <definedName name="wrn.Accounts." localSheetId="15" hidden="1">{"turnover",#N/A,FALSE;"profits",#N/A,FALSE;"cash",#N/A,FALSE}</definedName>
    <definedName name="wrn.Accounts." hidden="1">{"turnover",#N/A,FALSE;"profits",#N/A,FALSE;"cash",#N/A,FALSE}</definedName>
    <definedName name="wrn.ACCOUNTS._.PAYABLE." localSheetId="10" hidden="1">{#N/A,#N/A,FALSE,"CC-1 Accounts Payable";#N/A,#N/A,FALSE,"CC-2 Search for Unrecorded Liab"}</definedName>
    <definedName name="wrn.ACCOUNTS._.PAYABLE." hidden="1">{#N/A,#N/A,FALSE,"CC-1 Accounts Payable";#N/A,#N/A,FALSE,"CC-2 Search for Unrecorded Liab"}</definedName>
    <definedName name="wrn.Accr_Dil." localSheetId="10" hidden="1">{#N/A,#N/A,FALSE,"Debt Accr";#N/A,#N/A,FALSE,"Stock Accr";#N/A,#N/A,FALSE,"Debt Stock Accr"}</definedName>
    <definedName name="wrn.Accr_Dil." localSheetId="15" hidden="1">{#N/A,#N/A,FALSE,"Debt Accr";#N/A,#N/A,FALSE,"Stock Accr";#N/A,#N/A,FALSE,"Debt Stock Accr"}</definedName>
    <definedName name="wrn.Accr_Dil." hidden="1">{#N/A,#N/A,FALSE,"Debt Accr";#N/A,#N/A,FALSE,"Stock Accr";#N/A,#N/A,FALSE,"Debt Stock Accr"}</definedName>
    <definedName name="wrn.Accr_Dil._1" localSheetId="10" hidden="1">{#N/A,#N/A,FALSE,"Debt Accr";#N/A,#N/A,FALSE,"Stock Accr";#N/A,#N/A,FALSE,"Debt Stock Accr"}</definedName>
    <definedName name="wrn.Accr_Dil._1" hidden="1">{#N/A,#N/A,FALSE,"Debt Accr";#N/A,#N/A,FALSE,"Stock Accr";#N/A,#N/A,FALSE,"Debt Stock Accr"}</definedName>
    <definedName name="wrn.Accretion." localSheetId="10" hidden="1">{"Accretion",#N/A,FALSE,"Assum"}</definedName>
    <definedName name="wrn.Accretion." localSheetId="15" hidden="1">{"Accretion",#N/A,FALSE,"Assum"}</definedName>
    <definedName name="wrn.Accretion." hidden="1">{"Accretion",#N/A,FALSE,"Assum"}</definedName>
    <definedName name="wrn.ACCRUED._.EXPENSES." localSheetId="10"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10" hidden="1">{#N/A,#N/A,TRUE,"Highlights";#N/A,#N/A,TRUE,"BS_Oriental International Bank";#N/A,#N/A,TRUE,"P&amp;L_Oriental International Bank";#N/A,#N/A,TRUE,"Revenues Report_OIB";#N/A,#N/A,TRUE,"Expenses OIB";#N/A,#N/A,TRUE,"Margin_ORIENTAL INTL BANK";#N/A,#N/A,TRUE,"PL Quarterly_OIB";#N/A,#N/A,TRUE,"COVER"}</definedName>
    <definedName name="wrn.ACCT._.PACKAGE._.REPORT." localSheetId="15"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cts." localSheetId="10" hidden="1">{"1.accts",#N/A,FALSE,"2.Operations 6100";"2.accts",#N/A,FALSE,"2.Operations 6100"}</definedName>
    <definedName name="wrn.accts." localSheetId="15" hidden="1">{"1.accts",#N/A,FALSE,"2.Operations 6100";"2.accts",#N/A,FALSE,"2.Operations 6100"}</definedName>
    <definedName name="wrn.accts." hidden="1">{"1.accts",#N/A,FALSE,"2.Operations 6100";"2.accts",#N/A,FALSE,"2.Operations 6100"}</definedName>
    <definedName name="wrn.ACK." localSheetId="10" hidden="1">{"Annual",#N/A,FALSE,"ACK";"Margins",#N/A,FALSE,"ACK";"Q",#N/A,FALSE,"QTRS."}</definedName>
    <definedName name="wrn.ACK." hidden="1">{"Annual",#N/A,FALSE,"ACK";"Margins",#N/A,FALSE,"ACK";"Q",#N/A,FALSE,"QTRS."}</definedName>
    <definedName name="wrn.Acquiror." localSheetId="10" hidden="1">{"a_Acquiror Assumptions",#N/A,FALSE,"Financials";"b_Acquiror Income Statement",#N/A,FALSE,"Financials";"c_Acquiror Balance Sheet",#N/A,FALSE,"Financials";"d_Acquiror Cashflow Statement",#N/A,FALSE,"Financials"}</definedName>
    <definedName name="wrn.Acquiror." hidden="1">{"a_Acquiror Assumptions",#N/A,FALSE,"Financials";"b_Acquiror Income Statement",#N/A,FALSE,"Financials";"c_Acquiror Balance Sheet",#N/A,FALSE,"Financials";"d_Acquiror Cashflow Statement",#N/A,FALSE,"Financials"}</definedName>
    <definedName name="wrn.Acquiror._1" localSheetId="10" hidden="1">{"a_Acquiror Assumptions",#N/A,FALSE,"Financials";"b_Acquiror Income Statement",#N/A,FALSE,"Financials";"c_Acquiror Balance Sheet",#N/A,FALSE,"Financials";"d_Acquiror Cashflow Statement",#N/A,FALSE,"Financials"}</definedName>
    <definedName name="wrn.Acquiror._1" hidden="1">{"a_Acquiror Assumptions",#N/A,FALSE,"Financials";"b_Acquiror Income Statement",#N/A,FALSE,"Financials";"c_Acquiror Balance Sheet",#N/A,FALSE,"Financials";"d_Acquiror Cashflow Statement",#N/A,FALSE,"Financials"}</definedName>
    <definedName name="wrn.Acquiror._1_1" localSheetId="10" hidden="1">{"a_Acquiror Assumptions",#N/A,FALSE,"Financials";"b_Acquiror Income Statement",#N/A,FALSE,"Financials";"c_Acquiror Balance Sheet",#N/A,FALSE,"Financials";"d_Acquiror Cashflow Statement",#N/A,FALSE,"Financials"}</definedName>
    <definedName name="wrn.Acquiror._1_1" hidden="1">{"a_Acquiror Assumptions",#N/A,FALSE,"Financials";"b_Acquiror Income Statement",#N/A,FALSE,"Financials";"c_Acquiror Balance Sheet",#N/A,FALSE,"Financials";"d_Acquiror Cashflow Statement",#N/A,FALSE,"Financials"}</definedName>
    <definedName name="wrn.Acquiror._2" localSheetId="10" hidden="1">{"a_Acquiror Assumptions",#N/A,FALSE,"Financials";"b_Acquiror Income Statement",#N/A,FALSE,"Financials";"c_Acquiror Balance Sheet",#N/A,FALSE,"Financials";"d_Acquiror Cashflow Statement",#N/A,FALSE,"Financials"}</definedName>
    <definedName name="wrn.Acquiror._2" hidden="1">{"a_Acquiror Assumptions",#N/A,FALSE,"Financials";"b_Acquiror Income Statement",#N/A,FALSE,"Financials";"c_Acquiror Balance Sheet",#N/A,FALSE,"Financials";"d_Acquiror Cashflow Statement",#N/A,FALSE,"Financials"}</definedName>
    <definedName name="wrn.Acquisition_matrix." localSheetId="10" hidden="1">{"Acq_matrix",#N/A,FALSE,"Acquisition Matrix"}</definedName>
    <definedName name="wrn.Acquisition_matrix." localSheetId="15" hidden="1">{"Acq_matrix",#N/A,FALSE,"Acquisition Matrix"}</definedName>
    <definedName name="wrn.Acquisition_matrix." hidden="1">{"Acq_matrix",#N/A,FALSE,"Acquisition Matrix"}</definedName>
    <definedName name="wrn.Acquisition_matrix._1" localSheetId="10" hidden="1">{"Acq_matrix",#N/A,FALSE,"Acquisition Matrix"}</definedName>
    <definedName name="wrn.Acquisition_matrix._1" hidden="1">{"Acq_matrix",#N/A,FALSE,"Acquisition Matrix"}</definedName>
    <definedName name="wrn.Acquisition_matrix_from_DBAB" localSheetId="10" hidden="1">{"Acq_matrix",#N/A,FALSE,"Acquisition Matrix"}</definedName>
    <definedName name="wrn.Acquisition_matrix_from_DBAB" localSheetId="15" hidden="1">{"Acq_matrix",#N/A,FALSE,"Acquisition Matrix"}</definedName>
    <definedName name="wrn.Acquisition_matrix_from_DBAB" hidden="1">{"Acq_matrix",#N/A,FALSE,"Acquisition Matrix"}</definedName>
    <definedName name="wrn.Acquisition_matrix_from_DBAB_1" localSheetId="10" hidden="1">{"Acq_matrix",#N/A,FALSE,"Acquisition Matrix"}</definedName>
    <definedName name="wrn.Acquisition_matrix_from_DBAB_1" localSheetId="15" hidden="1">{"Acq_matrix",#N/A,FALSE,"Acquisition Matrix"}</definedName>
    <definedName name="wrn.Acquisition_matrix_from_DBAB_1" hidden="1">{"Acq_matrix",#N/A,FALSE,"Acquisition Matrix"}</definedName>
    <definedName name="wrn.Acquisition_matrix_from_DBAB_1_1" localSheetId="10" hidden="1">{"Acq_matrix",#N/A,FALSE,"Acquisition Matrix"}</definedName>
    <definedName name="wrn.Acquisition_matrix_from_DBAB_1_1" localSheetId="15" hidden="1">{"Acq_matrix",#N/A,FALSE,"Acquisition Matrix"}</definedName>
    <definedName name="wrn.Acquisition_matrix_from_DBAB_1_1" hidden="1">{"Acq_matrix",#N/A,FALSE,"Acquisition Matrix"}</definedName>
    <definedName name="wrn.Acquisition_matrix_from_DBAB_1_1_1" localSheetId="10" hidden="1">{"Acq_matrix",#N/A,FALSE,"Acquisition Matrix"}</definedName>
    <definedName name="wrn.Acquisition_matrix_from_DBAB_1_1_1" localSheetId="15" hidden="1">{"Acq_matrix",#N/A,FALSE,"Acquisition Matrix"}</definedName>
    <definedName name="wrn.Acquisition_matrix_from_DBAB_1_1_1" hidden="1">{"Acq_matrix",#N/A,FALSE,"Acquisition Matrix"}</definedName>
    <definedName name="wrn.Acquisition_matrix_from_DBAB_1_2" localSheetId="10" hidden="1">{"Acq_matrix",#N/A,FALSE,"Acquisition Matrix"}</definedName>
    <definedName name="wrn.Acquisition_matrix_from_DBAB_1_2" localSheetId="15" hidden="1">{"Acq_matrix",#N/A,FALSE,"Acquisition Matrix"}</definedName>
    <definedName name="wrn.Acquisition_matrix_from_DBAB_1_2" hidden="1">{"Acq_matrix",#N/A,FALSE,"Acquisition Matrix"}</definedName>
    <definedName name="wrn.Acquisition_matrix_from_DBAB_2" localSheetId="10" hidden="1">{"Acq_matrix",#N/A,FALSE,"Acquisition Matrix"}</definedName>
    <definedName name="wrn.Acquisition_matrix_from_DBAB_2" localSheetId="15" hidden="1">{"Acq_matrix",#N/A,FALSE,"Acquisition Matrix"}</definedName>
    <definedName name="wrn.Acquisition_matrix_from_DBAB_2" hidden="1">{"Acq_matrix",#N/A,FALSE,"Acquisition Matrix"}</definedName>
    <definedName name="wrn.Acquisition_matrix_from_DBAB_3" localSheetId="10" hidden="1">{"Acq_matrix",#N/A,FALSE,"Acquisition Matrix"}</definedName>
    <definedName name="wrn.Acquisition_matrix_from_DBAB_3" localSheetId="15" hidden="1">{"Acq_matrix",#N/A,FALSE,"Acquisition Matrix"}</definedName>
    <definedName name="wrn.Acquisition_matrix_from_DBAB_3" hidden="1">{"Acq_matrix",#N/A,FALSE,"Acquisition Matrix"}</definedName>
    <definedName name="wrn.Acquisition_matrix_from_DBAB_4" localSheetId="10" hidden="1">{"Acq_matrix",#N/A,FALSE,"Acquisition Matrix"}</definedName>
    <definedName name="wrn.Acquisition_matrix_from_DBAB_4" localSheetId="15" hidden="1">{"Acq_matrix",#N/A,FALSE,"Acquisition Matrix"}</definedName>
    <definedName name="wrn.Acquisition_matrix_from_DBAB_4" hidden="1">{"Acq_matrix",#N/A,FALSE,"Acquisition Matrix"}</definedName>
    <definedName name="wrn.Acquisition_matrix_from_DBAB_5" localSheetId="10" hidden="1">{"Acq_matrix",#N/A,FALSE,"Acquisition Matrix"}</definedName>
    <definedName name="wrn.Acquisition_matrix_from_DBAB_5" localSheetId="15" hidden="1">{"Acq_matrix",#N/A,FALSE,"Acquisition Matrix"}</definedName>
    <definedName name="wrn.Acquisition_matrix_from_DBAB_5" hidden="1">{"Acq_matrix",#N/A,FALSE,"Acquisition Matrix"}</definedName>
    <definedName name="wrn.ACTIF."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localSheetId="10"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S." localSheetId="10" hidden="1">{"VAUM",#N/A,FALSE,"A";"VAUM1",#N/A,FALSE,"A";"VAUM2",#N/A,FALSE,"A";"VAUM3",#N/A,FALSE,"A";"VVENTROUL",#N/A,FALSE,"A"}</definedName>
    <definedName name="wrn.ACTIFS." hidden="1">{"VAUM",#N/A,FALSE,"A";"VAUM1",#N/A,FALSE,"A";"VAUM2",#N/A,FALSE,"A";"VAUM3",#N/A,FALSE,"A";"VVENTROUL",#N/A,FALSE,"A"}</definedName>
    <definedName name="wrn.Active._.Stores." localSheetId="10">{#N/A,#N/A,FALSE,"RH";#N/A,#N/A,FALSE,"SP";#N/A,#N/A,FALSE,"MB";#N/A,#N/A,FALSE,"WV";#N/A,#N/A,FALSE,"LB";#N/A,#N/A,FALSE,"NB";#N/A,#N/A,FALSE,"MV"}</definedName>
    <definedName name="wrn.Active._.Stores.">{#N/A,#N/A,FALSE,"RH";#N/A,#N/A,FALSE,"SP";#N/A,#N/A,FALSE,"MB";#N/A,#N/A,FALSE,"WV";#N/A,#N/A,FALSE,"LB";#N/A,#N/A,FALSE,"NB";#N/A,#N/A,FALSE,"MV"}</definedName>
    <definedName name="wrn.Actives." localSheetId="10" hidden="1">{"Bay Actives",#N/A,TRUE,"Actives Budget";"Simpsons Actives",#N/A,TRUE,"Actives Budget";"Bay Simpsons Actives",#N/A,TRUE,"Actives Budget";"Zellers Actives",#N/A,TRUE,"Actives Budget";"Total Actives",#N/A,TRUE,"Actives Budget"}</definedName>
    <definedName name="wrn.Actives." localSheetId="15" hidden="1">{"Bay Actives",#N/A,TRUE,"Actives Budget";"Simpsons Actives",#N/A,TRUE,"Actives Budget";"Bay Simpsons Actives",#N/A,TRUE,"Actives Budget";"Zellers Actives",#N/A,TRUE,"Actives Budget";"Total Actives",#N/A,TRUE,"Actives Budget"}</definedName>
    <definedName name="wrn.Actives." hidden="1">{"Bay Actives",#N/A,TRUE,"Actives Budget";"Simpsons Actives",#N/A,TRUE,"Actives Budget";"Bay Simpsons Actives",#N/A,TRUE,"Actives Budget";"Zellers Actives",#N/A,TRUE,"Actives Budget";"Total Actives",#N/A,TRUE,"Actives Budget"}</definedName>
    <definedName name="wrn.Actual._.Data._.Entry." localSheetId="10" hidden="1">{#N/A,#N/A,FALSE,"Sales"}</definedName>
    <definedName name="wrn.Actual._.Data._.Entry." localSheetId="15" hidden="1">{#N/A,#N/A,FALSE,"Sales"}</definedName>
    <definedName name="wrn.Actual._.Data._.Entry." hidden="1">{#N/A,#N/A,FALSE,"Sales"}</definedName>
    <definedName name="wrn.actuals." localSheetId="10" hidden="1">{"1.actuals",#N/A,FALSE,"1.Product Management 3500";"2.actuals",#N/A,FALSE,"2.Operations 6100"}</definedName>
    <definedName name="wrn.actuals." localSheetId="15" hidden="1">{"1.actuals",#N/A,FALSE,"1.Product Management 3500";"2.actuals",#N/A,FALSE,"2.Operations 6100"}</definedName>
    <definedName name="wrn.actuals." hidden="1">{"1.actuals",#N/A,FALSE,"1.Product Management 3500";"2.actuals",#N/A,FALSE,"2.Operations 6100"}</definedName>
    <definedName name="wrn.add." localSheetId="10" hidden="1">{"bs",#N/A,FALSE,"Financial statements";"pl",#N/A,FALSE,"Financial statements";"scfp",#N/A,FALSE,"Financial statements"}</definedName>
    <definedName name="wrn.add." hidden="1">{"bs",#N/A,FALSE,"Financial statements";"pl",#N/A,FALSE,"Financial statements";"scfp",#N/A,FALSE,"Financial statements"}</definedName>
    <definedName name="wrn.Additonal." localSheetId="10" hidden="1">{"Revolver",#N/A,FALSE,"Revolver";"Incentives",#N/A,FALSE,"Model"}</definedName>
    <definedName name="wrn.Additonal." hidden="1">{"Revolver",#N/A,FALSE,"Revolver";"Incentives",#N/A,FALSE,"Model"}</definedName>
    <definedName name="wrn.adj95." localSheetId="10" hidden="1">{"adj95mult",#N/A,FALSE,"COMPCO";"adj95est",#N/A,FALSE,"COMPCO"}</definedName>
    <definedName name="wrn.adj95." localSheetId="15" hidden="1">{"adj95mult",#N/A,FALSE,"COMPCO";"adj95est",#N/A,FALSE,"COMPCO"}</definedName>
    <definedName name="wrn.adj95." hidden="1">{"adj95mult",#N/A,FALSE,"COMPCO";"adj95est",#N/A,FALSE,"COMPCO"}</definedName>
    <definedName name="wrn.adj95._1" localSheetId="10" hidden="1">{"adj95mult",#N/A,FALSE,"COMPCO";"adj95est",#N/A,FALSE,"COMPCO"}</definedName>
    <definedName name="wrn.adj95._1" hidden="1">{"adj95mult",#N/A,FALSE,"COMPCO";"adj95est",#N/A,FALSE,"COMPCO"}</definedName>
    <definedName name="wrn.adj95._from_DBAB" localSheetId="10" hidden="1">{"adj95mult",#N/A,FALSE,"COMPCO";"adj95est",#N/A,FALSE,"COMPCO"}</definedName>
    <definedName name="wrn.adj95._from_DBAB" localSheetId="15" hidden="1">{"adj95mult",#N/A,FALSE,"COMPCO";"adj95est",#N/A,FALSE,"COMPCO"}</definedName>
    <definedName name="wrn.adj95._from_DBAB" hidden="1">{"adj95mult",#N/A,FALSE,"COMPCO";"adj95est",#N/A,FALSE,"COMPCO"}</definedName>
    <definedName name="wrn.adj95._from_DBAB_1" localSheetId="10" hidden="1">{"adj95mult",#N/A,FALSE,"COMPCO";"adj95est",#N/A,FALSE,"COMPCO"}</definedName>
    <definedName name="wrn.adj95._from_DBAB_1" localSheetId="15" hidden="1">{"adj95mult",#N/A,FALSE,"COMPCO";"adj95est",#N/A,FALSE,"COMPCO"}</definedName>
    <definedName name="wrn.adj95._from_DBAB_1" hidden="1">{"adj95mult",#N/A,FALSE,"COMPCO";"adj95est",#N/A,FALSE,"COMPCO"}</definedName>
    <definedName name="wrn.adj95._from_DBAB_1_1" localSheetId="10" hidden="1">{"adj95mult",#N/A,FALSE,"COMPCO";"adj95est",#N/A,FALSE,"COMPCO"}</definedName>
    <definedName name="wrn.adj95._from_DBAB_1_1" localSheetId="15" hidden="1">{"adj95mult",#N/A,FALSE,"COMPCO";"adj95est",#N/A,FALSE,"COMPCO"}</definedName>
    <definedName name="wrn.adj95._from_DBAB_1_1" hidden="1">{"adj95mult",#N/A,FALSE,"COMPCO";"adj95est",#N/A,FALSE,"COMPCO"}</definedName>
    <definedName name="wrn.adj95._from_DBAB_1_1_1" localSheetId="10" hidden="1">{"adj95mult",#N/A,FALSE,"COMPCO";"adj95est",#N/A,FALSE,"COMPCO"}</definedName>
    <definedName name="wrn.adj95._from_DBAB_1_1_1" localSheetId="15" hidden="1">{"adj95mult",#N/A,FALSE,"COMPCO";"adj95est",#N/A,FALSE,"COMPCO"}</definedName>
    <definedName name="wrn.adj95._from_DBAB_1_1_1" hidden="1">{"adj95mult",#N/A,FALSE,"COMPCO";"adj95est",#N/A,FALSE,"COMPCO"}</definedName>
    <definedName name="wrn.adj95._from_DBAB_1_2" localSheetId="10" hidden="1">{"adj95mult",#N/A,FALSE,"COMPCO";"adj95est",#N/A,FALSE,"COMPCO"}</definedName>
    <definedName name="wrn.adj95._from_DBAB_1_2" localSheetId="15" hidden="1">{"adj95mult",#N/A,FALSE,"COMPCO";"adj95est",#N/A,FALSE,"COMPCO"}</definedName>
    <definedName name="wrn.adj95._from_DBAB_1_2" hidden="1">{"adj95mult",#N/A,FALSE,"COMPCO";"adj95est",#N/A,FALSE,"COMPCO"}</definedName>
    <definedName name="wrn.adj95._from_DBAB_2" localSheetId="10" hidden="1">{"adj95mult",#N/A,FALSE,"COMPCO";"adj95est",#N/A,FALSE,"COMPCO"}</definedName>
    <definedName name="wrn.adj95._from_DBAB_2" localSheetId="15" hidden="1">{"adj95mult",#N/A,FALSE,"COMPCO";"adj95est",#N/A,FALSE,"COMPCO"}</definedName>
    <definedName name="wrn.adj95._from_DBAB_2" hidden="1">{"adj95mult",#N/A,FALSE,"COMPCO";"adj95est",#N/A,FALSE,"COMPCO"}</definedName>
    <definedName name="wrn.adj95._from_DBAB_3" localSheetId="10" hidden="1">{"adj95mult",#N/A,FALSE,"COMPCO";"adj95est",#N/A,FALSE,"COMPCO"}</definedName>
    <definedName name="wrn.adj95._from_DBAB_3" localSheetId="15" hidden="1">{"adj95mult",#N/A,FALSE,"COMPCO";"adj95est",#N/A,FALSE,"COMPCO"}</definedName>
    <definedName name="wrn.adj95._from_DBAB_3" hidden="1">{"adj95mult",#N/A,FALSE,"COMPCO";"adj95est",#N/A,FALSE,"COMPCO"}</definedName>
    <definedName name="wrn.adj95._from_DBAB_4" localSheetId="10" hidden="1">{"adj95mult",#N/A,FALSE,"COMPCO";"adj95est",#N/A,FALSE,"COMPCO"}</definedName>
    <definedName name="wrn.adj95._from_DBAB_4" localSheetId="15" hidden="1">{"adj95mult",#N/A,FALSE,"COMPCO";"adj95est",#N/A,FALSE,"COMPCO"}</definedName>
    <definedName name="wrn.adj95._from_DBAB_4" hidden="1">{"adj95mult",#N/A,FALSE,"COMPCO";"adj95est",#N/A,FALSE,"COMPCO"}</definedName>
    <definedName name="wrn.adj95._from_DBAB_5" localSheetId="10" hidden="1">{"adj95mult",#N/A,FALSE,"COMPCO";"adj95est",#N/A,FALSE,"COMPCO"}</definedName>
    <definedName name="wrn.adj95._from_DBAB_5" localSheetId="15" hidden="1">{"adj95mult",#N/A,FALSE,"COMPCO";"adj95est",#N/A,FALSE,"COMPCO"}</definedName>
    <definedName name="wrn.adj95._from_DBAB_5" hidden="1">{"adj95mult",#N/A,FALSE,"COMPCO";"adj95est",#N/A,FALSE,"COMPCO"}</definedName>
    <definedName name="wrn.adj95a" localSheetId="10" hidden="1">{"adj95mult",#N/A,FALSE,"COMPCO";"adj95est",#N/A,FALSE,"COMPCO"}</definedName>
    <definedName name="wrn.adj95a" localSheetId="15" hidden="1">{"adj95mult",#N/A,FALSE,"COMPCO";"adj95est",#N/A,FALSE,"COMPCO"}</definedName>
    <definedName name="wrn.adj95a" hidden="1">{"adj95mult",#N/A,FALSE,"COMPCO";"adj95est",#N/A,FALSE,"COMPCO"}</definedName>
    <definedName name="wrn.adj95a_1" localSheetId="10" hidden="1">{"adj95mult",#N/A,FALSE,"COMPCO";"adj95est",#N/A,FALSE,"COMPCO"}</definedName>
    <definedName name="wrn.adj95a_1" hidden="1">{"adj95mult",#N/A,FALSE,"COMPCO";"adj95est",#N/A,FALSE,"COMPCO"}</definedName>
    <definedName name="wrn.AEA." localSheetId="10"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 localSheetId="10"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10">{#N/A,#N/A,FALSE,"Aging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2" localSheetId="10">{#N/A,#N/A,FALSE,"Aging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3" localSheetId="10">{#N/A,#N/A,FALSE,"Aging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4" localSheetId="10">{#N/A,#N/A,FALSE,"Aging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5" localSheetId="10">{#N/A,#N/A,FALSE,"Aging Summary";#N/A,#N/A,FALSE,"Ratio Analysis";#N/A,#N/A,FALSE,"Test 120 Day Accts";#N/A,#N/A,FALSE,"Tickmarks"}</definedName>
    <definedName name="wrn.Aging._.and._.Trend._.Analysis._5">{#N/A,#N/A,FALSE,"Aging Summary";#N/A,#N/A,FALSE,"Ratio Analysis";#N/A,#N/A,FALSE,"Test 120 Day Accts";#N/A,#N/A,FALSE,"Tickmarks"}</definedName>
    <definedName name="wrn.ALAN."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5"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co." localSheetId="10" hidden="1">{#N/A,#N/A,FALSE,"ALCO SK";#N/A,#N/A,FALSE,"ALCO RG";#N/A,#N/A,FALSE,"ALCO SK BC";#N/A,#N/A,FALSE,"ALCO RG BC";#N/A,#N/A,FALSE,"VALY SK";#N/A,#N/A,FALSE,"VALY RG"}</definedName>
    <definedName name="wrn.alco." hidden="1">{#N/A,#N/A,FALSE,"ALCO SK";#N/A,#N/A,FALSE,"ALCO RG";#N/A,#N/A,FALSE,"ALCO SK BC";#N/A,#N/A,FALSE,"ALCO RG BC";#N/A,#N/A,FALSE,"VALY SK";#N/A,#N/A,FALSE,"VALY RG"}</definedName>
    <definedName name="wrn.All." localSheetId="10" hidden="1">{#N/A,#N/A,TRUE,"Facility-Input";#N/A,#N/A,TRUE,"Graphs";#N/A,#N/A,TRUE,"TOTAL";#N/A,#N/A,TRUE,"Total Pipes";#N/A,#N/A,TRUE,"Segment 1";#N/A,#N/A,TRUE,"Segment 2";#N/A,#N/A,TRUE,"Segment 3";#N/A,#N/A,TRUE,"Segment 4";#N/A,#N/A,TRUE,"Segment 5";#N/A,#N/A,TRUE,"NGL-Input";#N/A,#N/A,TRUE,"Assums."}</definedName>
    <definedName name="wrn.All." localSheetId="15" hidden="1">{#N/A,#N/A,TRUE,"Facility-Input";#N/A,#N/A,TRUE,"Graphs";#N/A,#N/A,TRUE,"TOTAL";#N/A,#N/A,TRUE,"Total Pipes";#N/A,#N/A,TRUE,"Segment 1";#N/A,#N/A,TRUE,"Segment 2";#N/A,#N/A,TRUE,"Segment 3";#N/A,#N/A,TRUE,"Segment 4";#N/A,#N/A,TRUE,"Segment 5";#N/A,#N/A,TRUE,"NGL-Input";#N/A,#N/A,TRUE,"Assums."}</definedName>
    <definedName name="wrn.All." hidden="1">{#N/A,#N/A,TRUE,"Facility-Input";#N/A,#N/A,TRUE,"Graphs";#N/A,#N/A,TRUE,"TOTAL";#N/A,#N/A,TRUE,"Total Pipes";#N/A,#N/A,TRUE,"Segment 1";#N/A,#N/A,TRUE,"Segment 2";#N/A,#N/A,TRUE,"Segment 3";#N/A,#N/A,TRUE,"Segment 4";#N/A,#N/A,TRUE,"Segment 5";#N/A,#N/A,TRUE,"NGL-Input";#N/A,#N/A,TRUE,"Assums."}</definedName>
    <definedName name="wrn.ALL._....original." localSheetId="10">{#N/A,#N/A,FALSE,"Qrt Fcst";#N/A,#N/A,FALSE,"Qrt Fcst vs Plan &amp; PY";#N/A,#N/A,FALSE,"FY Fcst vs Plan &amp; PY";#N/A,#N/A,FALSE,"EVA CAP";#N/A,#N/A,FALSE,"EVA NOPAT"}</definedName>
    <definedName name="wrn.ALL._....original.">{#N/A,#N/A,FALSE,"Qrt Fcst";#N/A,#N/A,FALSE,"Qrt Fcst vs Plan &amp; PY";#N/A,#N/A,FALSE,"FY Fcst vs Plan &amp; PY";#N/A,#N/A,FALSE,"EVA CAP";#N/A,#N/A,FALSE,"EVA NOPAT"}</definedName>
    <definedName name="wrn.all._.3._.years." localSheetId="10" hidden="1">{#N/A,#N/A,FALSE,"Worldwide FY00";#N/A,#N/A,FALSE,"Worldwide FY01";#N/A,#N/A,FALSE,"Worldwide FY02"}</definedName>
    <definedName name="wrn.all._.3._.years." hidden="1">{#N/A,#N/A,FALSE,"Worldwide FY00";#N/A,#N/A,FALSE,"Worldwide FY01";#N/A,#N/A,FALSE,"Worldwide FY02"}</definedName>
    <definedName name="wrn.ALL._.9._.VIEWS." localSheetId="10" hidden="1">{"BS_SHORT",#N/A,FALSE,"BS";"PL_SHORT",#N/A,FALSE,"Fs-Mtly";"BS_LONG",#N/A,FALSE,"BS";"PL_LONG",#N/A,FALSE,"Fs-Mtly";"PL_BANK",#N/A,FALSE,"Fs-Mtly";"VARIANCE_Q3",#N/A,FALSE,"BS";"VARIANCE_Q2",#N/A,FALSE,"BS";"VARIANCE_Q1",#N/A,FALSE,"BS";"VARIANCE_FY96",#N/A,FALSE,"BS"}</definedName>
    <definedName name="wrn.ALL._.9._.VIEWS." hidden="1">{"BS_SHORT",#N/A,FALSE,"BS";"PL_SHORT",#N/A,FALSE,"Fs-Mtly";"BS_LONG",#N/A,FALSE,"BS";"PL_LONG",#N/A,FALSE,"Fs-Mtly";"PL_BANK",#N/A,FALSE,"Fs-Mtly";"VARIANCE_Q3",#N/A,FALSE,"BS";"VARIANCE_Q2",#N/A,FALSE,"BS";"VARIANCE_Q1",#N/A,FALSE,"BS";"VARIANCE_FY96",#N/A,FALSE,"BS"}</definedName>
    <definedName name="wrn.All._.AR._.Schedules." localSheetId="10" hidden="1">{#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R._.Schedules." hidden="1">{#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udit." localSheetId="10"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COGS." localSheetId="10"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N._.VS._.BUD." localSheetId="10"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10"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10"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10"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ENGINEERING."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 hidden="1">{#N/A,#N/A,FALSE,"Summary";#N/A,#N/A,FALSE,"Manpower";#N/A,#N/A,FALSE,"Richmond";#N/A,#N/A,FALSE,"Itasca";#N/A,#N/A,FALSE,"Cambridge";#N/A,#N/A,FALSE,"Development";#N/A,#N/A,FALSE,"Customer Eng'g";#N/A,#N/A,FALSE,"Richmond R&amp;D Projects";#N/A,#N/A,FALSE,"Itasca R&amp;D Projects";#N/A,#N/A,FALSE,"Cambridge R&amp;D Projects"}</definedName>
    <definedName name="wrn.ALL._.ENGINEERING.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1_5" hidden="1">{#N/A,#N/A,FALSE,"Summary";#N/A,#N/A,FALSE,"Manpower";#N/A,#N/A,FALSE,"Richmond";#N/A,#N/A,FALSE,"Itasca";#N/A,#N/A,FALSE,"Cambridge";#N/A,#N/A,FALSE,"Development";#N/A,#N/A,FALSE,"Customer Eng'g";#N/A,#N/A,FALSE,"Richmond R&amp;D Projects";#N/A,#N/A,FALSE,"Itasca R&amp;D Projects";#N/A,#N/A,FALSE,"Cambridge R&amp;D Projects"}</definedName>
    <definedName name="wrn.ALL._.ENGINEERING._1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2" hidden="1">{#N/A,#N/A,FALSE,"Summary";#N/A,#N/A,FALSE,"Manpower";#N/A,#N/A,FALSE,"Richmond";#N/A,#N/A,FALSE,"Itasca";#N/A,#N/A,FALSE,"Cambridge";#N/A,#N/A,FALSE,"Development";#N/A,#N/A,FALSE,"Customer Eng'g";#N/A,#N/A,FALSE,"Richmond R&amp;D Projects";#N/A,#N/A,FALSE,"Itasca R&amp;D Projects";#N/A,#N/A,FALSE,"Cambridge R&amp;D Projects"}</definedName>
    <definedName name="wrn.ALL._.ENGINEERING._1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3" hidden="1">{#N/A,#N/A,FALSE,"Summary";#N/A,#N/A,FALSE,"Manpower";#N/A,#N/A,FALSE,"Richmond";#N/A,#N/A,FALSE,"Itasca";#N/A,#N/A,FALSE,"Cambridge";#N/A,#N/A,FALSE,"Development";#N/A,#N/A,FALSE,"Customer Eng'g";#N/A,#N/A,FALSE,"Richmond R&amp;D Projects";#N/A,#N/A,FALSE,"Itasca R&amp;D Projects";#N/A,#N/A,FALSE,"Cambridge R&amp;D Projects"}</definedName>
    <definedName name="wrn.ALL._.ENGINEERING._1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4" hidden="1">{#N/A,#N/A,FALSE,"Summary";#N/A,#N/A,FALSE,"Manpower";#N/A,#N/A,FALSE,"Richmond";#N/A,#N/A,FALSE,"Itasca";#N/A,#N/A,FALSE,"Cambridge";#N/A,#N/A,FALSE,"Development";#N/A,#N/A,FALSE,"Customer Eng'g";#N/A,#N/A,FALSE,"Richmond R&amp;D Projects";#N/A,#N/A,FALSE,"Itasca R&amp;D Projects";#N/A,#N/A,FALSE,"Cambridge R&amp;D Projects"}</definedName>
    <definedName name="wrn.ALL._.ENGINEERING._1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1_5" hidden="1">{#N/A,#N/A,FALSE,"Summary";#N/A,#N/A,FALSE,"Manpower";#N/A,#N/A,FALSE,"Richmond";#N/A,#N/A,FALSE,"Itasca";#N/A,#N/A,FALSE,"Cambridge";#N/A,#N/A,FALSE,"Development";#N/A,#N/A,FALSE,"Customer Eng'g";#N/A,#N/A,FALSE,"Richmond R&amp;D Projects";#N/A,#N/A,FALSE,"Itasca R&amp;D Projects";#N/A,#N/A,FALSE,"Cambridge R&amp;D Projects"}</definedName>
    <definedName name="wrn.ALL._.ENGINEERING.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 hidden="1">{#N/A,#N/A,FALSE,"Summary";#N/A,#N/A,FALSE,"Manpower";#N/A,#N/A,FALSE,"Richmond";#N/A,#N/A,FALSE,"Itasca";#N/A,#N/A,FALSE,"Cambridge";#N/A,#N/A,FALSE,"Development";#N/A,#N/A,FALSE,"Customer Eng'g";#N/A,#N/A,FALSE,"Richmond R&amp;D Projects";#N/A,#N/A,FALSE,"Itasca R&amp;D Projects";#N/A,#N/A,FALSE,"Cambridge R&amp;D Projects"}</definedName>
    <definedName name="wrn.ALL._.ENGINEERING._2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1" hidden="1">{#N/A,#N/A,FALSE,"Summary";#N/A,#N/A,FALSE,"Manpower";#N/A,#N/A,FALSE,"Richmond";#N/A,#N/A,FALSE,"Itasca";#N/A,#N/A,FALSE,"Cambridge";#N/A,#N/A,FALSE,"Development";#N/A,#N/A,FALSE,"Customer Eng'g";#N/A,#N/A,FALSE,"Richmond R&amp;D Projects";#N/A,#N/A,FALSE,"Itasca R&amp;D Projects";#N/A,#N/A,FALSE,"Cambridge R&amp;D Projects"}</definedName>
    <definedName name="wrn.ALL._.ENGINEERING._2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2" hidden="1">{#N/A,#N/A,FALSE,"Summary";#N/A,#N/A,FALSE,"Manpower";#N/A,#N/A,FALSE,"Richmond";#N/A,#N/A,FALSE,"Itasca";#N/A,#N/A,FALSE,"Cambridge";#N/A,#N/A,FALSE,"Development";#N/A,#N/A,FALSE,"Customer Eng'g";#N/A,#N/A,FALSE,"Richmond R&amp;D Projects";#N/A,#N/A,FALSE,"Itasca R&amp;D Projects";#N/A,#N/A,FALSE,"Cambridge R&amp;D Projects"}</definedName>
    <definedName name="wrn.ALL._.ENGINEERING._2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3" hidden="1">{#N/A,#N/A,FALSE,"Summary";#N/A,#N/A,FALSE,"Manpower";#N/A,#N/A,FALSE,"Richmond";#N/A,#N/A,FALSE,"Itasca";#N/A,#N/A,FALSE,"Cambridge";#N/A,#N/A,FALSE,"Development";#N/A,#N/A,FALSE,"Customer Eng'g";#N/A,#N/A,FALSE,"Richmond R&amp;D Projects";#N/A,#N/A,FALSE,"Itasca R&amp;D Projects";#N/A,#N/A,FALSE,"Cambridge R&amp;D Projects"}</definedName>
    <definedName name="wrn.ALL._.ENGINEERING._2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4" hidden="1">{#N/A,#N/A,FALSE,"Summary";#N/A,#N/A,FALSE,"Manpower";#N/A,#N/A,FALSE,"Richmond";#N/A,#N/A,FALSE,"Itasca";#N/A,#N/A,FALSE,"Cambridge";#N/A,#N/A,FALSE,"Development";#N/A,#N/A,FALSE,"Customer Eng'g";#N/A,#N/A,FALSE,"Richmond R&amp;D Projects";#N/A,#N/A,FALSE,"Itasca R&amp;D Projects";#N/A,#N/A,FALSE,"Cambridge R&amp;D Projects"}</definedName>
    <definedName name="wrn.ALL._.ENGINEERING._2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2_5" hidden="1">{#N/A,#N/A,FALSE,"Summary";#N/A,#N/A,FALSE,"Manpower";#N/A,#N/A,FALSE,"Richmond";#N/A,#N/A,FALSE,"Itasca";#N/A,#N/A,FALSE,"Cambridge";#N/A,#N/A,FALSE,"Development";#N/A,#N/A,FALSE,"Customer Eng'g";#N/A,#N/A,FALSE,"Richmond R&amp;D Projects";#N/A,#N/A,FALSE,"Itasca R&amp;D Projects";#N/A,#N/A,FALSE,"Cambridge R&amp;D Projects"}</definedName>
    <definedName name="wrn.ALL._.ENGINEERING.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 hidden="1">{#N/A,#N/A,FALSE,"Summary";#N/A,#N/A,FALSE,"Manpower";#N/A,#N/A,FALSE,"Richmond";#N/A,#N/A,FALSE,"Itasca";#N/A,#N/A,FALSE,"Cambridge";#N/A,#N/A,FALSE,"Development";#N/A,#N/A,FALSE,"Customer Eng'g";#N/A,#N/A,FALSE,"Richmond R&amp;D Projects";#N/A,#N/A,FALSE,"Itasca R&amp;D Projects";#N/A,#N/A,FALSE,"Cambridge R&amp;D Projects"}</definedName>
    <definedName name="wrn.ALL._.ENGINEERING._3_1"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1" hidden="1">{#N/A,#N/A,FALSE,"Summary";#N/A,#N/A,FALSE,"Manpower";#N/A,#N/A,FALSE,"Richmond";#N/A,#N/A,FALSE,"Itasca";#N/A,#N/A,FALSE,"Cambridge";#N/A,#N/A,FALSE,"Development";#N/A,#N/A,FALSE,"Customer Eng'g";#N/A,#N/A,FALSE,"Richmond R&amp;D Projects";#N/A,#N/A,FALSE,"Itasca R&amp;D Projects";#N/A,#N/A,FALSE,"Cambridge R&amp;D Projects"}</definedName>
    <definedName name="wrn.ALL._.ENGINEERING._3_2"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2" hidden="1">{#N/A,#N/A,FALSE,"Summary";#N/A,#N/A,FALSE,"Manpower";#N/A,#N/A,FALSE,"Richmond";#N/A,#N/A,FALSE,"Itasca";#N/A,#N/A,FALSE,"Cambridge";#N/A,#N/A,FALSE,"Development";#N/A,#N/A,FALSE,"Customer Eng'g";#N/A,#N/A,FALSE,"Richmond R&amp;D Projects";#N/A,#N/A,FALSE,"Itasca R&amp;D Projects";#N/A,#N/A,FALSE,"Cambridge R&amp;D Projects"}</definedName>
    <definedName name="wrn.ALL._.ENGINEERING._3_3"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3" hidden="1">{#N/A,#N/A,FALSE,"Summary";#N/A,#N/A,FALSE,"Manpower";#N/A,#N/A,FALSE,"Richmond";#N/A,#N/A,FALSE,"Itasca";#N/A,#N/A,FALSE,"Cambridge";#N/A,#N/A,FALSE,"Development";#N/A,#N/A,FALSE,"Customer Eng'g";#N/A,#N/A,FALSE,"Richmond R&amp;D Projects";#N/A,#N/A,FALSE,"Itasca R&amp;D Projects";#N/A,#N/A,FALSE,"Cambridge R&amp;D Projects"}</definedName>
    <definedName name="wrn.ALL._.ENGINEERING._3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4" hidden="1">{#N/A,#N/A,FALSE,"Summary";#N/A,#N/A,FALSE,"Manpower";#N/A,#N/A,FALSE,"Richmond";#N/A,#N/A,FALSE,"Itasca";#N/A,#N/A,FALSE,"Cambridge";#N/A,#N/A,FALSE,"Development";#N/A,#N/A,FALSE,"Customer Eng'g";#N/A,#N/A,FALSE,"Richmond R&amp;D Projects";#N/A,#N/A,FALSE,"Itasca R&amp;D Projects";#N/A,#N/A,FALSE,"Cambridge R&amp;D Projects"}</definedName>
    <definedName name="wrn.ALL._.ENGINEERING._3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3_5" hidden="1">{#N/A,#N/A,FALSE,"Summary";#N/A,#N/A,FALSE,"Manpower";#N/A,#N/A,FALSE,"Richmond";#N/A,#N/A,FALSE,"Itasca";#N/A,#N/A,FALSE,"Cambridge";#N/A,#N/A,FALSE,"Development";#N/A,#N/A,FALSE,"Customer Eng'g";#N/A,#N/A,FALSE,"Richmond R&amp;D Projects";#N/A,#N/A,FALSE,"Itasca R&amp;D Projects";#N/A,#N/A,FALSE,"Cambridge R&amp;D Projects"}</definedName>
    <definedName name="wrn.ALL._.ENGINEERING._4"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4" hidden="1">{#N/A,#N/A,FALSE,"Summary";#N/A,#N/A,FALSE,"Manpower";#N/A,#N/A,FALSE,"Richmond";#N/A,#N/A,FALSE,"Itasca";#N/A,#N/A,FALSE,"Cambridge";#N/A,#N/A,FALSE,"Development";#N/A,#N/A,FALSE,"Customer Eng'g";#N/A,#N/A,FALSE,"Richmond R&amp;D Projects";#N/A,#N/A,FALSE,"Itasca R&amp;D Projects";#N/A,#N/A,FALSE,"Cambridge R&amp;D Projects"}</definedName>
    <definedName name="wrn.ALL._.ENGINEERING._5" localSheetId="10" hidden="1">{#N/A,#N/A,FALSE,"Summary";#N/A,#N/A,FALSE,"Manpower";#N/A,#N/A,FALSE,"Richmond";#N/A,#N/A,FALSE,"Itasca";#N/A,#N/A,FALSE,"Cambridge";#N/A,#N/A,FALSE,"Development";#N/A,#N/A,FALSE,"Customer Eng'g";#N/A,#N/A,FALSE,"Richmond R&amp;D Projects";#N/A,#N/A,FALSE,"Itasca R&amp;D Projects";#N/A,#N/A,FALSE,"Cambridge R&amp;D Projects"}</definedName>
    <definedName name="wrn.ALL._.ENGINEERING._5" hidden="1">{#N/A,#N/A,FALSE,"Summary";#N/A,#N/A,FALSE,"Manpower";#N/A,#N/A,FALSE,"Richmond";#N/A,#N/A,FALSE,"Itasca";#N/A,#N/A,FALSE,"Cambridge";#N/A,#N/A,FALSE,"Development";#N/A,#N/A,FALSE,"Customer Eng'g";#N/A,#N/A,FALSE,"Richmond R&amp;D Projects";#N/A,#N/A,FALSE,"Itasca R&amp;D Projects";#N/A,#N/A,FALSE,"Cambridge R&amp;D Projects"}</definedName>
    <definedName name="wrn.All._.First._.Pass._.Schedules." localSheetId="10">{#N/A,#N/A,FALSE,"Assumptions";#N/A,#N/A,FALSE,"Inc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no._.percent."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1"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2"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3"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4"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localSheetId="10"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no._.percent._5"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10" hidden="1">{#N/A,#N/A,FALSE,"puboff";#N/A,#N/A,FALSE,"financials";#N/A,#N/A,FALSE,"valuation";#N/A,#N/A,FALSE,"split"}</definedName>
    <definedName name="wrn.ALL._.PAGES." localSheetId="15" hidden="1">{#N/A,#N/A,FALSE,"puboff";#N/A,#N/A,FALSE,"financials";#N/A,#N/A,FALSE,"valuation";#N/A,#N/A,FALSE,"split"}</definedName>
    <definedName name="wrn.ALL._.PAGES." hidden="1">{#N/A,#N/A,FALSE,"puboff";#N/A,#N/A,FALSE,"financials";#N/A,#N/A,FALSE,"valuation";#N/A,#N/A,FALSE,"split"}</definedName>
    <definedName name="wrn.All._.Pages._1"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localSheetId="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10"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10" hidden="1">{#N/A,#N/A,FALSE,"Summary";#N/A,#N/A,FALSE,"Edit";#N/A,#N/A,FALSE,"MedProf";#N/A,#N/A,FALSE,"Proj Mgt";#N/A,#N/A,FALSE,"Creat Svc";#N/A,#N/A,FALSE,"Meet Svc";#N/A,#N/A,FALSE,"Non-OCC";#N/A,#N/A,FALSE,"Client Svc";#N/A,#N/A,FALSE,"Bus Dev";#N/A,#N/A,FALSE,"Indirect"}</definedName>
    <definedName name="wrn.all._.print." localSheetId="15"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10" hidden="1">{"qty and inventory value",#N/A,FALSE,"MPartners";"general ledger entries",#N/A,FALSE,"MPartners"}</definedName>
    <definedName name="wrn.all._.reports." hidden="1">{"qty and inventory value",#N/A,FALSE,"MPartners";"general ledger entries",#N/A,FALSE,"MPartners"}</definedName>
    <definedName name="wrn.all._.schedules."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localSheetId="15"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ections." localSheetId="10">{"Data Entry",#N/A,FALSE,"COMPTEMP";"Ratios",#N/A,FALSE,"COMPTEMP";"Aggregate Values",#N/A,FALSE,"COMPTEMP";"Equity Multiples",#N/A,FALSE,"COMPTEMP";"Summary Overview",#N/A,FALSE,"COMPTEMP"}</definedName>
    <definedName name="wrn.All._.Sections.">{"Data Entry",#N/A,FALSE,"COMPTEMP";"Ratios",#N/A,FALSE,"COMPTEMP";"Aggregate Values",#N/A,FALSE,"COMPTEMP";"Equity Multiples",#N/A,FALSE,"COMPTEMP";"Summary Overview",#N/A,FALSE,"COMPTEMP"}</definedName>
    <definedName name="wrn.All._.Sections._1" localSheetId="10" hidden="1">{"Data Entry",#N/A,FALSE,"COMPTEMP";"Ratios",#N/A,FALSE,"COMPTEMP";"Aggregate Values",#N/A,FALSE,"COMPTEMP";"Equity Multiples",#N/A,FALSE,"COMPTEMP";"Summary Overview",#N/A,FALSE,"COMPTEMP"}</definedName>
    <definedName name="wrn.All._.Sections._1" hidden="1">{"Data Entry",#N/A,FALSE,"COMPTEMP";"Ratios",#N/A,FALSE,"COMPTEMP";"Aggregate Values",#N/A,FALSE,"COMPTEMP";"Equity Multiples",#N/A,FALSE,"COMPTEMP";"Summary Overview",#N/A,FALSE,"COMPTEMP"}</definedName>
    <definedName name="wrn.All._.Sections._1_1" localSheetId="10" hidden="1">{"Data Entry",#N/A,FALSE,"COMPTEMP";"Ratios",#N/A,FALSE,"COMPTEMP";"Aggregate Values",#N/A,FALSE,"COMPTEMP";"Equity Multiples",#N/A,FALSE,"COMPTEMP";"Summary Overview",#N/A,FALSE,"COMPTEMP"}</definedName>
    <definedName name="wrn.All._.Sections._1_1" hidden="1">{"Data Entry",#N/A,FALSE,"COMPTEMP";"Ratios",#N/A,FALSE,"COMPTEMP";"Aggregate Values",#N/A,FALSE,"COMPTEMP";"Equity Multiples",#N/A,FALSE,"COMPTEMP";"Summary Overview",#N/A,FALSE,"COMPTEMP"}</definedName>
    <definedName name="wrn.All._.Sections._2" localSheetId="10" hidden="1">{"Data Entry",#N/A,FALSE,"COMPTEMP";"Ratios",#N/A,FALSE,"COMPTEMP";"Aggregate Values",#N/A,FALSE,"COMPTEMP";"Equity Multiples",#N/A,FALSE,"COMPTEMP";"Summary Overview",#N/A,FALSE,"COMPTEMP"}</definedName>
    <definedName name="wrn.All._.Sections._2" hidden="1">{"Data Entry",#N/A,FALSE,"COMPTEMP";"Ratios",#N/A,FALSE,"COMPTEMP";"Aggregate Values",#N/A,FALSE,"COMPTEMP";"Equity Multiples",#N/A,FALSE,"COMPTEMP";"Summary Overview",#N/A,FALSE,"COMPTEMP"}</definedName>
    <definedName name="wrn.ALL._.SHEETS." localSheetId="10" hidden="1">{#N/A,#N/A,FALSE,"Adj Proj";#N/A,#N/A,FALSE,"Sheet1";#N/A,#N/A,FALSE,"LBO";#N/A,#N/A,FALSE,"LBOMER";#N/A,#N/A,FALSE,"WACC";#N/A,#N/A,FALSE,"DCF";#N/A,#N/A,FALSE,"DCFMER";#N/A,#N/A,FALSE,"Pooling";#N/A,#N/A,FALSE,"income";#N/A,#N/A,FALSE,"Offer"}</definedName>
    <definedName name="wrn.ALL._.SHEETS." localSheetId="15"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HEETS._1" localSheetId="10" hidden="1">{#N/A,#N/A,FALSE,"Adj Proj";#N/A,#N/A,FALSE,"Sheet1";#N/A,#N/A,FALSE,"LBO";#N/A,#N/A,FALSE,"LBOMER";#N/A,#N/A,FALSE,"WACC";#N/A,#N/A,FALSE,"DCF";#N/A,#N/A,FALSE,"DCFMER";#N/A,#N/A,FALSE,"Pooling";#N/A,#N/A,FALSE,"income";#N/A,#N/A,FALSE,"Offer"}</definedName>
    <definedName name="wrn.ALL._.SHEETS._1" hidden="1">{#N/A,#N/A,FALSE,"Adj Proj";#N/A,#N/A,FALSE,"Sheet1";#N/A,#N/A,FALSE,"LBO";#N/A,#N/A,FALSE,"LBOMER";#N/A,#N/A,FALSE,"WACC";#N/A,#N/A,FALSE,"DCF";#N/A,#N/A,FALSE,"DCFMER";#N/A,#N/A,FALSE,"Pooling";#N/A,#N/A,FALSE,"income";#N/A,#N/A,FALSE,"Offer"}</definedName>
    <definedName name="wrn.All._.Sites." localSheetId="10" hidden="1">{#N/A,#N/A,FALSE,"Bakersfield PCs";#N/A,#N/A,FALSE,"Bremer PCs";#N/A,#N/A,FALSE,"Bakersfield Notebooks"}</definedName>
    <definedName name="wrn.All._.Sites." hidden="1">{#N/A,#N/A,FALSE,"Bakersfield PCs";#N/A,#N/A,FALSE,"Bremer PCs";#N/A,#N/A,FALSE,"Bakersfield Notebooks"}</definedName>
    <definedName name="wrn.all._.slides." localSheetId="10" hidden="1">{#N/A,#N/A,FALSE,"Trends";#N/A,#N/A,FALSE,"As Reported";#N/A,#N/A,FALSE,"(un) Commited"}</definedName>
    <definedName name="wrn.all._.slides." hidden="1">{#N/A,#N/A,FALSE,"Trends";#N/A,#N/A,FALSE,"As Reported";#N/A,#N/A,FALSE,"(un) Commited"}</definedName>
    <definedName name="wrn.All._.Statements." localSheetId="10" hidden="1">{"Income Statement",#N/A,FALSE,"Income Statement";"Balance Sheet",#N/A,FALSE,"Balance Sheet";"Cash Flow",#N/A,FALSE,"Cash Flow";"Ratios",#N/A,FALSE,"Ratios"}</definedName>
    <definedName name="wrn.All._.Statements." localSheetId="15"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STMTS." localSheetId="10"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Tabs._.for._.Ken." localSheetId="10" hidden="1">{#N/A,#N/A,FALSE,"CW Summary";#N/A,#N/A,FALSE,"Weekly Tracking";#N/A,#N/A,FALSE,"MSA";#N/A,#N/A,FALSE,"Parts";#N/A,#N/A,FALSE,"RS";#N/A,#N/A,FALSE,"Mods";#N/A,#N/A,FALSE,"GEVISA";#N/A,#N/A,FALSE,"HQ"}</definedName>
    <definedName name="wrn.All._.Tabs._.for._.Ken." hidden="1">{#N/A,#N/A,FALSE,"CW Summary";#N/A,#N/A,FALSE,"Weekly Tracking";#N/A,#N/A,FALSE,"MSA";#N/A,#N/A,FALSE,"Parts";#N/A,#N/A,FALSE,"RS";#N/A,#N/A,FALSE,"Mods";#N/A,#N/A,FALSE,"GEVISA";#N/A,#N/A,FALSE,"HQ"}</definedName>
    <definedName name="wrn.all._.views." localSheetId="10"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WLLC._.STMTS." localSheetId="10"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10"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localSheetId="10"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1" localSheetId="10" hidden="1">{#N/A,#N/A,FALSE,"Memo P&amp;L";#N/A,#N/A,FALSE,"Memo Expl";#N/A,#N/A,FALSE,"Income Statement";#N/A,#N/A,FALSE,"Balance Sheet";#N/A,#N/A,FALSE,"Cash Flow";#N/A,#N/A,FALSE,"Student Statistics";#N/A,#N/A,FALSE,"student seats 1";#N/A,#N/A,FALSE,"Student Seats"}</definedName>
    <definedName name="wrn.All._1" hidden="1">{#N/A,#N/A,FALSE,"Memo P&amp;L";#N/A,#N/A,FALSE,"Memo Expl";#N/A,#N/A,FALSE,"Income Statement";#N/A,#N/A,FALSE,"Balance Sheet";#N/A,#N/A,FALSE,"Cash Flow";#N/A,#N/A,FALSE,"Student Statistics";#N/A,#N/A,FALSE,"student seats 1";#N/A,#N/A,FALSE,"Student Seats"}</definedName>
    <definedName name="wrn.All._2" localSheetId="10" hidden="1">{#N/A,#N/A,FALSE,"Memo P&amp;L";#N/A,#N/A,FALSE,"Memo Expl";#N/A,#N/A,FALSE,"Income Statement";#N/A,#N/A,FALSE,"Balance Sheet";#N/A,#N/A,FALSE,"Cash Flow";#N/A,#N/A,FALSE,"Student Statistics";#N/A,#N/A,FALSE,"student seats 1";#N/A,#N/A,FALSE,"Student Seats"}</definedName>
    <definedName name="wrn.All._2" hidden="1">{#N/A,#N/A,FALSE,"Memo P&amp;L";#N/A,#N/A,FALSE,"Memo Expl";#N/A,#N/A,FALSE,"Income Statement";#N/A,#N/A,FALSE,"Balance Sheet";#N/A,#N/A,FALSE,"Cash Flow";#N/A,#N/A,FALSE,"Student Statistics";#N/A,#N/A,FALSE,"student seats 1";#N/A,#N/A,FALSE,"Student Seats"}</definedName>
    <definedName name="wrn.All._3" localSheetId="10" hidden="1">{#N/A,#N/A,FALSE,"Memo P&amp;L";#N/A,#N/A,FALSE,"Memo Expl";#N/A,#N/A,FALSE,"Income Statement";#N/A,#N/A,FALSE,"Balance Sheet";#N/A,#N/A,FALSE,"Cash Flow";#N/A,#N/A,FALSE,"Student Statistics";#N/A,#N/A,FALSE,"student seats 1";#N/A,#N/A,FALSE,"Student Seats"}</definedName>
    <definedName name="wrn.All._3" hidden="1">{#N/A,#N/A,FALSE,"Memo P&amp;L";#N/A,#N/A,FALSE,"Memo Expl";#N/A,#N/A,FALSE,"Income Statement";#N/A,#N/A,FALSE,"Balance Sheet";#N/A,#N/A,FALSE,"Cash Flow";#N/A,#N/A,FALSE,"Student Statistics";#N/A,#N/A,FALSE,"student seats 1";#N/A,#N/A,FALSE,"Student Seats"}</definedName>
    <definedName name="wrn.All._4" localSheetId="10" hidden="1">{#N/A,#N/A,FALSE,"Memo P&amp;L";#N/A,#N/A,FALSE,"Memo Expl";#N/A,#N/A,FALSE,"Income Statement";#N/A,#N/A,FALSE,"Balance Sheet";#N/A,#N/A,FALSE,"Cash Flow";#N/A,#N/A,FALSE,"Student Statistics";#N/A,#N/A,FALSE,"student seats 1";#N/A,#N/A,FALSE,"Student Seats"}</definedName>
    <definedName name="wrn.All._4" hidden="1">{#N/A,#N/A,FALSE,"Memo P&amp;L";#N/A,#N/A,FALSE,"Memo Expl";#N/A,#N/A,FALSE,"Income Statement";#N/A,#N/A,FALSE,"Balance Sheet";#N/A,#N/A,FALSE,"Cash Flow";#N/A,#N/A,FALSE,"Student Statistics";#N/A,#N/A,FALSE,"student seats 1";#N/A,#N/A,FALSE,"Student Seats"}</definedName>
    <definedName name="wrn.All._5" localSheetId="10" hidden="1">{#N/A,#N/A,FALSE,"Memo P&amp;L";#N/A,#N/A,FALSE,"Memo Expl";#N/A,#N/A,FALSE,"Income Statement";#N/A,#N/A,FALSE,"Balance Sheet";#N/A,#N/A,FALSE,"Cash Flow";#N/A,#N/A,FALSE,"Student Statistics";#N/A,#N/A,FALSE,"student seats 1";#N/A,#N/A,FALSE,"Student Seats"}</definedName>
    <definedName name="wrn.All._5" hidden="1">{#N/A,#N/A,FALSE,"Memo P&amp;L";#N/A,#N/A,FALSE,"Memo Expl";#N/A,#N/A,FALSE,"Income Statement";#N/A,#N/A,FALSE,"Balance Sheet";#N/A,#N/A,FALSE,"Cash Flow";#N/A,#N/A,FALSE,"Student Statistics";#N/A,#N/A,FALSE,"student seats 1";#N/A,#N/A,FALSE,"Student Seats"}</definedName>
    <definedName name="wrn.all.2" localSheetId="10"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CdnIC" localSheetId="10" hidden="1">{"ALLPULPS",#N/A,FALSE,"FSUMTOT";"PAPER",#N/A,FALSE,"FSUMTOT";"FLUFF",#N/A,FALSE,"FSUMTOT";"OTHER",#N/A,FALSE,"FSUMTOT"}</definedName>
    <definedName name="wrn.All.CdnIC" hidden="1">{"ALLPULPS",#N/A,FALSE,"FSUMTOT";"PAPER",#N/A,FALSE,"FSUMTOT";"FLUFF",#N/A,FALSE,"FSUMTOT";"OTHER",#N/A,FALSE,"FSUMTOT"}</definedName>
    <definedName name="wrn.All_charts." localSheetId="10" hidden="1">{"chart_ar_stats",#N/A,FALSE,"AR Chart1";"chart_percent_AR_past_due",#N/A,FALSE,"AR Chart2";"chart_ap_trends_only",#N/A,FALSE,"AP Chart"}</definedName>
    <definedName name="wrn.All_charts." hidden="1">{"chart_ar_stats",#N/A,FALSE,"AR Chart1";"chart_percent_AR_past_due",#N/A,FALSE,"AR Chart2";"chart_ap_trends_only",#N/A,FALSE,"AP Chart"}</definedName>
    <definedName name="wrn.All_Models." localSheetId="10" hidden="1">{#N/A,#N/A,FALSE,"Summary";#N/A,#N/A,FALSE,"Projections";#N/A,#N/A,FALSE,"Mkt Mults";#N/A,#N/A,FALSE,"DCF";#N/A,#N/A,FALSE,"Accr Dil";#N/A,#N/A,FALSE,"PIC LBO";#N/A,#N/A,FALSE,"MULT10_4";#N/A,#N/A,FALSE,"CBI LBO"}</definedName>
    <definedName name="wrn.All_Models." localSheetId="15"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_1" localSheetId="10"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2" localSheetId="10">{#N/A,#N/A,FALSE,"Projections";#N/A,#N/A,FALSE,"Multiples Valuation";#N/A,#N/A,FALSE,"LBO";#N/A,#N/A,FALSE,"Multiples_Sensitivity";#N/A,#N/A,FALSE,"Summary"}</definedName>
    <definedName name="wrn.All_Models2">{#N/A,#N/A,FALSE,"Projections";#N/A,#N/A,FALSE,"Multiples Valuation";#N/A,#N/A,FALSE,"LBO";#N/A,#N/A,FALSE,"Multiples_Sensitivity";#N/A,#N/A,FALSE,"Summary"}</definedName>
    <definedName name="wrn.All_Sheets." localSheetId="10" hidden="1">{#N/A,#N/A,FALSE,"Projections";#N/A,#N/A,FALSE,"Contribution_Stock";#N/A,#N/A,FALSE,"PF_Combo_Stock";#N/A,#N/A,FALSE,"Projections";#N/A,#N/A,FALSE,"Contribution_Cash";#N/A,#N/A,FALSE,"PF_Combo_Cash";#N/A,#N/A,FALSE,"IPO_Cash"}</definedName>
    <definedName name="wrn.All_Sheets." localSheetId="15"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_Sheets._1" localSheetId="10"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2." localSheetId="10"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localSheetId="10" hidden="1">{#N/A,#N/A,FALSE,"assumptions";#N/A,#N/A,FALSE,"v_projcy";#N/A,#N/A,FALSE,"tar_proj";#N/A,#N/A,FALSE,"contrib_annual";#N/A,#N/A,FALSE,"Proforma";#N/A,#N/A,FALSE,"purc_97";#N/A,#N/A,FALSE,"syn_purc_97";#N/A,#N/A,FALSE,"pool_97";#N/A,#N/A,FALSE,"syn_pool_97";#N/A,#N/A,FALSE,"pool1_FY2"}</definedName>
    <definedName name="wrn.all3" localSheetId="15"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4" localSheetId="10"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10"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10"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10"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localSheetId="10" hidden="1">{"COMBINED94",#N/A,FALSE,"BALANCE SHEET";"KRONE94",#N/A,FALSE,"BALANCE SHEET";"PENNTECH94",#N/A,FALSE,"BALANCE SHEET";"INTERSYSTEMS94",#N/A,FALSE,"BALANCE SHEET";"COMBINED94",#N/A,FALSE,"USCASH";"KRONE94",#N/A,FALSE,"USCASH";"PENNTECH94",#N/A,FALSE,"USCASH";"INTERSYSTEMS94",#N/A,FALSE,"USCASH"}</definedName>
    <definedName name="wrn.ALL94." localSheetId="15"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10">{#N/A,#N/A,FALSE,"Projections";#N/A,#N/A,FALSE,"AccrDil";#N/A,#N/A,FALSE,"PurchPriMult";#N/A,#N/A,FALSE,"Mults7_13";#N/A,#N/A,FALSE,"Mkt Mults";#N/A,#N/A,FALSE,"Acq Mults";#N/A,#N/A,FALSE,"StockPrices";#N/A,#N/A,FALSE,"Prem Paid";#N/A,#N/A,FALSE,"DCF";#N/A,#N/A,FALSE,"AUTO";#N/A,#N/A,FALSE,"Relative Trading";#N/A,#N/A,FALSE,"Mkt Val";#N/A,#N/A,FALSE,"Acq Val"}</definedName>
    <definedName name="wrn.ALLbutPREMUIM2">{#N/A,#N/A,FALSE,"Projections";#N/A,#N/A,FALSE,"AccrDil";#N/A,#N/A,FALSE,"PurchPriMult";#N/A,#N/A,FALSE,"Mults7_13";#N/A,#N/A,FALSE,"Mkt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10" hidden="1">{#N/A,#N/A,FALSE,"Balance Sheet";#N/A,#N/A,FALSE,"Income Statement";#N/A,#N/A,FALSE,"Changes in Financial Position"}</definedName>
    <definedName name="wrn.AllDataPages." localSheetId="15" hidden="1">{#N/A,#N/A,FALSE,"Balance Sheet";#N/A,#N/A,FALSE,"Income Statement";#N/A,#N/A,FALSE,"Changes in Financial Position"}</definedName>
    <definedName name="wrn.AllDataPages." hidden="1">{#N/A,#N/A,FALSE,"Balance Sheet";#N/A,#N/A,FALSE,"Income Statement";#N/A,#N/A,FALSE,"Changes in Financial Position"}</definedName>
    <definedName name="wrn.AllModels." localSheetId="10" hidden="1">{#N/A,#N/A,FALSE,"AD_Purchase";#N/A,#N/A,FALSE,"Credit";#N/A,#N/A,FALSE,"PF Acquisition";#N/A,#N/A,FALSE,"PF Offering"}</definedName>
    <definedName name="wrn.AllModels." localSheetId="15" hidden="1">{#N/A,#N/A,FALSE,"AD_Purchase";#N/A,#N/A,FALSE,"Credit";#N/A,#N/A,FALSE,"PF Acquisition";#N/A,#N/A,FALSE,"PF Offering"}</definedName>
    <definedName name="wrn.AllModels." hidden="1">{#N/A,#N/A,FALSE,"AD_Purchase";#N/A,#N/A,FALSE,"Credit";#N/A,#N/A,FALSE,"PF Acquisition";#N/A,#N/A,FALSE,"PF Offering"}</definedName>
    <definedName name="wrn.AllModels._1" localSheetId="10" hidden="1">{#N/A,#N/A,FALSE,"AD_Purchase";#N/A,#N/A,FALSE,"Credit";#N/A,#N/A,FALSE,"PF Acquisition";#N/A,#N/A,FALSE,"PF Offering"}</definedName>
    <definedName name="wrn.AllModels._1" hidden="1">{#N/A,#N/A,FALSE,"AD_Purchase";#N/A,#N/A,FALSE,"Credit";#N/A,#N/A,FALSE,"PF Acquisition";#N/A,#N/A,FALSE,"PF Offering"}</definedName>
    <definedName name="wrn.alloff." localSheetId="10" hidden="1">{#N/A,#N/A,FALSE,"all offices ";#N/A,#N/A,FALSE,"office E - Edmonton";#N/A,#N/A,FALSE,"office R - Regina";#N/A,#N/A,FALSE,"office O -Ontario ";#N/A,#N/A,FALSE,"office V - Vancouver";#N/A,#N/A,FALSE,"office H- Healthcare";#N/A,#N/A,FALSE,"office N- Moncton";#N/A,#N/A,FALSE,"office -1 Capital one";#N/A,#N/A,FALSE,"office -M Montreal";#N/A,#N/A,FALSE,"office 9 Progressive";#N/A,#N/A,FALSE,"office O1 OntCap";"rollup",#N/A,FALSE,"proof";"totals",#N/A,FALSE,"proof";#N/A,#N/A,FALSE,"Overpayments"}</definedName>
    <definedName name="wrn.alloff." hidden="1">{#N/A,#N/A,FALSE,"all offices ";#N/A,#N/A,FALSE,"office E - Edmonton";#N/A,#N/A,FALSE,"office R - Regina";#N/A,#N/A,FALSE,"office O -Ontario ";#N/A,#N/A,FALSE,"office V - Vancouver";#N/A,#N/A,FALSE,"office H- Healthcare";#N/A,#N/A,FALSE,"office N- Moncton";#N/A,#N/A,FALSE,"office -1 Capital one";#N/A,#N/A,FALSE,"office -M Montreal";#N/A,#N/A,FALSE,"office 9 Progressive";#N/A,#N/A,FALSE,"office O1 OntCap";"rollup",#N/A,FALSE,"proof";"totals",#N/A,FALSE,"proof";#N/A,#N/A,FALSE,"Overpayments"}</definedName>
    <definedName name="wrn.allsched." localSheetId="10" hidden="1">{#N/A,#N/A,FALSE,"CASH";#N/A,#N/A,FALSE,"10110-10113 ST INVESTMENTS";#N/A,#N/A,FALSE,"10201-AR";#N/A,#N/A,FALSE,"10202-Accr Rev";#N/A,#N/A,FALSE,"10203- Unbilled AR";#N/A,#N/A,FALSE,"10205-AFBD";#N/A,#N/A,FALSE,"10216-SundryAR";#N/A,#N/A,FALSE,"GST 1";#N/A,#N/A,FALSE,"GST 2";#N/A,#N/A,FALSE,"24503- Sask Sales Tax";#N/A,#N/A,FALSE,"10221-Empl Loans";#N/A,#N/A,FALSE,"10227 - Finstar Loan Rec";#N/A,#N/A,FALSE,"12500-Funds due to clients";#N/A,#N/A,FALSE,"14350-deferred charges";#N/A,#N/A,FALSE,"14700- Sec Deposit";#N/A,#N/A,FALSE,"23035- bank charges";#N/A,#N/A,FALSE,"23040- audit fees";#N/A,#N/A,FALSE,"23046-postage";#N/A,#N/A,FALSE,"23055- bonus buildup";#N/A,#N/A,FALSE,"23061-Acr Salaries";#N/A,#N/A,FALSE,"Client Sundry Pay";#N/A,#N/A,FALSE,"24000-24010 Taxes Payable";#N/A,#N/A,FALSE,"Taxes Payable 2 - installments";#N/A,#N/A,FALSE,"25235-Pension plan payable";#N/A,#N/A,FALSE,"Med Plan Payable 25241-25242-1";#N/A,#N/A,FALSE,"25241-25242 2";#N/A,#N/A,FALSE,"25243 BCAlb medical";#N/A,#N/A,FALSE,"25246 Susp Salaries"}</definedName>
    <definedName name="wrn.allsched." hidden="1">{#N/A,#N/A,FALSE,"CASH";#N/A,#N/A,FALSE,"10110-10113 ST INVESTMENTS";#N/A,#N/A,FALSE,"10201-AR";#N/A,#N/A,FALSE,"10202-Accr Rev";#N/A,#N/A,FALSE,"10203- Unbilled AR";#N/A,#N/A,FALSE,"10205-AFBD";#N/A,#N/A,FALSE,"10216-SundryAR";#N/A,#N/A,FALSE,"GST 1";#N/A,#N/A,FALSE,"GST 2";#N/A,#N/A,FALSE,"24503- Sask Sales Tax";#N/A,#N/A,FALSE,"10221-Empl Loans";#N/A,#N/A,FALSE,"10227 - Finstar Loan Rec";#N/A,#N/A,FALSE,"12500-Funds due to clients";#N/A,#N/A,FALSE,"14350-deferred charges";#N/A,#N/A,FALSE,"14700- Sec Deposit";#N/A,#N/A,FALSE,"23035- bank charges";#N/A,#N/A,FALSE,"23040- audit fees";#N/A,#N/A,FALSE,"23046-postage";#N/A,#N/A,FALSE,"23055- bonus buildup";#N/A,#N/A,FALSE,"23061-Acr Salaries";#N/A,#N/A,FALSE,"Client Sundry Pay";#N/A,#N/A,FALSE,"24000-24010 Taxes Payable";#N/A,#N/A,FALSE,"Taxes Payable 2 - installments";#N/A,#N/A,FALSE,"25235-Pension plan payable";#N/A,#N/A,FALSE,"Med Plan Payable 25241-25242-1";#N/A,#N/A,FALSE,"25241-25242 2";#N/A,#N/A,FALSE,"25243 BCAlb medical";#N/A,#N/A,FALSE,"25246 Susp Salaries"}</definedName>
    <definedName name="wrn.Ameritel." localSheetId="10">{#N/A,#N/A,TRUE,"T-5Yr";#N/A,#N/A,TRUE,"T-7yr";#N/A,#N/A,TRUE,"S";#N/A,#N/A,TRUE,"2000Satellite-7";#N/A,#N/A,TRUE,"Avalon North-7";#N/A,#N/A,TRUE,"2000Satellite-5";#N/A,#N/A,TRUE,"Avalon North-5"}</definedName>
    <definedName name="wrn.Ameritel.">{#N/A,#N/A,TRUE,"T-5Yr";#N/A,#N/A,TRUE,"T-7yr";#N/A,#N/A,TRUE,"S";#N/A,#N/A,TRUE,"2000Satellite-7";#N/A,#N/A,TRUE,"Avalon North-7";#N/A,#N/A,TRUE,"2000Satellite-5";#N/A,#N/A,TRUE,"Avalon North-5"}</definedName>
    <definedName name="wrn.ANALYSIS." localSheetId="10" hidden="1">{"STATIONS",#N/A,TRUE,"Station OCF";"COMPS",#N/A,TRUE,"COMPS";"CAP",#N/A,TRUE,"PUBLIC";"TVCAPDET",#N/A,TRUE,"CAPDET";"DCF",#N/A,TRUE,"DCF"}</definedName>
    <definedName name="wrn.ANALYSIS." localSheetId="15" hidden="1">{"STATIONS",#N/A,TRUE,"Station OCF";"COMPS",#N/A,TRUE,"COMPS";"CAP",#N/A,TRUE,"PUBLIC";"TVCAPDET",#N/A,TRUE,"CAPDET";"DCF",#N/A,TRUE,"DCF"}</definedName>
    <definedName name="wrn.ANALYSIS." hidden="1">{"STATIONS",#N/A,TRUE,"Station OCF";"COMPS",#N/A,TRUE,"COMPS";"CAP",#N/A,TRUE,"PUBLIC";"TVCAPDET",#N/A,TRUE,"CAPDET";"DCF",#N/A,TRUE,"DCF"}</definedName>
    <definedName name="wrn.Analytic." localSheetId="10">{#N/A,#N/A,FALSE,"Fisons_Sci_Instr";#N/A,#N/A,FALSE,"Fisons_Lab_Supplies";#N/A,#N/A,FALSE,"Nunc";#N/A,#N/A,FALSE,"Sorvall";#N/A,#N/A,FALSE,"Dynatech";#N/A,#N/A,FALSE,"Hach"}</definedName>
    <definedName name="wrn.Analytic.">{#N/A,#N/A,FALSE,"Fisons_Sci_Instr";#N/A,#N/A,FALSE,"Fisons_Lab_Supplies";#N/A,#N/A,FALSE,"Nunc";#N/A,#N/A,FALSE,"Sorvall";#N/A,#N/A,FALSE,"Dynatech";#N/A,#N/A,FALSE,"Hach"}</definedName>
    <definedName name="wrn.Annual._.Report." localSheetId="10" hidden="1">{#N/A,#N/A,FALSE,"TABLE_1 YTD- VALUES LAST YR(2)"}</definedName>
    <definedName name="wrn.Annual._.Report." localSheetId="15" hidden="1">{#N/A,#N/A,FALSE,"TABLE_1 YTD- VALUES LAST YR(2)"}</definedName>
    <definedName name="wrn.Annual._.Report." hidden="1">{#N/A,#N/A,FALSE,"TABLE_1 YTD- VALUES LAST YR(2)"}</definedName>
    <definedName name="wrn.Annual_n_Quarterly." localSheetId="10" hidden="1">{"Annual",#N/A,FALSE,"Sales &amp; Market";"Quarterly",#N/A,FALSE,"Sales &amp; Market"}</definedName>
    <definedName name="wrn.Annual_n_Quarterly." localSheetId="15" hidden="1">{"Annual",#N/A,FALSE,"Sales &amp; Market";"Quarterly",#N/A,FALSE,"Sales &amp; Market"}</definedName>
    <definedName name="wrn.Annual_n_Quarterly." hidden="1">{"Annual",#N/A,FALSE,"Sales &amp; Market";"Quarterly",#N/A,FALSE,"Sales &amp; Market"}</definedName>
    <definedName name="wrn.AOL._.Budget." localSheetId="10"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Budget." localSheetId="1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_.JAPAN." localSheetId="10" hidden="1">{"AP JAPAN",#N/A,FALSE,"AP JAPAN"}</definedName>
    <definedName name="wrn.AP._.JAPAN." hidden="1">{"AP JAPAN",#N/A,FALSE,"AP JAPAN"}</definedName>
    <definedName name="wrn.APCI._.Tab." localSheetId="10"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omp." localSheetId="10" hidden="1">{#N/A,#N/A,FALSE,"APcomp"}</definedName>
    <definedName name="wrn.APcomp." hidden="1">{#N/A,#N/A,FALSE,"APcomp"}</definedName>
    <definedName name="wrn.APcontrol." localSheetId="10" hidden="1">{#N/A,#N/A,FALSE,"APcontrol"}</definedName>
    <definedName name="wrn.APcontrol." hidden="1">{#N/A,#N/A,FALSE,"APcontrol"}</definedName>
    <definedName name="wrn.APCT." localSheetId="10" hidden="1">{"Page1",#N/A,FALSE,"APCT";"Page2",#N/A,FALSE,"APCT"}</definedName>
    <definedName name="wrn.APCT." hidden="1">{"Page1",#N/A,FALSE,"APCT";"Page2",#N/A,FALSE,"APCT"}</definedName>
    <definedName name="wrn.APL." localSheetId="10" hidden="1">{"Page1",#N/A,FALSE,"APL";"Page2",#N/A,FALSE,"APL"}</definedName>
    <definedName name="wrn.APL." hidden="1">{"Page1",#N/A,FALSE,"APL";"Page2",#N/A,FALSE,"APL"}</definedName>
    <definedName name="wrn.APMD." localSheetId="10"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0" hidden="1">{"Ceset",#N/A,FALSE,"Consol Appl";"DomApp",#N/A,FALSE,"Consol Appl";"TotalApp",#N/A,FALSE,"Consol Appl"}</definedName>
    <definedName name="wrn.Appliance." hidden="1">{"Ceset",#N/A,FALSE,"Consol Appl";"DomApp",#N/A,FALSE,"Consol Appl";"TotalApp",#N/A,FALSE,"Consol Appl"}</definedName>
    <definedName name="wrn.Approval." localSheetId="10">#REF!</definedName>
    <definedName name="wrn.Approval.">#REF!</definedName>
    <definedName name="wrn.Approval2." localSheetId="10">#REF!</definedName>
    <definedName name="wrn.Approval2.">#REF!</definedName>
    <definedName name="wrn.APrecon." localSheetId="10" hidden="1">{#N/A,#N/A,FALSE,"APrecon"}</definedName>
    <definedName name="wrn.APrecon." hidden="1">{#N/A,#N/A,FALSE,"APrecon"}</definedName>
    <definedName name="wrn.APRIL." localSheetId="10"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Financials." localSheetId="10" hidden="1">{"Statement of Income",#N/A,TRUE,"Mar99";"Balance Sheet",#N/A,TRUE,"Mar99"}</definedName>
    <definedName name="wrn.April._.Financials." localSheetId="15" hidden="1">{"Statement of Income",#N/A,TRUE,"Mar99";"Balance Sheet",#N/A,TRUE,"Mar99"}</definedName>
    <definedName name="wrn.April._.Financials." hidden="1">{"Statement of Income",#N/A,TRUE,"Mar99";"Balance Sheet",#N/A,TRUE,"Mar99"}</definedName>
    <definedName name="wrn.APspread." localSheetId="10" hidden="1">{#N/A,#N/A,FALSE,"APspread"}</definedName>
    <definedName name="wrn.APspread." hidden="1">{#N/A,#N/A,FALSE,"APspread"}</definedName>
    <definedName name="wrn.APtop10." localSheetId="10" hidden="1">{#N/A,#N/A,FALSE,"APtop10"}</definedName>
    <definedName name="wrn.APtop10." hidden="1">{#N/A,#N/A,FALSE,"APtop10"}</definedName>
    <definedName name="wrn.AQUIROR._.DCF." localSheetId="10" hidden="1">{"AQUIRORDCF",#N/A,FALSE,"Merger consequences";"Acquirorassns",#N/A,FALSE,"Merger consequences"}</definedName>
    <definedName name="wrn.AQUIROR._.DCF." localSheetId="15" hidden="1">{"AQUIRORDCF",#N/A,FALSE,"Merger consequences";"Acquirorassns",#N/A,FALSE,"Merger consequences"}</definedName>
    <definedName name="wrn.AQUIROR._.DCF." hidden="1">{"AQUIRORDCF",#N/A,FALSE,"Merger consequences";"Acquirorassns",#N/A,FALSE,"Merger consequences"}</definedName>
    <definedName name="wrn.AQUIROR._.DCF._1" localSheetId="10" hidden="1">{"AQUIRORDCF",#N/A,FALSE,"Merger consequences";"Acquirorassns",#N/A,FALSE,"Merger consequences"}</definedName>
    <definedName name="wrn.AQUIROR._.DCF._1" hidden="1">{"AQUIRORDCF",#N/A,FALSE,"Merger consequences";"Acquirorassns",#N/A,FALSE,"Merger consequences"}</definedName>
    <definedName name="wrn.AQUIROR._.DCF._from_DBAB" localSheetId="10" hidden="1">{"AQUIRORDCF",#N/A,FALSE,"Merger consequences";"Acquirorassns",#N/A,FALSE,"Merger consequences"}</definedName>
    <definedName name="wrn.AQUIROR._.DCF._from_DBAB" localSheetId="15"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10" hidden="1">{"AQUIRORDCF",#N/A,FALSE,"Merger consequences";"Acquirorassns",#N/A,FALSE,"Merger consequences"}</definedName>
    <definedName name="wrn.AQUIROR._.DCF._from_DBAB_1" localSheetId="15"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10" hidden="1">{"AQUIRORDCF",#N/A,FALSE,"Merger consequences";"Acquirorassns",#N/A,FALSE,"Merger consequences"}</definedName>
    <definedName name="wrn.AQUIROR._.DCF._from_DBAB_1_1" localSheetId="15"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10" hidden="1">{"AQUIRORDCF",#N/A,FALSE,"Merger consequences";"Acquirorassns",#N/A,FALSE,"Merger consequences"}</definedName>
    <definedName name="wrn.AQUIROR._.DCF._from_DBAB_1_1_1" localSheetId="15" hidden="1">{"AQUIRORDCF",#N/A,FALSE,"Merger consequences";"Acquirorassns",#N/A,FALSE,"Merger consequences"}</definedName>
    <definedName name="wrn.AQUIROR._.DCF._from_DBAB_1_1_1" hidden="1">{"AQUIRORDCF",#N/A,FALSE,"Merger consequences";"Acquirorassns",#N/A,FALSE,"Merger consequences"}</definedName>
    <definedName name="wrn.AQUIROR._.DCF._from_DBAB_1_2" localSheetId="10" hidden="1">{"AQUIRORDCF",#N/A,FALSE,"Merger consequences";"Acquirorassns",#N/A,FALSE,"Merger consequences"}</definedName>
    <definedName name="wrn.AQUIROR._.DCF._from_DBAB_1_2" localSheetId="15" hidden="1">{"AQUIRORDCF",#N/A,FALSE,"Merger consequences";"Acquirorassns",#N/A,FALSE,"Merger consequences"}</definedName>
    <definedName name="wrn.AQUIROR._.DCF._from_DBAB_1_2" hidden="1">{"AQUIRORDCF",#N/A,FALSE,"Merger consequences";"Acquirorassns",#N/A,FALSE,"Merger consequences"}</definedName>
    <definedName name="wrn.AQUIROR._.DCF._from_DBAB_2" localSheetId="10" hidden="1">{"AQUIRORDCF",#N/A,FALSE,"Merger consequences";"Acquirorassns",#N/A,FALSE,"Merger consequences"}</definedName>
    <definedName name="wrn.AQUIROR._.DCF._from_DBAB_2" localSheetId="15" hidden="1">{"AQUIRORDCF",#N/A,FALSE,"Merger consequences";"Acquirorassns",#N/A,FALSE,"Merger consequences"}</definedName>
    <definedName name="wrn.AQUIROR._.DCF._from_DBAB_2" hidden="1">{"AQUIRORDCF",#N/A,FALSE,"Merger consequences";"Acquirorassns",#N/A,FALSE,"Merger consequences"}</definedName>
    <definedName name="wrn.AQUIROR._.DCF._from_DBAB_3" localSheetId="10" hidden="1">{"AQUIRORDCF",#N/A,FALSE,"Merger consequences";"Acquirorassns",#N/A,FALSE,"Merger consequences"}</definedName>
    <definedName name="wrn.AQUIROR._.DCF._from_DBAB_3" localSheetId="15" hidden="1">{"AQUIRORDCF",#N/A,FALSE,"Merger consequences";"Acquirorassns",#N/A,FALSE,"Merger consequences"}</definedName>
    <definedName name="wrn.AQUIROR._.DCF._from_DBAB_3" hidden="1">{"AQUIRORDCF",#N/A,FALSE,"Merger consequences";"Acquirorassns",#N/A,FALSE,"Merger consequences"}</definedName>
    <definedName name="wrn.AQUIROR._.DCF._from_DBAB_4" localSheetId="10" hidden="1">{"AQUIRORDCF",#N/A,FALSE,"Merger consequences";"Acquirorassns",#N/A,FALSE,"Merger consequences"}</definedName>
    <definedName name="wrn.AQUIROR._.DCF._from_DBAB_4" localSheetId="15" hidden="1">{"AQUIRORDCF",#N/A,FALSE,"Merger consequences";"Acquirorassns",#N/A,FALSE,"Merger consequences"}</definedName>
    <definedName name="wrn.AQUIROR._.DCF._from_DBAB_4" hidden="1">{"AQUIRORDCF",#N/A,FALSE,"Merger consequences";"Acquirorassns",#N/A,FALSE,"Merger consequences"}</definedName>
    <definedName name="wrn.AQUIROR._.DCF._from_DBAB_5" localSheetId="10" hidden="1">{"AQUIRORDCF",#N/A,FALSE,"Merger consequences";"Acquirorassns",#N/A,FALSE,"Merger consequences"}</definedName>
    <definedName name="wrn.AQUIROR._.DCF._from_DBAB_5" localSheetId="15" hidden="1">{"AQUIRORDCF",#N/A,FALSE,"Merger consequences";"Acquirorassns",#N/A,FALSE,"Merger consequences"}</definedName>
    <definedName name="wrn.AQUIROR._.DCF._from_DBAB_5" hidden="1">{"AQUIRORDCF",#N/A,FALSE,"Merger consequences";"Acquirorassns",#N/A,FALSE,"Merger consequences"}</definedName>
    <definedName name="wrn.AR._.comparative." localSheetId="10" hidden="1">{#N/A,#N/A,FALSE,"ARComp"}</definedName>
    <definedName name="wrn.AR._.comparative." hidden="1">{#N/A,#N/A,FALSE,"ARComp"}</definedName>
    <definedName name="wrn.AR._.ineligible." localSheetId="10" hidden="1">{#N/A,#N/A,FALSE,"ARIneligble"}</definedName>
    <definedName name="wrn.AR._.ineligible." hidden="1">{#N/A,#N/A,FALSE,"ARIneligble"}</definedName>
    <definedName name="wrn.AR._.Ineligible._.Detail." localSheetId="10" hidden="1">{#N/A,#N/A,FALSE,"ARieDetail"}</definedName>
    <definedName name="wrn.AR._.Ineligible._.Detail." hidden="1">{#N/A,#N/A,FALSE,"ARieDetail"}</definedName>
    <definedName name="wrn.AR._.past._.due." localSheetId="10" hidden="1">{#N/A,#N/A,FALSE,"PastDue"}</definedName>
    <definedName name="wrn.AR._.past._.due." hidden="1">{#N/A,#N/A,FALSE,"PastDue"}</definedName>
    <definedName name="wrn.AR._.past._.due._.details." localSheetId="10" hidden="1">{#N/A,#N/A,FALSE,"Pastduedet"}</definedName>
    <definedName name="wrn.AR._.past._.due._.details." hidden="1">{#N/A,#N/A,FALSE,"Pastduedet"}</definedName>
    <definedName name="wrn.AR._.reconciliations." localSheetId="10" hidden="1">{#N/A,#N/A,FALSE,"Reconciliations"}</definedName>
    <definedName name="wrn.AR._.reconciliations." hidden="1">{#N/A,#N/A,FALSE,"Reconciliations"}</definedName>
    <definedName name="wrn.ARAging." localSheetId="10" hidden="1">{#N/A,#N/A,FALSE,"Agingtrend"}</definedName>
    <definedName name="wrn.ARAging." hidden="1">{#N/A,#N/A,FALSE,"Agingtrend"}</definedName>
    <definedName name="wrn.ARconcentration." localSheetId="10" hidden="1">{#N/A,#N/A,FALSE,"ARConcent"}</definedName>
    <definedName name="wrn.ARconcentration." hidden="1">{#N/A,#N/A,FALSE,"ARConcent"}</definedName>
    <definedName name="wrn.ARcontrol." localSheetId="10" hidden="1">{#N/A,#N/A,FALSE,"ARControl"}</definedName>
    <definedName name="wrn.ARcontrol." hidden="1">{#N/A,#N/A,FALSE,"ARControl"}</definedName>
    <definedName name="wrn.ARGON._.PRICING." localSheetId="10" hidden="1">{"ARGON PRICING",#N/A,FALSE,"ARGON"}</definedName>
    <definedName name="wrn.ARGON._.PRICING." hidden="1">{"ARGON PRICING",#N/A,FALSE,"ARGON"}</definedName>
    <definedName name="wrn.ARGON._.REVENUE." localSheetId="10" hidden="1">{"ARGON REVENUE",#N/A,FALSE,"ARGON"}</definedName>
    <definedName name="wrn.ARGON._.REVENUE." hidden="1">{"ARGON REVENUE",#N/A,FALSE,"ARGON"}</definedName>
    <definedName name="wrn.ARGON._.VOLUME." localSheetId="10" hidden="1">{"ARGON VOLUME",#N/A,FALSE,"ARGON"}</definedName>
    <definedName name="wrn.ARGON._.VOLUME." hidden="1">{"ARGON VOLUME",#N/A,FALSE,"ARGON"}</definedName>
    <definedName name="wrn.ARGON_VOL" localSheetId="10" hidden="1">{"ARGON VOLUME",#N/A,FALSE,"ARGON"}</definedName>
    <definedName name="wrn.ARGON_VOL" hidden="1">{"ARGON VOLUME",#N/A,FALSE,"ARGON"}</definedName>
    <definedName name="wrn.asg." localSheetId="10"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g._1" localSheetId="10" hidden="1">{#N/A,#N/A,FALSE,"Exh 1";#N/A,#N/A,FALSE,"Exh 2";#N/A,#N/A,FALSE,"Exh 2a";#N/A,#N/A,FALSE,"Exh 3";#N/A,#N/A,FALSE,"Exhib 4";#N/A,#N/A,FALSE,"eh 5";#N/A,#N/A,FALSE,"Exh 6"}</definedName>
    <definedName name="wrn.asg._1" hidden="1">{#N/A,#N/A,FALSE,"Exh 1";#N/A,#N/A,FALSE,"Exh 2";#N/A,#N/A,FALSE,"Exh 2a";#N/A,#N/A,FALSE,"Exh 3";#N/A,#N/A,FALSE,"Exhib 4";#N/A,#N/A,FALSE,"eh 5";#N/A,#N/A,FALSE,"Exh 6"}</definedName>
    <definedName name="wrn.asg._2" localSheetId="10" hidden="1">{#N/A,#N/A,FALSE,"Exh 1";#N/A,#N/A,FALSE,"Exh 2";#N/A,#N/A,FALSE,"Exh 2a";#N/A,#N/A,FALSE,"Exh 3";#N/A,#N/A,FALSE,"Exhib 4";#N/A,#N/A,FALSE,"eh 5";#N/A,#N/A,FALSE,"Exh 6"}</definedName>
    <definedName name="wrn.asg._2" hidden="1">{#N/A,#N/A,FALSE,"Exh 1";#N/A,#N/A,FALSE,"Exh 2";#N/A,#N/A,FALSE,"Exh 2a";#N/A,#N/A,FALSE,"Exh 3";#N/A,#N/A,FALSE,"Exhib 4";#N/A,#N/A,FALSE,"eh 5";#N/A,#N/A,FALSE,"Exh 6"}</definedName>
    <definedName name="wrn.asg._3" localSheetId="10" hidden="1">{#N/A,#N/A,FALSE,"Exh 1";#N/A,#N/A,FALSE,"Exh 2";#N/A,#N/A,FALSE,"Exh 2a";#N/A,#N/A,FALSE,"Exh 3";#N/A,#N/A,FALSE,"Exhib 4";#N/A,#N/A,FALSE,"eh 5";#N/A,#N/A,FALSE,"Exh 6"}</definedName>
    <definedName name="wrn.asg._3" hidden="1">{#N/A,#N/A,FALSE,"Exh 1";#N/A,#N/A,FALSE,"Exh 2";#N/A,#N/A,FALSE,"Exh 2a";#N/A,#N/A,FALSE,"Exh 3";#N/A,#N/A,FALSE,"Exhib 4";#N/A,#N/A,FALSE,"eh 5";#N/A,#N/A,FALSE,"Exh 6"}</definedName>
    <definedName name="wrn.asg._4" localSheetId="10" hidden="1">{#N/A,#N/A,FALSE,"Exh 1";#N/A,#N/A,FALSE,"Exh 2";#N/A,#N/A,FALSE,"Exh 2a";#N/A,#N/A,FALSE,"Exh 3";#N/A,#N/A,FALSE,"Exhib 4";#N/A,#N/A,FALSE,"eh 5";#N/A,#N/A,FALSE,"Exh 6"}</definedName>
    <definedName name="wrn.asg._4" hidden="1">{#N/A,#N/A,FALSE,"Exh 1";#N/A,#N/A,FALSE,"Exh 2";#N/A,#N/A,FALSE,"Exh 2a";#N/A,#N/A,FALSE,"Exh 3";#N/A,#N/A,FALSE,"Exhib 4";#N/A,#N/A,FALSE,"eh 5";#N/A,#N/A,FALSE,"Exh 6"}</definedName>
    <definedName name="wrn.asg._5" localSheetId="10" hidden="1">{#N/A,#N/A,FALSE,"Exh 1";#N/A,#N/A,FALSE,"Exh 2";#N/A,#N/A,FALSE,"Exh 2a";#N/A,#N/A,FALSE,"Exh 3";#N/A,#N/A,FALSE,"Exhib 4";#N/A,#N/A,FALSE,"eh 5";#N/A,#N/A,FALSE,"Exh 6"}</definedName>
    <definedName name="wrn.asg._5" hidden="1">{#N/A,#N/A,FALSE,"Exh 1";#N/A,#N/A,FALSE,"Exh 2";#N/A,#N/A,FALSE,"Exh 2a";#N/A,#N/A,FALSE,"Exh 3";#N/A,#N/A,FALSE,"Exhib 4";#N/A,#N/A,FALSE,"eh 5";#N/A,#N/A,FALSE,"Exh 6"}</definedName>
    <definedName name="wrn.asia" localSheetId="10" hidden="1">{#N/A,#N/A,FALSE,"ASIA CORP";#N/A,#N/A,FALSE,"SEG";#N/A,#N/A,FALSE,"INVEST";#N/A,#N/A,FALSE,"ELIM"}</definedName>
    <definedName name="wrn.asia" hidden="1">{#N/A,#N/A,FALSE,"ASIA CORP";#N/A,#N/A,FALSE,"SEG";#N/A,#N/A,FALSE,"INVEST";#N/A,#N/A,FALSE,"ELIM"}</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s." localSheetId="10" hidden="1">{"assets",#N/A,FALSE,"BSCON894"}</definedName>
    <definedName name="wrn.assets." hidden="1">{"assets",#N/A,FALSE,"BSCON894"}</definedName>
    <definedName name="wrn.Assumptions." localSheetId="10" hidden="1">{"Assumptions",#N/A,FALSE,"Assum"}</definedName>
    <definedName name="wrn.Assumptions." localSheetId="15" hidden="1">{"Assumptions",#N/A,FALSE,"Assum"}</definedName>
    <definedName name="wrn.Assumptions." hidden="1">{"Assumptions",#N/A,FALSE,"Assum"}</definedName>
    <definedName name="wrn.Assumptions._.and._.Results." localSheetId="10" hidden="1">{"CV_1",#N/A,TRUE,"Assumptions and Results"}</definedName>
    <definedName name="wrn.Assumptions._.and._.Results." hidden="1">{"CV_1",#N/A,TRUE,"Assumptions and Results"}</definedName>
    <definedName name="wrn.assumptions._1" localSheetId="10" hidden="1">{"baseassum",#N/A,FALSE,"BASEDCF";"bassum2",#N/A,FALSE,"BASEDCF";"hmix",#N/A,FALSE,"BASEDCF"}</definedName>
    <definedName name="wrn.assumptions._1" hidden="1">{"baseassum",#N/A,FALSE,"BASEDCF";"bassum2",#N/A,FALSE,"BASEDCF";"hmix",#N/A,FALSE,"BASEDCF"}</definedName>
    <definedName name="wrn.August." localSheetId="10"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to._.Comp." localSheetId="10" hidden="1">{#N/A,#N/A,FALSE,"Sheet1"}</definedName>
    <definedName name="wrn.Auto._.Comp." localSheetId="15" hidden="1">{#N/A,#N/A,FALSE,"Sheet1"}</definedName>
    <definedName name="wrn.Auto._.Comp." hidden="1">{#N/A,#N/A,FALSE,"Sheet1"}</definedName>
    <definedName name="wrn.Auto._.Comp._1" localSheetId="10" hidden="1">{#N/A,#N/A,FALSE,"Sheet1"}</definedName>
    <definedName name="wrn.Auto._.Comp._1" hidden="1">{#N/A,#N/A,FALSE,"Sheet1"}</definedName>
    <definedName name="wrn.Auto._.Comp.1" localSheetId="10" hidden="1">{#N/A,#N/A,FALSE,"Sheet1"}</definedName>
    <definedName name="wrn.Auto._.Comp.1" hidden="1">{#N/A,#N/A,FALSE,"Sheet1"}</definedName>
    <definedName name="wrn.Back._.Page." localSheetId="10" hidden="1">{"Back Page",#N/A,FALSE,"Front and Back"}</definedName>
    <definedName name="wrn.Back._.Page." localSheetId="15" hidden="1">{"Back Page",#N/A,FALSE,"Front and Back"}</definedName>
    <definedName name="wrn.Back._.Page." hidden="1">{"Back Page",#N/A,FALSE,"Front and Back"}</definedName>
    <definedName name="wrn.Backlog._.summary." localSheetId="10" hidden="1">{#N/A,#N/A,FALSE,"BacklogCONC"}</definedName>
    <definedName name="wrn.Backlog._.summary." hidden="1">{#N/A,#N/A,FALSE,"BacklogCONC"}</definedName>
    <definedName name="wrn.backup." localSheetId="10" hidden="1">{"background",#N/A,FALSE,"CS First Boston Merger Model";"inputs",#N/A,FALSE,"CS First Boston Merger Model"}</definedName>
    <definedName name="wrn.backup." localSheetId="15" hidden="1">{"background",#N/A,FALSE,"CS First Boston Merger Model";"inputs",#N/A,FALSE,"CS First Boston Merger Model"}</definedName>
    <definedName name="wrn.backup." hidden="1">{"background",#N/A,FALSE,"CS First Boston Merger Model";"inputs",#N/A,FALSE,"CS First Boston Merger Model"}</definedName>
    <definedName name="wrn.Bad._.debt._.allowance." localSheetId="10" hidden="1">{#N/A,#N/A,FALSE,"AllowBD"}</definedName>
    <definedName name="wrn.Bad._.debt._.allowance." hidden="1">{#N/A,#N/A,FALSE,"AllowBD"}</definedName>
    <definedName name="wrn.Bad._.Debts." localSheetId="10" hidden="1">{#N/A,#N/A,FALSE,"Baddebt"}</definedName>
    <definedName name="wrn.Bad._.Debts." hidden="1">{#N/A,#N/A,FALSE,"Baddebt"}</definedName>
    <definedName name="wrn.Bal._.Sht._.and._.Detail." localSheetId="10">{"Balance Sheet",#N/A,FALSE,"Balance Sheet";"Detail Lines",#N/A,FALSE,"Balance Sheet"}</definedName>
    <definedName name="wrn.Bal._.Sht._.and._.Detail.">{"Balance Sheet",#N/A,FALSE,"Balance Sheet";"Detail Lines",#N/A,FALSE,"Balance Sheet"}</definedName>
    <definedName name="wrn.Balance._.Sheet." localSheetId="10" hidden="1">{"Balance Sheet",#N/A,FALSE,"Balance Sheet"}</definedName>
    <definedName name="wrn.Balance._.Sheet." localSheetId="15" hidden="1">{"Balance Sheet",#N/A,FALSE,"Balance Sheet"}</definedName>
    <definedName name="wrn.Balance._.Sheet." hidden="1">{"Balance Sheet",#N/A,FALSE,"Balance Sheet"}</definedName>
    <definedName name="wrn.Balance._.Sheet._1" localSheetId="10" hidden="1">{#N/A,#N/A,FALSE,"Balance Sheet"}</definedName>
    <definedName name="wrn.Balance._.Sheet._1" hidden="1">{#N/A,#N/A,FALSE,"Balance Sheet"}</definedName>
    <definedName name="wrn.Balance._.Sheet._2" localSheetId="10" hidden="1">{#N/A,#N/A,FALSE,"Balance Sheet"}</definedName>
    <definedName name="wrn.Balance._.Sheet._2" hidden="1">{#N/A,#N/A,FALSE,"Balance Sheet"}</definedName>
    <definedName name="wrn.Balance._.Sheet._3" localSheetId="10" hidden="1">{#N/A,#N/A,FALSE,"Balance Sheet"}</definedName>
    <definedName name="wrn.Balance._.Sheet._3" hidden="1">{#N/A,#N/A,FALSE,"Balance Sheet"}</definedName>
    <definedName name="wrn.Balance._.Sheet._4" localSheetId="10" hidden="1">{#N/A,#N/A,FALSE,"Balance Sheet"}</definedName>
    <definedName name="wrn.Balance._.Sheet._4" hidden="1">{#N/A,#N/A,FALSE,"Balance Sheet"}</definedName>
    <definedName name="wrn.Balance._.Sheet._5" localSheetId="10" hidden="1">{#N/A,#N/A,FALSE,"Balance Sheet"}</definedName>
    <definedName name="wrn.Balance._.Sheet._5" hidden="1">{#N/A,#N/A,FALSE,"Balance Sheet"}</definedName>
    <definedName name="wrn.balance._.sheet2." localSheetId="10" hidden="1">{"bs",#N/A,FALSE,"SCF"}</definedName>
    <definedName name="wrn.balance._.sheet2." hidden="1">{"bs",#N/A,FALSE,"SCF"}</definedName>
    <definedName name="wrn.balance._.sheet3." localSheetId="10" hidden="1">{"bs",#N/A,FALSE,"SCF"}</definedName>
    <definedName name="wrn.balance._.sheet3." hidden="1">{"bs",#N/A,FALSE,"SCF"}</definedName>
    <definedName name="wrn.balance._.sheet4." localSheetId="10" hidden="1">{"bs",#N/A,FALSE,"SCF"}</definedName>
    <definedName name="wrn.balance._.sheet4." hidden="1">{"bs",#N/A,FALSE,"SCF"}</definedName>
    <definedName name="wrn.balance._sheet2." localSheetId="10" hidden="1">{"bs",#N/A,FALSE,"SCF"}</definedName>
    <definedName name="wrn.balance._sheet2." hidden="1">{"bs",#N/A,FALSE,"SCF"}</definedName>
    <definedName name="wrn.Balance_Sheet" localSheetId="10">{"bs",#N/A,FALSE,"Balance Sheet"}</definedName>
    <definedName name="wrn.Balance_Sheet">{"bs",#N/A,FALSE,"Balance Sheet"}</definedName>
    <definedName name="wrn.Balance_Sheet." localSheetId="10">{"bs",#N/A,FALSE,"Balance Sheet"}</definedName>
    <definedName name="wrn.Balance_Sheet.">{"bs",#N/A,FALSE,"Balance Sheet"}</definedName>
    <definedName name="wrn.balsheet." localSheetId="10" hidden="1">{"ICDANDNONDIV",#N/A,FALSE,"BSALLNOW.XLS";"polyandpurperf",#N/A,FALSE,"BSALLNOW.XLS"}</definedName>
    <definedName name="wrn.balsheet." hidden="1">{"ICDANDNONDIV",#N/A,FALSE,"BSALLNOW.XLS";"polyandpurperf",#N/A,FALSE,"BSALLNOW.XLS"}</definedName>
    <definedName name="wrn.bank._.model." localSheetId="10" hidden="1">{"banks",#N/A,FALSE,"BASIC"}</definedName>
    <definedName name="wrn.bank._.model." hidden="1">{"banks",#N/A,FALSE,"BASIC"}</definedName>
    <definedName name="wrn.Bank._.of._.America." localSheetId="10">{#N/A,#N/A,TRUE,"Cover_Page";#N/A,#N/A,TRUE,"Balance Sheet FY12";#N/A,#N/A,TRUE,"Debt Covenants_BofA_Cons";#N/A,#N/A,TRUE,"Consolidated-Cash Flow";#N/A,#N/A,TRUE,"CY_Per Inc FY12";#N/A,#N/A,TRUE,"Income FY12";#N/A,#N/A,TRUE,"Consolidated"}</definedName>
    <definedName name="wrn.Bank._.of._.America.">{#N/A,#N/A,TRUE,"Cover_Page";#N/A,#N/A,TRUE,"Balance Sheet FY12";#N/A,#N/A,TRUE,"Debt Covenants_BofA_Cons";#N/A,#N/A,TRUE,"Consolidated-Cash Flow";#N/A,#N/A,TRUE,"CY_Per Inc FY12";#N/A,#N/A,TRUE,"Income FY12";#N/A,#N/A,TRUE,"Consolidated"}</definedName>
    <definedName name="wrn.Bank._.Rec." localSheetId="10">{#N/A,#N/A,FALSE,"1stRec"}</definedName>
    <definedName name="wrn.Bank._.Rec.">{#N/A,#N/A,FALSE,"1stRec"}</definedName>
    <definedName name="wrn.Bank._.Report." localSheetId="1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localSheetId="1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localSheetId="15"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se._.Case." localSheetId="10" hidden="1">{#N/A,#N/A,FALSE,"P&amp;L";#N/A,#N/A,FALSE,"BalSheet";#N/A,#N/A,FALSE,"EBITDA";#N/A,#N/A,FALSE,"Assumptions";#N/A,#N/A,FALSE,"CashFlows"}</definedName>
    <definedName name="wrn.Base._.Case." hidden="1">{#N/A,#N/A,FALSE,"P&amp;L";#N/A,#N/A,FALSE,"BalSheet";#N/A,#N/A,FALSE,"EBITDA";#N/A,#N/A,FALSE,"Assumptions";#N/A,#N/A,FALSE,"CashFlows"}</definedName>
    <definedName name="wrn.Base._.Case._1" localSheetId="10" hidden="1">{#N/A,#N/A,FALSE,"P&amp;L";#N/A,#N/A,FALSE,"BalSheet";#N/A,#N/A,FALSE,"EBITDA";#N/A,#N/A,FALSE,"Assumptions";#N/A,#N/A,FALSE,"CashFlows"}</definedName>
    <definedName name="wrn.Base._.Case._1" hidden="1">{#N/A,#N/A,FALSE,"P&amp;L";#N/A,#N/A,FALSE,"BalSheet";#N/A,#N/A,FALSE,"EBITDA";#N/A,#N/A,FALSE,"Assumptions";#N/A,#N/A,FALSE,"CashFlows"}</definedName>
    <definedName name="wrn.Basic." localSheetId="10" hidden="1">{#N/A,#N/A,FALSE,"Cover";#N/A,#N/A,FALSE,"Assumptions";#N/A,#N/A,FALSE,"Acquirer";#N/A,#N/A,FALSE,"Target";#N/A,#N/A,FALSE,"Income Statement";#N/A,#N/A,FALSE,"Summary Tables"}</definedName>
    <definedName name="wrn.Basic." localSheetId="15"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Report." localSheetId="10" hidden="1">{#N/A,#N/A,FALSE,"New Depr Sch-150% DB";#N/A,#N/A,FALSE,"Cash Flows RLP";#N/A,#N/A,FALSE,"IRR";#N/A,#N/A,FALSE,"Proforma IS";#N/A,#N/A,FALSE,"Assumptions"}</definedName>
    <definedName name="wrn.Basic._.Report." localSheetId="15"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1" localSheetId="10" hidden="1">{#N/A,#N/A,FALSE,"e-Svc Level";#N/A,#N/A,FALSE,"e-Hosted";#N/A,#N/A,FALSE,"e-Licensed";#N/A,#N/A,FALSE,"Assumptions"}</definedName>
    <definedName name="wrn.Basic._1" hidden="1">{#N/A,#N/A,FALSE,"e-Svc Level";#N/A,#N/A,FALSE,"e-Hosted";#N/A,#N/A,FALSE,"e-Licensed";#N/A,#N/A,FALSE,"Assumptions"}</definedName>
    <definedName name="wrn.basics." localSheetId="10" hidden="1">{#N/A,#N/A,FALSE,"TSUM";#N/A,#N/A,FALSE,"shares";#N/A,#N/A,FALSE,"earnout";#N/A,#N/A,FALSE,"Heaty";#N/A,#N/A,FALSE,"self-tend";#N/A,#N/A,FALSE,"self-sum"}</definedName>
    <definedName name="wrn.basics." localSheetId="15" hidden="1">{#N/A,#N/A,FALSE,"TSUM";#N/A,#N/A,FALSE,"shares";#N/A,#N/A,FALSE,"earnout";#N/A,#N/A,FALSE,"Heaty";#N/A,#N/A,FALSE,"self-tend";#N/A,#N/A,FALSE,"self-sum"}</definedName>
    <definedName name="wrn.basics." hidden="1">{#N/A,#N/A,FALSE,"TSUM";#N/A,#N/A,FALSE,"shares";#N/A,#N/A,FALSE,"earnout";#N/A,#N/A,FALSE,"Heaty";#N/A,#N/A,FALSE,"self-tend";#N/A,#N/A,FALSE,"self-sum"}</definedName>
    <definedName name="wrn.basics._1" localSheetId="10" hidden="1">{#N/A,#N/A,FALSE,"TSUM";#N/A,#N/A,FALSE,"shares";#N/A,#N/A,FALSE,"earnout";#N/A,#N/A,FALSE,"Heaty";#N/A,#N/A,FALSE,"self-tend";#N/A,#N/A,FALSE,"self-sum"}</definedName>
    <definedName name="wrn.basics._1" hidden="1">{#N/A,#N/A,FALSE,"TSUM";#N/A,#N/A,FALSE,"shares";#N/A,#N/A,FALSE,"earnout";#N/A,#N/A,FALSE,"Heaty";#N/A,#N/A,FALSE,"self-tend";#N/A,#N/A,FALSE,"self-sum"}</definedName>
    <definedName name="wrn.BAY." localSheetId="10" hidden="1">{"baypage1",#N/A,FALSE,"1995";"baypage2",#N/A,FALSE,"1995";"baypage3",#N/A,FALSE,"1995"}</definedName>
    <definedName name="wrn.BAY." localSheetId="15" hidden="1">{"baypage1",#N/A,FALSE,"1995";"baypage2",#N/A,FALSE,"1995";"baypage3",#N/A,FALSE,"1995"}</definedName>
    <definedName name="wrn.BAY." hidden="1">{"baypage1",#N/A,FALSE,"1995";"baypage2",#N/A,FALSE,"1995";"baypage3",#N/A,FALSE,"1995"}</definedName>
    <definedName name="wrn.BBCert." localSheetId="10" hidden="1">{#N/A,#N/A,FALSE,"BBCert";#N/A,#N/A,FALSE,"Ineligible Summ";#N/A,#N/A,FALSE,"Ineligible Detail"}</definedName>
    <definedName name="wrn.BBCert." localSheetId="15" hidden="1">{#N/A,#N/A,FALSE,"BBCert";#N/A,#N/A,FALSE,"Ineligible Summ";#N/A,#N/A,FALSE,"Ineligible Detail"}</definedName>
    <definedName name="wrn.BBCert." hidden="1">{#N/A,#N/A,FALSE,"BBCert";#N/A,#N/A,FALSE,"Ineligible Summ";#N/A,#N/A,FALSE,"Ineligible Detail"}</definedName>
    <definedName name="wrn.BBE._.Budget._.Draft." localSheetId="10">{#N/A,#N/A,TRUE,"Summary";#N/A,#N/A,TRUE,"Salary";#N/A,#N/A,TRUE,"Cars";#N/A,#N/A,TRUE,"Paramaters";#N/A,#N/A,TRUE,"Current Maintenance";#N/A,#N/A,TRUE,"Maint";#N/A,#N/A,TRUE,"Facilities";#N/A,#N/A,TRUE,"Non Contract Training";#N/A,#N/A,TRUE,"Targets";#N/A,#N/A,TRUE,"Conv";#N/A,#N/A,TRUE,"Market Plan"}</definedName>
    <definedName name="wrn.BBE._.Budget._.Draft.">{#N/A,#N/A,TRUE,"Summary";#N/A,#N/A,TRUE,"Salary";#N/A,#N/A,TRUE,"Cars";#N/A,#N/A,TRUE,"Paramaters";#N/A,#N/A,TRUE,"Current Maintenance";#N/A,#N/A,TRUE,"Maint";#N/A,#N/A,TRUE,"Facilities";#N/A,#N/A,TRUE,"Non Contract Training";#N/A,#N/A,TRUE,"Targets";#N/A,#N/A,TRUE,"Conv";#N/A,#N/A,TRUE,"Market Plan"}</definedName>
    <definedName name="wrn.Bce._.plan." localSheetId="10"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CG._.All._.Periods." localSheetId="10">{#N/A,#N/A,TRUE,"Monthly BCG";#N/A,#N/A,TRUE,"Qrt BCG";#N/A,#N/A,TRUE,"FY BCG";#N/A,#N/A,TRUE,"1Q BCG";#N/A,#N/A,TRUE,"2Q BCG";#N/A,#N/A,TRUE,"3Q BCG";#N/A,#N/A,TRUE,"4Q BCG"}</definedName>
    <definedName name="wrn.BCG._.All._.Periods.">{#N/A,#N/A,TRUE,"Monthly BCG";#N/A,#N/A,TRUE,"Qrt BCG";#N/A,#N/A,TRUE,"FY BCG";#N/A,#N/A,TRUE,"1Q BCG";#N/A,#N/A,TRUE,"2Q BCG";#N/A,#N/A,TRUE,"3Q BCG";#N/A,#N/A,TRUE,"4Q BCG"}</definedName>
    <definedName name="wrn.Benefit._.Summary." localSheetId="10" hidden="1">{"Benefit Summary",#N/A,FALSE,"REPORTS"}</definedName>
    <definedName name="wrn.Benefit._.Summary." hidden="1">{"Benefit Summary",#N/A,FALSE,"REPORTS"}</definedName>
    <definedName name="wrn.betz." localSheetId="10" hidden="1">{"net assets",#N/A,FALSE,"summary";"asset turnover",#N/A,FALSE,"summary";"orona",#N/A,FALSE,"summary"}</definedName>
    <definedName name="wrn.betz." hidden="1">{"net assets",#N/A,FALSE,"summary";"asset turnover",#N/A,FALSE,"summary";"orona",#N/A,FALSE,"summary"}</definedName>
    <definedName name="wrn.Bewegungsbilanz." localSheetId="10" hidden="1">{#N/A,#N/A,FALSE,"Mittelherkunft";#N/A,#N/A,FALSE,"Mittelverwendung"}</definedName>
    <definedName name="wrn.Bewegungsbilanz." localSheetId="15" hidden="1">{#N/A,#N/A,FALSE,"Mittelherkunft";#N/A,#N/A,FALSE,"Mittelverwendung"}</definedName>
    <definedName name="wrn.Bewegungsbilanz." hidden="1">{#N/A,#N/A,FALSE,"Mittelherkunft";#N/A,#N/A,FALSE,"Mittelverwendung"}</definedName>
    <definedName name="wrn.BID." localSheetId="10" hidden="1">{"PAGE1",#N/A,FALSE,"BID (3)";"PAGE2",#N/A,FALSE,"BID (3)"}</definedName>
    <definedName name="wrn.BID." hidden="1">{"PAGE1",#N/A,FALSE,"BID (3)";"PAGE2",#N/A,FALSE,"BID (3)"}</definedName>
    <definedName name="wrn.bid2" localSheetId="10" hidden="1">{"PAGE1",#N/A,FALSE,"BID (3)";"PAGE2",#N/A,FALSE,"BID (3)"}</definedName>
    <definedName name="wrn.bid2" hidden="1">{"PAGE1",#N/A,FALSE,"BID (3)";"PAGE2",#N/A,FALSE,"BID (3)"}</definedName>
    <definedName name="wrn.BidCo." localSheetId="10" hidden="1">{#N/A,#N/A,FALSE,"BidCo Assumptions";#N/A,#N/A,FALSE,"Credit Stats";#N/A,#N/A,FALSE,"Bidco Summary";#N/A,#N/A,FALSE,"BIDCO Consolidated"}</definedName>
    <definedName name="wrn.BidCo." localSheetId="15" hidden="1">{#N/A,#N/A,FALSE,"BidCo Assumptions";#N/A,#N/A,FALSE,"Credit Stats";#N/A,#N/A,FALSE,"Bidco Summary";#N/A,#N/A,FALSE,"BIDCO Consolidated"}</definedName>
    <definedName name="wrn.BidCo." hidden="1">{#N/A,#N/A,FALSE,"BidCo Assumptions";#N/A,#N/A,FALSE,"Credit Stats";#N/A,#N/A,FALSE,"Bidco Summary";#N/A,#N/A,FALSE,"BIDCO Consolidated"}</definedName>
    <definedName name="wrn.Bilanz." localSheetId="10" hidden="1">{#N/A,#N/A,FALSE,"Layout Aktiva";#N/A,#N/A,FALSE,"Layout Passiva"}</definedName>
    <definedName name="wrn.Bilanz." localSheetId="15" hidden="1">{#N/A,#N/A,FALSE,"Layout Aktiva";#N/A,#N/A,FALSE,"Layout Passiva"}</definedName>
    <definedName name="wrn.Bilanz." hidden="1">{#N/A,#N/A,FALSE,"Layout Aktiva";#N/A,#N/A,FALSE,"Layout Passiva"}</definedName>
    <definedName name="wrn.BKD." localSheetId="10">{#N/A,#N/A,FALSE,"Cover_Page";#N/A,#N/A,FALSE,"Balance Sheet FY12";#N/A,#N/A,FALSE,"Debt Covenants_US Bank_Cons";#N/A,#N/A,FALSE,"Debt Covenants_BofA_Cons";#N/A,#N/A,FALSE,"Consolidated-Cash Flow";#N/A,#N/A,FALSE,"CY_Per Inc FY12";#N/A,#N/A,FALSE,"Income FY12";#N/A,#N/A,FALSE,"Consolidated"}</definedName>
    <definedName name="wrn.BKD.">{#N/A,#N/A,FALSE,"Cover_Page";#N/A,#N/A,FALSE,"Balance Sheet FY12";#N/A,#N/A,FALSE,"Debt Covenants_US Bank_Cons";#N/A,#N/A,FALSE,"Debt Covenants_BofA_Cons";#N/A,#N/A,FALSE,"Consolidated-Cash Flow";#N/A,#N/A,FALSE,"CY_Per Inc FY12";#N/A,#N/A,FALSE,"Income FY12";#N/A,#N/A,FALSE,"Consolidated"}</definedName>
    <definedName name="wrn.bm"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localSheetId="10" hidden="1">{#N/A,#N/A,FALSE,"Cover";#N/A,#N/A,FALSE,"Main";#N/A,#N/A,FALSE,"Guid";#N/A,#N/A,FALSE,"Summary";#N/A,#N/A,FALSE,"Q3"}</definedName>
    <definedName name="wrn.Board." hidden="1">{#N/A,#N/A,FALSE,"Cover";#N/A,#N/A,FALSE,"Main";#N/A,#N/A,FALSE,"Guid";#N/A,#N/A,FALSE,"Summary";#N/A,#N/A,FALSE,"Q3"}</definedName>
    <definedName name="wrn.Board._.package." localSheetId="10" hidden="1">{#N/A,#N/A,FALSE,"MEMO";#N/A,#N/A,FALSE,"NARRATIVE";#N/A,#N/A,FALSE,"BALANCESHEET";#N/A,#N/A,FALSE,"YTD IS";#N/A,#N/A,FALSE,"QTRLY IS";#N/A,#N/A,FALSE,"YTD SCFP";#N/A,#N/A,FALSE,"QTRLY SCFP";#N/A,#N/A,FALSE,"HIGHLIGHTS";#N/A,#N/A,FALSE,"OPERATING ASSETS"}</definedName>
    <definedName name="wrn.Board._.package." hidden="1">{#N/A,#N/A,FALSE,"MEMO";#N/A,#N/A,FALSE,"NARRATIVE";#N/A,#N/A,FALSE,"BALANCESHEET";#N/A,#N/A,FALSE,"YTD IS";#N/A,#N/A,FALSE,"QTRLY IS";#N/A,#N/A,FALSE,"YTD SCFP";#N/A,#N/A,FALSE,"QTRLY SCFP";#N/A,#N/A,FALSE,"HIGHLIGHTS";#N/A,#N/A,FALSE,"OPERATING ASSETS"}</definedName>
    <definedName name="wrn.Board._.Report." localSheetId="10">{#N/A,#N/A,TRUE,"Cover";#N/A,#N/A,TRUE,"Contents (2)";#N/A,#N/A,TRUE,"I_S";#N/A,#N/A,TRUE,"Stats";#N/A,#N/A,TRUE,"Unit Analysis";#N/A,#N/A,TRUE,"B_S";#N/A,#N/A,TRUE,"C_F";#N/A,#N/A,TRUE,"S_E";#N/A,#N/A,TRUE,"SG&amp;A";#N/A,#N/A,TRUE,"R&amp;D Costs";#N/A,#N/A,TRUE,"M&amp;A Costs";#N/A,#N/A,TRUE,"Interest";#N/A,#N/A,TRUE,"Lumber Inv.";#N/A,#N/A,TRUE,"Sales Summary "}</definedName>
    <definedName name="wrn.Board._.Report.">{#N/A,#N/A,TRUE,"Cover";#N/A,#N/A,TRUE,"Contents (2)";#N/A,#N/A,TRUE,"I_S";#N/A,#N/A,TRUE,"Stats";#N/A,#N/A,TRUE,"Unit Analysis";#N/A,#N/A,TRUE,"B_S";#N/A,#N/A,TRUE,"C_F";#N/A,#N/A,TRUE,"S_E";#N/A,#N/A,TRUE,"SG&amp;A";#N/A,#N/A,TRUE,"R&amp;D Costs";#N/A,#N/A,TRUE,"M&amp;A Costs";#N/A,#N/A,TRUE,"Interest";#N/A,#N/A,TRUE,"Lumber Inv.";#N/A,#N/A,TRUE,"Sales Summary "}</definedName>
    <definedName name="wrn.BONUS." localSheetId="10" hidden="1">{"BONUS JOURNAL ENTRY",#N/A,FALSE,"BONUS";"BONUS CALC",#N/A,FALSE,"BONUS";"BONUS DATA",#N/A,FALSE,"BONUS"}</definedName>
    <definedName name="wrn.BONUS." localSheetId="15" hidden="1">{"BONUS JOURNAL ENTRY",#N/A,FALSE,"BONUS";"BONUS CALC",#N/A,FALSE,"BONUS";"BONUS DATA",#N/A,FALSE,"BONUS"}</definedName>
    <definedName name="wrn.BONUS." hidden="1">{"BONUS JOURNAL ENTRY",#N/A,FALSE,"BONUS";"BONUS CALC",#N/A,FALSE,"BONUS";"BONUS DATA",#N/A,FALSE,"BONUS"}</definedName>
    <definedName name="wrn.BONUS._1" localSheetId="10" hidden="1">{"BONUS JOURNAL ENTRY",#N/A,FALSE,"BONUS";"BONUS CALC",#N/A,FALSE,"BONUS";"BONUS DATA",#N/A,FALSE,"BONUS"}</definedName>
    <definedName name="wrn.BONUS._1" localSheetId="15" hidden="1">{"BONUS JOURNAL ENTRY",#N/A,FALSE,"BONUS";"BONUS CALC",#N/A,FALSE,"BONUS";"BONUS DATA",#N/A,FALSE,"BONUS"}</definedName>
    <definedName name="wrn.BONUS._1" hidden="1">{"BONUS JOURNAL ENTRY",#N/A,FALSE,"BONUS";"BONUS CALC",#N/A,FALSE,"BONUS";"BONUS DATA",#N/A,FALSE,"BONUS"}</definedName>
    <definedName name="wrn.BONUS._1_1" localSheetId="10" hidden="1">{"BONUS JOURNAL ENTRY",#N/A,FALSE,"BONUS";"BONUS CALC",#N/A,FALSE,"BONUS";"BONUS DATA",#N/A,FALSE,"BONUS"}</definedName>
    <definedName name="wrn.BONUS._1_1" localSheetId="15" hidden="1">{"BONUS JOURNAL ENTRY",#N/A,FALSE,"BONUS";"BONUS CALC",#N/A,FALSE,"BONUS";"BONUS DATA",#N/A,FALSE,"BONUS"}</definedName>
    <definedName name="wrn.BONUS._1_1" hidden="1">{"BONUS JOURNAL ENTRY",#N/A,FALSE,"BONUS";"BONUS CALC",#N/A,FALSE,"BONUS";"BONUS DATA",#N/A,FALSE,"BONUS"}</definedName>
    <definedName name="wrn.BONUS._2" localSheetId="10" hidden="1">{"BONUS JOURNAL ENTRY",#N/A,FALSE,"BONUS";"BONUS CALC",#N/A,FALSE,"BONUS";"BONUS DATA",#N/A,FALSE,"BONUS"}</definedName>
    <definedName name="wrn.BONUS._2" localSheetId="15" hidden="1">{"BONUS JOURNAL ENTRY",#N/A,FALSE,"BONUS";"BONUS CALC",#N/A,FALSE,"BONUS";"BONUS DATA",#N/A,FALSE,"BONUS"}</definedName>
    <definedName name="wrn.BONUS._2" hidden="1">{"BONUS JOURNAL ENTRY",#N/A,FALSE,"BONUS";"BONUS CALC",#N/A,FALSE,"BONUS";"BONUS DATA",#N/A,FALSE,"BONUS"}</definedName>
    <definedName name="wrn.BONUS._3" localSheetId="10" hidden="1">{"BONUS JOURNAL ENTRY",#N/A,FALSE,"BONUS";"BONUS CALC",#N/A,FALSE,"BONUS";"BONUS DATA",#N/A,FALSE,"BONUS"}</definedName>
    <definedName name="wrn.BONUS._3" localSheetId="15" hidden="1">{"BONUS JOURNAL ENTRY",#N/A,FALSE,"BONUS";"BONUS CALC",#N/A,FALSE,"BONUS";"BONUS DATA",#N/A,FALSE,"BONUS"}</definedName>
    <definedName name="wrn.BONUS._3" hidden="1">{"BONUS JOURNAL ENTRY",#N/A,FALSE,"BONUS";"BONUS CALC",#N/A,FALSE,"BONUS";"BONUS DATA",#N/A,FALSE,"BONUS"}</definedName>
    <definedName name="wrn.BOTH." localSheetId="10">{"detail",#N/A,FALSE,"mfg";"summary",#N/A,FALSE,"mfg"}</definedName>
    <definedName name="wrn.BOTH.">{"detail",#N/A,FALSE,"mfg";"summary",#N/A,FALSE,"mfg"}</definedName>
    <definedName name="wrn.Both.2" localSheetId="10" hidden="1">{"detail",#N/A,FALSE,"mfg";"summary",#N/A,FALSE,"mfg"}</definedName>
    <definedName name="wrn.Both.2" hidden="1">{"detail",#N/A,FALSE,"mfg";"summary",#N/A,FALSE,"mfg"}</definedName>
    <definedName name="wrn.both1" localSheetId="10" hidden="1">{"detail",#N/A,FALSE,"mfg";"summary",#N/A,FALSE,"mfg"}</definedName>
    <definedName name="wrn.both1" hidden="1">{"detail",#N/A,FALSE,"mfg";"summary",#N/A,FALSE,"mfg"}</definedName>
    <definedName name="wrn.both10" localSheetId="10" hidden="1">{"detail",#N/A,FALSE,"mfg";"summary",#N/A,FALSE,"mfg"}</definedName>
    <definedName name="wrn.both10" hidden="1">{"detail",#N/A,FALSE,"mfg";"summary",#N/A,FALSE,"mfg"}</definedName>
    <definedName name="wrn.both102" localSheetId="10" hidden="1">{"detail",#N/A,FALSE,"mfg";"summary",#N/A,FALSE,"mfg"}</definedName>
    <definedName name="wrn.both102" hidden="1">{"detail",#N/A,FALSE,"mfg";"summary",#N/A,FALSE,"mfg"}</definedName>
    <definedName name="wrn.both11" localSheetId="10" hidden="1">{"detail",#N/A,FALSE,"mfg";"summary",#N/A,FALSE,"mfg"}</definedName>
    <definedName name="wrn.both11" hidden="1">{"detail",#N/A,FALSE,"mfg";"summary",#N/A,FALSE,"mfg"}</definedName>
    <definedName name="wrn.both12" localSheetId="10" hidden="1">{"detail",#N/A,FALSE,"mfg";"summary",#N/A,FALSE,"mfg"}</definedName>
    <definedName name="wrn.both12" hidden="1">{"detail",#N/A,FALSE,"mfg";"summary",#N/A,FALSE,"mfg"}</definedName>
    <definedName name="wrn.Both31" localSheetId="10" hidden="1">{"detail",#N/A,FALSE,"mfg";"summary",#N/A,FALSE,"mfg"}</definedName>
    <definedName name="wrn.Both31" hidden="1">{"detail",#N/A,FALSE,"mfg";"summary",#N/A,FALSE,"mfg"}</definedName>
    <definedName name="wrn.Both32" localSheetId="10" hidden="1">{"detail",#N/A,FALSE,"mfg";"summary",#N/A,FALSE,"mfg"}</definedName>
    <definedName name="wrn.Both32" hidden="1">{"detail",#N/A,FALSE,"mfg";"summary",#N/A,FALSE,"mfg"}</definedName>
    <definedName name="wrn.Both34" localSheetId="10" hidden="1">{"detail",#N/A,FALSE,"mfg";"summary",#N/A,FALSE,"mfg"}</definedName>
    <definedName name="wrn.Both34" hidden="1">{"detail",#N/A,FALSE,"mfg";"summary",#N/A,FALSE,"mfg"}</definedName>
    <definedName name="wrn.Both35" localSheetId="10" hidden="1">{"detail",#N/A,FALSE,"mfg";"summary",#N/A,FALSE,"mfg"}</definedName>
    <definedName name="wrn.Both35" hidden="1">{"detail",#N/A,FALSE,"mfg";"summary",#N/A,FALSE,"mfg"}</definedName>
    <definedName name="wrn.Both42" localSheetId="10" hidden="1">{"detail",#N/A,FALSE,"mfg";"summary",#N/A,FALSE,"mfg"}</definedName>
    <definedName name="wrn.Both42" hidden="1">{"detail",#N/A,FALSE,"mfg";"summary",#N/A,FALSE,"mfg"}</definedName>
    <definedName name="wrn.both71" localSheetId="10" hidden="1">{"detail",#N/A,FALSE,"mfg";"summary",#N/A,FALSE,"mfg"}</definedName>
    <definedName name="wrn.both71" hidden="1">{"detail",#N/A,FALSE,"mfg";"summary",#N/A,FALSE,"mfg"}</definedName>
    <definedName name="wrn.botha11" localSheetId="10" hidden="1">{"detail",#N/A,FALSE,"mfg";"summary",#N/A,FALSE,"mfg"}</definedName>
    <definedName name="wrn.botha11" hidden="1">{"detail",#N/A,FALSE,"mfg";"summary",#N/A,FALSE,"mfg"}</definedName>
    <definedName name="wrn.botha2" localSheetId="10" hidden="1">{"detail",#N/A,FALSE,"mfg";"summary",#N/A,FALSE,"mfg"}</definedName>
    <definedName name="wrn.botha2" hidden="1">{"detail",#N/A,FALSE,"mfg";"summary",#N/A,FALSE,"mfg"}</definedName>
    <definedName name="wrn.bothab2" localSheetId="10" hidden="1">{"detail",#N/A,FALSE,"mfg";"summary",#N/A,FALSE,"mfg"}</definedName>
    <definedName name="wrn.bothab2" hidden="1">{"detail",#N/A,FALSE,"mfg";"summary",#N/A,FALSE,"mfg"}</definedName>
    <definedName name="wrn.BP._.print." localSheetId="10" hidden="1">{#N/A,#N/A,FALSE,"BANNERS";#N/A,#N/A,FALSE,"Market";#N/A,#N/A,FALSE,"Tel Rev";#N/A,#N/A,FALSE,"Revenues IOL";#N/A,#N/A,FALSE,"Invest";#N/A,#N/A,FALSE,"Op Cost1";#N/A,#N/A,FALSE,"Op Cost2";#N/A,#N/A,FALSE,"Oth_&amp;_Tot_Revenues";#N/A,#N/A,FALSE,"Fin Mod";#N/A,#N/A,FALSE,"FinMod_RoW";#N/A,#N/A,FALSE,"P&amp;E Burocrat";#N/A,#N/A,FALSE,"cash flow"}</definedName>
    <definedName name="wrn.BP._.print." localSheetId="15"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P._.Fcst." localSheetId="10" hidden="1">{"BPP",#N/A,TRUE,"BPP IS";"AG",#N/A,TRUE,"AG IS";"BI US&amp;Asia",#N/A,TRUE,"B&amp;I US IS and Asia";"BI Europe",#N/A,TRUE,"B&amp;I EU IS";"BPP B_S",#N/A,TRUE,"BPP BS"}</definedName>
    <definedName name="wrn.BPP._.Fcst." hidden="1">{"BPP",#N/A,TRUE,"BPP IS";"AG",#N/A,TRUE,"AG IS";"BI US&amp;Asia",#N/A,TRUE,"B&amp;I US IS and Asia";"BI Europe",#N/A,TRUE,"B&amp;I EU IS";"BPP B_S",#N/A,TRUE,"BPP BS"}</definedName>
    <definedName name="wrn.Breakout." localSheetId="10">{#N/A,#N/A,FALSE,"BreakoutFY95";#N/A,#N/A,FALSE,"BreakoutFY96";#N/A,#N/A,FALSE,"BreakoutFY97";#N/A,#N/A,FALSE,"BreakoutFY98"}</definedName>
    <definedName name="wrn.Breakout.">{#N/A,#N/A,FALSE,"BreakoutFY95";#N/A,#N/A,FALSE,"BreakoutFY96";#N/A,#N/A,FALSE,"BreakoutFY97";#N/A,#N/A,FALSE,"BreakoutFY98"}</definedName>
    <definedName name="wrn.breakup." localSheetId="10">{"comps1",#N/A,FALSE,"Comps Sheet";"comps2",#N/A,FALSE,"Comps Sheet";"comps3",#N/A,FALSE,"Comps Sheet";"comps4",#N/A,FALSE,"Comps Sheet";"comps5",#N/A,FALSE,"Comps Sheet";"comps6",#N/A,FALSE,"Comps Sheet";"ec",#N/A,FALSE,"E&amp;C";"environmental",#N/A,FALSE,"Environmental";"heavy",#N/A,FALSE,"Heavy Const."}</definedName>
    <definedName name="wrn.breakup.">{"comps1",#N/A,FALSE,"Comps Sheet";"comps2",#N/A,FALSE,"Comps Sheet";"comps3",#N/A,FALSE,"Comps Sheet";"comps4",#N/A,FALSE,"Comps Sheet";"comps5",#N/A,FALSE,"Comps Sheet";"comps6",#N/A,FALSE,"Comps Sheet";"ec",#N/A,FALSE,"E&amp;C";"environmental",#N/A,FALSE,"Environmental";"heavy",#N/A,FALSE,"Heavy Const."}</definedName>
    <definedName name="wrn.breakup._1" localSheetId="10" hidden="1">{"comps1",#N/A,FALSE,"Comps Sheet";"comps2",#N/A,FALSE,"Comps Sheet";"comps3",#N/A,FALSE,"Comps Sheet";"comps4",#N/A,FALSE,"Comps Sheet";"comps5",#N/A,FALSE,"Comps Sheet";"comps6",#N/A,FALSE,"Comps Sheet";"ec",#N/A,FALSE,"E&amp;C";"environmental",#N/A,FALSE,"Environmental";"heavy",#N/A,FALSE,"Heavy Const."}</definedName>
    <definedName name="wrn.breakup._1" hidden="1">{"comps1",#N/A,FALSE,"Comps Sheet";"comps2",#N/A,FALSE,"Comps Sheet";"comps3",#N/A,FALSE,"Comps Sheet";"comps4",#N/A,FALSE,"Comps Sheet";"comps5",#N/A,FALSE,"Comps Sheet";"comps6",#N/A,FALSE,"Comps Sheet";"ec",#N/A,FALSE,"E&amp;C";"environmental",#N/A,FALSE,"Environmental";"heavy",#N/A,FALSE,"Heavy Const."}</definedName>
    <definedName name="wrn.breakup._1_1" localSheetId="10" hidden="1">{"comps1",#N/A,FALSE,"Comps Sheet";"comps2",#N/A,FALSE,"Comps Sheet";"comps3",#N/A,FALSE,"Comps Sheet";"comps4",#N/A,FALSE,"Comps Sheet";"comps5",#N/A,FALSE,"Comps Sheet";"comps6",#N/A,FALSE,"Comps Sheet";"ec",#N/A,FALSE,"E&amp;C";"environmental",#N/A,FALSE,"Environmental";"heavy",#N/A,FALSE,"Heavy Const."}</definedName>
    <definedName name="wrn.breakup._1_1" hidden="1">{"comps1",#N/A,FALSE,"Comps Sheet";"comps2",#N/A,FALSE,"Comps Sheet";"comps3",#N/A,FALSE,"Comps Sheet";"comps4",#N/A,FALSE,"Comps Sheet";"comps5",#N/A,FALSE,"Comps Sheet";"comps6",#N/A,FALSE,"Comps Sheet";"ec",#N/A,FALSE,"E&amp;C";"environmental",#N/A,FALSE,"Environmental";"heavy",#N/A,FALSE,"Heavy Const."}</definedName>
    <definedName name="wrn.breakup._2" localSheetId="10" hidden="1">{"comps1",#N/A,FALSE,"Comps Sheet";"comps2",#N/A,FALSE,"Comps Sheet";"comps3",#N/A,FALSE,"Comps Sheet";"comps4",#N/A,FALSE,"Comps Sheet";"comps5",#N/A,FALSE,"Comps Sheet";"comps6",#N/A,FALSE,"Comps Sheet";"ec",#N/A,FALSE,"E&amp;C";"environmental",#N/A,FALSE,"Environmental";"heavy",#N/A,FALSE,"Heavy Const."}</definedName>
    <definedName name="wrn.breakup._2" hidden="1">{"comps1",#N/A,FALSE,"Comps Sheet";"comps2",#N/A,FALSE,"Comps Sheet";"comps3",#N/A,FALSE,"Comps Sheet";"comps4",#N/A,FALSE,"Comps Sheet";"comps5",#N/A,FALSE,"Comps Sheet";"comps6",#N/A,FALSE,"Comps Sheet";"ec",#N/A,FALSE,"E&amp;C";"environmental",#N/A,FALSE,"Environmental";"heavy",#N/A,FALSE,"Heavy Const."}</definedName>
    <definedName name="wrn.BROCHURE." localSheetId="10"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10" hidden="1">{"YTDACT",#N/A,FALSE,"YTD Cum";"YTDBUD",#N/A,FALSE,"YTD Cum";"YTDPRIOR",#N/A,FALSE,"YTD Cum"}</definedName>
    <definedName name="wrn.BROCHYTD." hidden="1">{"YTDACT",#N/A,FALSE,"YTD Cum";"YTDBUD",#N/A,FALSE,"YTD Cum";"YTDPRIOR",#N/A,FALSE,"YTD Cum"}</definedName>
    <definedName name="wrn.BS_consol._.bs._.and._.detail." localSheetId="10" hidden="1">{"bs",#N/A,FALSE,"BS-Consol";"bs detail",#N/A,FALSE,"BS-Consol"}</definedName>
    <definedName name="wrn.BS_consol._.bs._.and._.detail." hidden="1">{"bs",#N/A,FALSE,"BS-Consol";"bs detail",#N/A,FALSE,"BS-Consol"}</definedName>
    <definedName name="wrn.bsall." localSheetId="10" hidden="1">{"pg1",#N/A,FALSE,"BSALLNOW.XLS";"pg2",#N/A,FALSE,"BSALLNOW.XLS";"pg3",#N/A,FALSE,"BSALLNOW.XLS"}</definedName>
    <definedName name="wrn.bsall." hidden="1">{"pg1",#N/A,FALSE,"BSALLNOW.XLS";"pg2",#N/A,FALSE,"BSALLNOW.XLS";"pg3",#N/A,FALSE,"BSALLNOW.XLS"}</definedName>
    <definedName name="wrn.BSAnnualModel." localSheetId="10" hidden="1">{"BSAnnualModel",#N/A,FALSE,"BS"}</definedName>
    <definedName name="wrn.BSAnnualModel." hidden="1">{"BSAnnualModel",#N/A,FALSE,"BS"}</definedName>
    <definedName name="wrn.BSAnnualModel._1" localSheetId="10" hidden="1">{"BSAnnualModel",#N/A,FALSE,"BS"}</definedName>
    <definedName name="wrn.BSAnnualModel._1" hidden="1">{"BSAnnualModel",#N/A,FALSE,"BS"}</definedName>
    <definedName name="wrn.BUDGET." localSheetId="10">{#N/A,#N/A,FALSE,"QSum";#N/A,#N/A,FALSE,"1Q";#N/A,#N/A,FALSE,"2Q";#N/A,#N/A,FALSE,"3Q";#N/A,#N/A,FALSE,"4Q";#N/A,#N/A,FALSE,"Mthly";#N/A,#N/A,FALSE,"Cur.vs.Prior"}</definedName>
    <definedName name="wrn.BUDGET.">{#N/A,#N/A,FALSE,"QSum";#N/A,#N/A,FALSE,"1Q";#N/A,#N/A,FALSE,"2Q";#N/A,#N/A,FALSE,"3Q";#N/A,#N/A,FALSE,"4Q";#N/A,#N/A,FALSE,"Mthly";#N/A,#N/A,FALSE,"Cur.vs.Prior"}</definedName>
    <definedName name="wrn.Budget._.Detail." localSheetId="10"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2004." localSheetId="10" hidden="1">{#N/A,#N/A,FALSE,"BUD04 HEA";#N/A,#N/A,FALSE,"BUD04 Earnings";#N/A,#N/A,FALSE,"BUD04 Expenses"}</definedName>
    <definedName name="wrn.BUDGET2004." localSheetId="15" hidden="1">{#N/A,#N/A,FALSE,"BUD04 HEA";#N/A,#N/A,FALSE,"BUD04 Earnings";#N/A,#N/A,FALSE,"BUD04 Expenses"}</definedName>
    <definedName name="wrn.BUDGET2004." hidden="1">{#N/A,#N/A,FALSE,"BUD04 HEA";#N/A,#N/A,FALSE,"BUD04 Earnings";#N/A,#N/A,FALSE,"BUD04 Expenses"}</definedName>
    <definedName name="wrn.Buildups." localSheetId="10" hidden="1">{"ACQ",#N/A,FALSE,"ACQUISITIONS";"ACQF",#N/A,FALSE,"ACQUISITIONS";"PF",#N/A,FALSE,"PROYECTOVILA";"PV",#N/A,FALSE,"PROYECTOVILA";"Fee Dev",#N/A,FALSE,"DEVELOPMENT GROWTH";"gd",#N/A,FALSE,"DEVELOPMENT GROWTH"}</definedName>
    <definedName name="wrn.Buildups." localSheetId="15"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ildups._1" localSheetId="10"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llshit1." localSheetId="10" hidden="1">{#N/A,#N/A,FALSE,"Sheet1";#N/A,#N/A,FALSE,"Summary";#N/A,#N/A,FALSE,"proj1";#N/A,#N/A,FALSE,"proj2"}</definedName>
    <definedName name="wrn.bullshit1." localSheetId="15" hidden="1">{#N/A,#N/A,FALSE,"Sheet1";#N/A,#N/A,FALSE,"Summary";#N/A,#N/A,FALSE,"proj1";#N/A,#N/A,FALSE,"proj2"}</definedName>
    <definedName name="wrn.bullshit1." hidden="1">{#N/A,#N/A,FALSE,"Sheet1";#N/A,#N/A,FALSE,"Summary";#N/A,#N/A,FALSE,"proj1";#N/A,#N/A,FALSE,"proj2"}</definedName>
    <definedName name="wrn.bullshit1._1" localSheetId="10" hidden="1">{#N/A,#N/A,FALSE,"Sheet1";#N/A,#N/A,FALSE,"Summary";#N/A,#N/A,FALSE,"proj1";#N/A,#N/A,FALSE,"proj2"}</definedName>
    <definedName name="wrn.bullshit1._1" hidden="1">{#N/A,#N/A,FALSE,"Sheet1";#N/A,#N/A,FALSE,"Summary";#N/A,#N/A,FALSE,"proj1";#N/A,#N/A,FALSE,"proj2"}</definedName>
    <definedName name="wrn.Business._.Case." localSheetId="10"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Plan." localSheetId="10" hidden="1">{#N/A,#N/A,TRUE,"BusPlan Indx";#N/A,#N/A,TRUE,"P&amp;L BusPl";"CF BusPlan",#N/A,TRUE,"FCashflow";"BS QU&amp;Yr Overview",#N/A,TRUE,"BS";"CapEx Yearly",#N/A,TRUE,"CapEx";#N/A,#N/A,TRUE,"BusPlan Info"}</definedName>
    <definedName name="wrn.BusPlan." hidden="1">{#N/A,#N/A,TRUE,"BusPlan Indx";#N/A,#N/A,TRUE,"P&amp;L BusPl";"CF BusPlan",#N/A,TRUE,"FCashflow";"BS QU&amp;Yr Overview",#N/A,TRUE,"BS";"CapEx Yearly",#N/A,TRUE,"CapEx";#N/A,#N/A,TRUE,"BusPlan Info"}</definedName>
    <definedName name="wrn.BusPlan._1" localSheetId="10" hidden="1">{#N/A,#N/A,TRUE,"BusPlan Indx";#N/A,#N/A,TRUE,"P&amp;L BusPl";"CF BusPlan",#N/A,TRUE,"FCashflow";"BS QU&amp;Yr Overview",#N/A,TRUE,"BS";"CapEx Yearly",#N/A,TRUE,"CapEx";#N/A,#N/A,TRUE,"BusPlan Info"}</definedName>
    <definedName name="wrn.BusPlan._1" hidden="1">{#N/A,#N/A,TRUE,"BusPlan Indx";#N/A,#N/A,TRUE,"P&amp;L BusPl";"CF BusPlan",#N/A,TRUE,"FCashflow";"BS QU&amp;Yr Overview",#N/A,TRUE,"BS";"CapEx Yearly",#N/A,TRUE,"CapEx";#N/A,#N/A,TRUE,"BusPlan Info"}</definedName>
    <definedName name="wrn.BusPlan._2" localSheetId="10" hidden="1">{#N/A,#N/A,TRUE,"BusPlan Indx";#N/A,#N/A,TRUE,"P&amp;L BusPl";"CF BusPlan",#N/A,TRUE,"FCashflow";"BS QU&amp;Yr Overview",#N/A,TRUE,"BS";"CapEx Yearly",#N/A,TRUE,"CapEx";#N/A,#N/A,TRUE,"BusPlan Info"}</definedName>
    <definedName name="wrn.BusPlan._2" hidden="1">{#N/A,#N/A,TRUE,"BusPlan Indx";#N/A,#N/A,TRUE,"P&amp;L BusPl";"CF BusPlan",#N/A,TRUE,"FCashflow";"BS QU&amp;Yr Overview",#N/A,TRUE,"BS";"CapEx Yearly",#N/A,TRUE,"CapEx";#N/A,#N/A,TRUE,"BusPlan Info"}</definedName>
    <definedName name="wrn.BusPlan._3" localSheetId="10" hidden="1">{#N/A,#N/A,TRUE,"BusPlan Indx";#N/A,#N/A,TRUE,"P&amp;L BusPl";"CF BusPlan",#N/A,TRUE,"FCashflow";"BS QU&amp;Yr Overview",#N/A,TRUE,"BS";"CapEx Yearly",#N/A,TRUE,"CapEx";#N/A,#N/A,TRUE,"BusPlan Info"}</definedName>
    <definedName name="wrn.BusPlan._3" hidden="1">{#N/A,#N/A,TRUE,"BusPlan Indx";#N/A,#N/A,TRUE,"P&amp;L BusPl";"CF BusPlan",#N/A,TRUE,"FCashflow";"BS QU&amp;Yr Overview",#N/A,TRUE,"BS";"CapEx Yearly",#N/A,TRUE,"CapEx";#N/A,#N/A,TRUE,"BusPlan Info"}</definedName>
    <definedName name="wrn.BusPlan._4" localSheetId="10" hidden="1">{#N/A,#N/A,TRUE,"BusPlan Indx";#N/A,#N/A,TRUE,"P&amp;L BusPl";"CF BusPlan",#N/A,TRUE,"FCashflow";"BS QU&amp;Yr Overview",#N/A,TRUE,"BS";"CapEx Yearly",#N/A,TRUE,"CapEx";#N/A,#N/A,TRUE,"BusPlan Info"}</definedName>
    <definedName name="wrn.BusPlan._4" hidden="1">{#N/A,#N/A,TRUE,"BusPlan Indx";#N/A,#N/A,TRUE,"P&amp;L BusPl";"CF BusPlan",#N/A,TRUE,"FCashflow";"BS QU&amp;Yr Overview",#N/A,TRUE,"BS";"CapEx Yearly",#N/A,TRUE,"CapEx";#N/A,#N/A,TRUE,"BusPlan Info"}</definedName>
    <definedName name="wrn.BusPlan._5" localSheetId="10" hidden="1">{#N/A,#N/A,TRUE,"BusPlan Indx";#N/A,#N/A,TRUE,"P&amp;L BusPl";"CF BusPlan",#N/A,TRUE,"FCashflow";"BS QU&amp;Yr Overview",#N/A,TRUE,"BS";"CapEx Yearly",#N/A,TRUE,"CapEx";#N/A,#N/A,TRUE,"BusPlan Info"}</definedName>
    <definedName name="wrn.BusPlan._5" hidden="1">{#N/A,#N/A,TRUE,"BusPlan Indx";#N/A,#N/A,TRUE,"P&amp;L BusPl";"CF BusPlan",#N/A,TRUE,"FCashflow";"BS QU&amp;Yr Overview",#N/A,TRUE,"BS";"CapEx Yearly",#N/A,TRUE,"CapEx";#N/A,#N/A,TRUE,"BusPlan Info"}</definedName>
    <definedName name="wrn.BVA." localSheetId="10" hidden="1">{"2002PROJ",#N/A,FALSE,"2002PROJ";"BANK COV",#N/A,FALSE,"2002PROJ";"BVA",#N/A,FALSE,"BVA";"WAGEBVA",#N/A,FALSE,"WAGEBVA";"DETAILSALE",#N/A,FALSE,"DETAILSALE";"KEY",#N/A,FALSE,"KEY0602"}</definedName>
    <definedName name="wrn.BVA." localSheetId="15" hidden="1">{"2002PROJ",#N/A,FALSE,"2002PROJ";"BANK COV",#N/A,FALSE,"2002PROJ";"BVA",#N/A,FALSE,"BVA";"WAGEBVA",#N/A,FALSE,"WAGEBVA";"DETAILSALE",#N/A,FALSE,"DETAILSALE";"KEY",#N/A,FALSE,"KEY0602"}</definedName>
    <definedName name="wrn.BVA." hidden="1">{"2002PROJ",#N/A,FALSE,"2002PROJ";"BANK COV",#N/A,FALSE,"2002PROJ";"BVA",#N/A,FALSE,"BVA";"WAGEBVA",#N/A,FALSE,"WAGEBVA";"DETAILSALE",#N/A,FALSE,"DETAILSALE";"KEY",#N/A,FALSE,"KEY0602"}</definedName>
    <definedName name="wrn.ByMonth_Actuals." localSheetId="10">{"BalSht_byMonth",#N/A,FALSE,"Legal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10">{"BalSht_byMonthPlan",#N/A,FALSE,"Legal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D_E_O_workpapers." localSheetId="10" hidden="1">{"cash_1",#N/A,FALSE,"Cash";"cash_1.1",#N/A,FALSE,"Cash";"ap_aging_trends",#N/A,FALSE,"AP";"ap_concentrations",#N/A,FALSE,"AP";"payroll_tax_E_1",#N/A,FALSE,"Tax";"property_tax",#N/A,FALSE,"Tax";"sales_tax",#N/A,FALSE,"Tax";"sign off sheet",#N/A,FALSE,"O-14"}</definedName>
    <definedName name="wrn.C_D_E_O_workpapers." hidden="1">{"cash_1",#N/A,FALSE,"Cash";"cash_1.1",#N/A,FALSE,"Cash";"ap_aging_trends",#N/A,FALSE,"AP";"ap_concentrations",#N/A,FALSE,"AP";"payroll_tax_E_1",#N/A,FALSE,"Tax";"property_tax",#N/A,FALSE,"Tax";"sales_tax",#N/A,FALSE,"Tax";"sign off sheet",#N/A,FALSE,"O-14"}</definedName>
    <definedName name="wrn.CAG." localSheetId="10" hidden="1">{#N/A,#N/A,FALSE,"CAG"}</definedName>
    <definedName name="wrn.CAG." hidden="1">{#N/A,#N/A,FALSE,"CAG"}</definedName>
    <definedName name="wrn.calc_all." localSheetId="1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l._.Volume." localSheetId="10" hidden="1">{#N/A,#N/A,FALSE,"Pepsi,RJR,PrimeStar";#N/A,#N/A,FALSE,"1996,New,Totals"}</definedName>
    <definedName name="wrn.Call._.Volume." hidden="1">{#N/A,#N/A,FALSE,"Pepsi,RJR,PrimeStar";#N/A,#N/A,FALSE,"1996,New,Totals"}</definedName>
    <definedName name="wrn.CANADIAN." localSheetId="10" hidden="1">{"CDN OPS",#N/A,FALSE,"Cdn. Ops. Earnings";"CDN CONSOLIDATING",#N/A,FALSE,"COConsol. Earnings";"CDN DIV",#N/A,FALSE,"Cdn. Div. Earnings";"CDN CORP",#N/A,FALSE,"CCorp."}</definedName>
    <definedName name="wrn.CANADIAN." hidden="1">{"CDN OPS",#N/A,FALSE,"Cdn. Ops. Earnings";"CDN CONSOLIDATING",#N/A,FALSE,"COConsol. Earnings";"CDN DIV",#N/A,FALSE,"Cdn. Div. Earnings";"CDN CORP",#N/A,FALSE,"CCorp."}</definedName>
    <definedName name="wrn.CapersPlotter." localSheetId="10" hidden="1">{#N/A,#N/A,FALSE,"DI 2 YEAR MASTER SCHEDULE"}</definedName>
    <definedName name="wrn.CapersPlotter." localSheetId="15" hidden="1">{#N/A,#N/A,FALSE,"DI 2 YEAR MASTER SCHEDULE"}</definedName>
    <definedName name="wrn.CapersPlotter." hidden="1">{#N/A,#N/A,FALSE,"DI 2 YEAR MASTER SCHEDULE"}</definedName>
    <definedName name="wrn.capital." localSheetId="10" hidden="1">{"capital",#N/A,FALSE,"CAPITAL_DEP'N"}</definedName>
    <definedName name="wrn.capital." hidden="1">{"capital",#N/A,FALSE,"CAPITAL_DEP'N"}</definedName>
    <definedName name="wrn.CAPITAL._.DETAIL." localSheetId="10" hidden="1">{"CAPITAL DETAIL",#N/A,FALSE,"1993"}</definedName>
    <definedName name="wrn.CAPITAL._.DETAIL." hidden="1">{"CAPITAL DETAIL",#N/A,FALSE,"1993"}</definedName>
    <definedName name="wrn.CAPITAL._.LEASES." localSheetId="10" hidden="1">{#N/A,#N/A,FALSE,"NN-1 Capital Leases"}</definedName>
    <definedName name="wrn.CAPITAL._.LEASES." hidden="1">{#N/A,#N/A,FALSE,"NN-1 Capital Leases"}</definedName>
    <definedName name="wrn.Capital._.Plan._.Report." localSheetId="10" hidden="1">{"Capital Plan CA Schedule",#N/A,TRUE,"Capital Plan";"Capital Plan Summary",#N/A,TRUE,"Capital Plan"}</definedName>
    <definedName name="wrn.Capital._.Plan._.Report." hidden="1">{"Capital Plan CA Schedule",#N/A,TRUE,"Capital Plan";"Capital Plan Summary",#N/A,TRUE,"Capital Plan"}</definedName>
    <definedName name="wrn.Capital._.Plan._.Report._1" localSheetId="10" hidden="1">{"Capital Plan CA Schedule",#N/A,TRUE,"Capital Plan";"Capital Plan Summary",#N/A,TRUE,"Capital Plan"}</definedName>
    <definedName name="wrn.Capital._.Plan._.Report._1" hidden="1">{"Capital Plan CA Schedule",#N/A,TRUE,"Capital Plan";"Capital Plan Summary",#N/A,TRUE,"Capital Plan"}</definedName>
    <definedName name="wrn.Capital._.Plan._.Report._2" localSheetId="10" hidden="1">{"Capital Plan CA Schedule",#N/A,TRUE,"Capital Plan";"Capital Plan Summary",#N/A,TRUE,"Capital Plan"}</definedName>
    <definedName name="wrn.Capital._.Plan._.Report._2" hidden="1">{"Capital Plan CA Schedule",#N/A,TRUE,"Capital Plan";"Capital Plan Summary",#N/A,TRUE,"Capital Plan"}</definedName>
    <definedName name="wrn.Capital._.Plan._.Report._3" localSheetId="10" hidden="1">{"Capital Plan CA Schedule",#N/A,TRUE,"Capital Plan";"Capital Plan Summary",#N/A,TRUE,"Capital Plan"}</definedName>
    <definedName name="wrn.Capital._.Plan._.Report._3" hidden="1">{"Capital Plan CA Schedule",#N/A,TRUE,"Capital Plan";"Capital Plan Summary",#N/A,TRUE,"Capital Plan"}</definedName>
    <definedName name="wrn.Capital._.Plan._.Report._4" localSheetId="10" hidden="1">{"Capital Plan CA Schedule",#N/A,TRUE,"Capital Plan";"Capital Plan Summary",#N/A,TRUE,"Capital Plan"}</definedName>
    <definedName name="wrn.Capital._.Plan._.Report._4" hidden="1">{"Capital Plan CA Schedule",#N/A,TRUE,"Capital Plan";"Capital Plan Summary",#N/A,TRUE,"Capital Plan"}</definedName>
    <definedName name="wrn.Capital._.Plan._.Report._5" localSheetId="10" hidden="1">{"Capital Plan CA Schedule",#N/A,TRUE,"Capital Plan";"Capital Plan Summary",#N/A,TRUE,"Capital Plan"}</definedName>
    <definedName name="wrn.Capital._.Plan._.Report._5" hidden="1">{"Capital Plan CA Schedule",#N/A,TRUE,"Capital Plan";"Capital Plan Summary",#N/A,TRUE,"Capital Plan"}</definedName>
    <definedName name="wrn.capital._.schedules" localSheetId="10" hidden="1">{"rf19",#N/A,FALSE,"RF19";"rf20",#N/A,FALSE,"RF20";"rf20a",#N/A,FALSE,"RF20A";"rf21",#N/A,FALSE,"RF21";"rf21a",#N/A,FALSE,"RF21A";"rf21b",#N/A,FALSE,"RF21B";"rf22",#N/A,FALSE,"RF22";"rf22a",#N/A,FALSE,"RF22A";"rf22b",#N/A,FALSE,"RF22B"}</definedName>
    <definedName name="wrn.capital._.schedules" localSheetId="15"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chedules." localSheetId="10" hidden="1">{"rf19",#N/A,FALSE,"RF19";"rf20",#N/A,FALSE,"RF20";"rf20a",#N/A,FALSE,"RF20A";"rf21",#N/A,FALSE,"RF21";"rf21a",#N/A,FALSE,"RF21A";"rf21b",#N/A,FALSE,"RF21B";"rf22",#N/A,FALSE,"RF22";"rf22a",#N/A,FALSE,"RF22A";"rf22b",#N/A,FALSE,"RF22B"}</definedName>
    <definedName name="wrn.capital._.schedules." localSheetId="15"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rdiovasculars." localSheetId="10">{#N/A,#N/A,FALSE,"Card";#N/A,#N/A,FALSE,"Prav";#N/A,#N/A,FALSE,"Irbe";#N/A,#N/A,FALSE,"Plavix";#N/A,#N/A,FALSE,"Capt";#N/A,#N/A,FALSE,"Fosi"}</definedName>
    <definedName name="wrn.Cardiovasculars.">{#N/A,#N/A,FALSE,"Card";#N/A,#N/A,FALSE,"Prav";#N/A,#N/A,FALSE,"Irbe";#N/A,#N/A,FALSE,"Plavix";#N/A,#N/A,FALSE,"Capt";#N/A,#N/A,FALSE,"Fosi"}</definedName>
    <definedName name="wrn.CASH." localSheetId="10" hidden="1">{#N/A,#N/A,FALSE,"A-1 Bank Reconcilation";#N/A,#N/A,FALSE,"A-2 Outstanding Checks";#N/A,#N/A,FALSE,"A-3 Savings Accounts";#N/A,#N/A,FALSE,"A-4 Certificates of Deposit";#N/A,#N/A,FALSE,"A-5 Bank Transfer Schedule"}</definedName>
    <definedName name="wrn.CASH." hidden="1">{#N/A,#N/A,FALSE,"A-1 Bank Reconcilation";#N/A,#N/A,FALSE,"A-2 Outstanding Checks";#N/A,#N/A,FALSE,"A-3 Savings Accounts";#N/A,#N/A,FALSE,"A-4 Certificates of Deposit";#N/A,#N/A,FALSE,"A-5 Bank Transfer Schedule"}</definedName>
    <definedName name="wrn.Cash._.Flow." localSheetId="10" hidden="1">{"Cash Flow",#N/A,FALSE,"Cash Flow"}</definedName>
    <definedName name="wrn.Cash._.Flow." localSheetId="15" hidden="1">{"Cash Flow",#N/A,FALSE,"Cash Flow"}</definedName>
    <definedName name="wrn.Cash._.Flow." hidden="1">{"Cash Flow",#N/A,FALSE,"Cash Flow"}</definedName>
    <definedName name="wrn.Cash._.Flow._1" localSheetId="10" hidden="1">{#N/A,#N/A,FALSE,"Cash Flow"}</definedName>
    <definedName name="wrn.Cash._.Flow._1" hidden="1">{#N/A,#N/A,FALSE,"Cash Flow"}</definedName>
    <definedName name="wrn.Cash._.Flow._2" localSheetId="10" hidden="1">{#N/A,#N/A,FALSE,"Cash Flow"}</definedName>
    <definedName name="wrn.Cash._.Flow._2" hidden="1">{#N/A,#N/A,FALSE,"Cash Flow"}</definedName>
    <definedName name="wrn.Cash._.Flow._3" localSheetId="10" hidden="1">{#N/A,#N/A,FALSE,"Cash Flow"}</definedName>
    <definedName name="wrn.Cash._.Flow._3" hidden="1">{#N/A,#N/A,FALSE,"Cash Flow"}</definedName>
    <definedName name="wrn.Cash._.Flow._4" localSheetId="10" hidden="1">{#N/A,#N/A,FALSE,"Cash Flow"}</definedName>
    <definedName name="wrn.Cash._.Flow._4" hidden="1">{#N/A,#N/A,FALSE,"Cash Flow"}</definedName>
    <definedName name="wrn.Cash._.Flow._5" localSheetId="10" hidden="1">{#N/A,#N/A,FALSE,"Cash Flow"}</definedName>
    <definedName name="wrn.Cash._.Flow._5" hidden="1">{#N/A,#N/A,FALSE,"Cash Flow"}</definedName>
    <definedName name="wrn.Cash_Flow." localSheetId="10">{"CF",#N/A,FALSE,"Cash Flow"}</definedName>
    <definedName name="wrn.Cash_Flow.">{"CF",#N/A,FALSE,"Cash Flow"}</definedName>
    <definedName name="wrn.cash2." localSheetId="10">{#N/A,#N/A,FALSE,"KGFORE94"}</definedName>
    <definedName name="wrn.cash2.">{#N/A,#N/A,FALSE,"KGFORE94"}</definedName>
    <definedName name="wrn.CashFlow." localSheetId="10" hidden="1">{"CashFlow",#N/A,FALSE,"cashflw"}</definedName>
    <definedName name="wrn.CashFlow." localSheetId="15" hidden="1">{"CashFlow",#N/A,FALSE,"cashflw"}</definedName>
    <definedName name="wrn.CashFlow." hidden="1">{"CashFlow",#N/A,FALSE,"cashflw"}</definedName>
    <definedName name="wrn.CASHRECEIPT." localSheetId="10" hidden="1">{"GOCR",#N/A,FALSE,"GO";"HMCR",#N/A,FALSE,"HM";"KRCR",#N/A,FALSE,"KR";"LOCR",#N/A,FALSE,"LO";"OTCR",#N/A,FALSE,"OT";"TRCR",#N/A,FALSE,"TR"}</definedName>
    <definedName name="wrn.CASHRECEIPT." hidden="1">{"GOCR",#N/A,FALSE,"GO";"HMCR",#N/A,FALSE,"HM";"KRCR",#N/A,FALSE,"KR";"LOCR",#N/A,FALSE,"LO";"OTCR",#N/A,FALSE,"OT";"TRCR",#N/A,FALSE,"TR"}</definedName>
    <definedName name="wrn.CategoryDETAIL." localSheetId="10" hidden="1">{#N/A,#N/A,FALSE,"CATGRYdetail"}</definedName>
    <definedName name="wrn.CategoryDETAIL." hidden="1">{#N/A,#N/A,FALSE,"CATGRYdetail"}</definedName>
    <definedName name="wrn.CCM."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 localSheetId="10">{"Admin.",#N/A,FALSE,"ccs";"Alloc.",#N/A,FALSE,"ccs";"BS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 localSheetId="10" hidden="1">{"CEA FY97",#N/A,FALSE,"C.E.A. FY97"}</definedName>
    <definedName name="wrn.CEA._.FY97." hidden="1">{"CEA FY97",#N/A,FALSE,"C.E.A. FY97"}</definedName>
    <definedName name="wrn.CEC._.slides." localSheetId="10"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Dist." localSheetId="10" hidden="1">{"CentDistFactors",#N/A,FALSE,"Central Expenses";"CentDist01",#N/A,FALSE,"Central Expenses";"CentDist02",#N/A,FALSE,"Central Expenses";"CentDist03",#N/A,FALSE,"Central Expenses";"CentDist04",#N/A,FALSE,"Central Expenses";"CentDist05",#N/A,FALSE,"Central Expenses"}</definedName>
    <definedName name="wrn.CentDist." localSheetId="15" hidden="1">{"CentDistFactors",#N/A,FALSE,"Central Expenses";"CentDist01",#N/A,FALSE,"Central Expenses";"CentDist02",#N/A,FALSE,"Central Expenses";"CentDist03",#N/A,FALSE,"Central Expenses";"CentDist04",#N/A,FALSE,"Central Expenses";"CentDist05",#N/A,FALSE,"Central Expenses"}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_.Nervous._.System." localSheetId="10">{#N/A,#N/A,FALSE,"CNS";#N/A,#N/A,FALSE,"Serz";#N/A,#N/A,FALSE,"Ace"}</definedName>
    <definedName name="wrn.Central._.Nervous._.System.">{#N/A,#N/A,FALSE,"CNS";#N/A,#N/A,FALSE,"Serz";#N/A,#N/A,FALSE,"Ace"}</definedName>
    <definedName name="wrn.cf." localSheetId="10" hidden="1">{"one",#N/A,FALSE,"cf";"two",#N/A,FALSE,"cf"}</definedName>
    <definedName name="wrn.cf." hidden="1">{"one",#N/A,FALSE,"cf";"two",#N/A,FALSE,"cf"}</definedName>
    <definedName name="wrn.CfmsDist." localSheetId="10"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localSheetId="15"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localSheetId="10" hidden="1">{"CFSModel",#N/A,FALSE,"CFS"}</definedName>
    <definedName name="wrn.CFSModel." hidden="1">{"CFSModel",#N/A,FALSE,"CFS"}</definedName>
    <definedName name="wrn.CFSModel._1" localSheetId="10" hidden="1">{"CFSModel",#N/A,FALSE,"CFS"}</definedName>
    <definedName name="wrn.CFSModel._1" hidden="1">{"CFSModel",#N/A,FALSE,"CFS"}</definedName>
    <definedName name="wrn.CFTRENDS." localSheetId="10" hidden="1">{#N/A,#N/A,FALSE,"OMM III";#N/A,#N/A,FALSE,"1995 PLAN";#N/A,#N/A,FALSE,"1995 TARGET";#N/A,#N/A,FALSE,"1995 ADJUSTED"}</definedName>
    <definedName name="wrn.CFTRENDS." localSheetId="15" hidden="1">{#N/A,#N/A,FALSE,"OMM III";#N/A,#N/A,FALSE,"1995 PLAN";#N/A,#N/A,FALSE,"1995 TARGET";#N/A,#N/A,FALSE,"1995 ADJUSTED"}</definedName>
    <definedName name="wrn.CFTRENDS." hidden="1">{#N/A,#N/A,FALSE,"OMM III";#N/A,#N/A,FALSE,"1995 PLAN";#N/A,#N/A,FALSE,"1995 TARGET";#N/A,#N/A,FALSE,"1995 ADJUSTED"}</definedName>
    <definedName name="wrn.CHART." localSheetId="10" hidden="1">{"CHART",#N/A,FALSE,"Arch Communications"}</definedName>
    <definedName name="wrn.CHART." localSheetId="15" hidden="1">{"CHART",#N/A,FALSE,"Arch Communications"}</definedName>
    <definedName name="wrn.CHART." hidden="1">{"CHART",#N/A,FALSE,"Arch Communications"}</definedName>
    <definedName name="wrn.CHART._.1." localSheetId="10" hidden="1">{#N/A,#N/A,FALSE,"CHT1"}</definedName>
    <definedName name="wrn.CHART._.1." localSheetId="15" hidden="1">{#N/A,#N/A,FALSE,"CHT1"}</definedName>
    <definedName name="wrn.CHART._.1." hidden="1">{#N/A,#N/A,FALSE,"CHT1"}</definedName>
    <definedName name="wrn.CHART._.10." localSheetId="10" hidden="1">{#N/A,#N/A,FALSE,"CHT10"}</definedName>
    <definedName name="wrn.CHART._.10." localSheetId="15" hidden="1">{#N/A,#N/A,FALSE,"CHT10"}</definedName>
    <definedName name="wrn.CHART._.10." hidden="1">{#N/A,#N/A,FALSE,"CHT10"}</definedName>
    <definedName name="wrn.CHART._.11." localSheetId="10" hidden="1">{#N/A,#N/A,FALSE,"CHT11"}</definedName>
    <definedName name="wrn.CHART._.11." localSheetId="15" hidden="1">{#N/A,#N/A,FALSE,"CHT11"}</definedName>
    <definedName name="wrn.CHART._.11." hidden="1">{#N/A,#N/A,FALSE,"CHT11"}</definedName>
    <definedName name="wrn.CHART._.12." localSheetId="10" hidden="1">{#N/A,#N/A,FALSE,"CHT12"}</definedName>
    <definedName name="wrn.CHART._.12." localSheetId="15" hidden="1">{#N/A,#N/A,FALSE,"CHT12"}</definedName>
    <definedName name="wrn.CHART._.12." hidden="1">{#N/A,#N/A,FALSE,"CHT12"}</definedName>
    <definedName name="wrn.CHART._.13." localSheetId="10" hidden="1">{#N/A,#N/A,FALSE,"CHT13"}</definedName>
    <definedName name="wrn.CHART._.13." localSheetId="15" hidden="1">{#N/A,#N/A,FALSE,"CHT13"}</definedName>
    <definedName name="wrn.CHART._.13." hidden="1">{#N/A,#N/A,FALSE,"CHT13"}</definedName>
    <definedName name="wrn.CHART._.14." localSheetId="10" hidden="1">{#N/A,#N/A,FALSE,"CHT14"}</definedName>
    <definedName name="wrn.CHART._.14." localSheetId="15" hidden="1">{#N/A,#N/A,FALSE,"CHT14"}</definedName>
    <definedName name="wrn.CHART._.14." hidden="1">{#N/A,#N/A,FALSE,"CHT14"}</definedName>
    <definedName name="wrn.CHART._.14A." localSheetId="10" hidden="1">{#N/A,#N/A,FALSE,"CHT14A"}</definedName>
    <definedName name="wrn.CHART._.14A." localSheetId="15" hidden="1">{#N/A,#N/A,FALSE,"CHT14A"}</definedName>
    <definedName name="wrn.CHART._.14A." hidden="1">{#N/A,#N/A,FALSE,"CHT14A"}</definedName>
    <definedName name="wrn.CHART._.14B." localSheetId="10" hidden="1">{#N/A,#N/A,FALSE,"CHT14B"}</definedName>
    <definedName name="wrn.CHART._.14B." localSheetId="15" hidden="1">{#N/A,#N/A,FALSE,"CHT14B"}</definedName>
    <definedName name="wrn.CHART._.14B." hidden="1">{#N/A,#N/A,FALSE,"CHT14B"}</definedName>
    <definedName name="wrn.chart._.1998" localSheetId="10" hidden="1">{#N/A,#N/A,FALSE,"Summary";#N/A,#N/A,FALSE,"Pending";#N/A,#N/A,FALSE,"Jan'98";#N/A,#N/A,FALSE,"Feb'98";#N/A,#N/A,FALSE,"Mar'98";#N/A,#N/A,FALSE,"Apr'98";#N/A,#N/A,FALSE,"May'98";#N/A,#N/A,FALSE,"June'98";#N/A,#N/A,FALSE,"July'98"}</definedName>
    <definedName name="wrn.chart._.1998" hidden="1">{#N/A,#N/A,FALSE,"Summary";#N/A,#N/A,FALSE,"Pending";#N/A,#N/A,FALSE,"Jan'98";#N/A,#N/A,FALSE,"Feb'98";#N/A,#N/A,FALSE,"Mar'98";#N/A,#N/A,FALSE,"Apr'98";#N/A,#N/A,FALSE,"May'98";#N/A,#N/A,FALSE,"June'98";#N/A,#N/A,FALSE,"July'98"}</definedName>
    <definedName name="wrn.CHART._.1A." localSheetId="10" hidden="1">{#N/A,#N/A,FALSE,"CHT1A"}</definedName>
    <definedName name="wrn.CHART._.1A." localSheetId="15" hidden="1">{#N/A,#N/A,FALSE,"CHT1A"}</definedName>
    <definedName name="wrn.CHART._.1A." hidden="1">{#N/A,#N/A,FALSE,"CHT1A"}</definedName>
    <definedName name="wrn.CHART._.1B." localSheetId="10" hidden="1">{#N/A,#N/A,FALSE,"CHT1B"}</definedName>
    <definedName name="wrn.CHART._.1B." localSheetId="15" hidden="1">{#N/A,#N/A,FALSE,"CHT1B"}</definedName>
    <definedName name="wrn.CHART._.1B." hidden="1">{#N/A,#N/A,FALSE,"CHT1B"}</definedName>
    <definedName name="wrn.CHART._.2." localSheetId="10" hidden="1">{#N/A,#N/A,FALSE,"CHT2"}</definedName>
    <definedName name="wrn.CHART._.2." localSheetId="15" hidden="1">{#N/A,#N/A,FALSE,"CHT2"}</definedName>
    <definedName name="wrn.CHART._.2." hidden="1">{#N/A,#N/A,FALSE,"CHT2"}</definedName>
    <definedName name="wrn.CHART._.4P." localSheetId="10" hidden="1">{#N/A,#N/A,FALSE,"CHT4P"}</definedName>
    <definedName name="wrn.CHART._.4P." localSheetId="15" hidden="1">{#N/A,#N/A,FALSE,"CHT4P"}</definedName>
    <definedName name="wrn.CHART._.4P." hidden="1">{#N/A,#N/A,FALSE,"CHT4P"}</definedName>
    <definedName name="wrn.CHART._.4U." localSheetId="10" hidden="1">{#N/A,#N/A,FALSE,"CHT4U"}</definedName>
    <definedName name="wrn.CHART._.4U." localSheetId="15" hidden="1">{#N/A,#N/A,FALSE,"CHT4U"}</definedName>
    <definedName name="wrn.CHART._.4U." hidden="1">{#N/A,#N/A,FALSE,"CHT4U"}</definedName>
    <definedName name="wrn.CHART._.4V." localSheetId="10" hidden="1">{#N/A,#N/A,FALSE,"CHT4V"}</definedName>
    <definedName name="wrn.CHART._.4V." localSheetId="15" hidden="1">{#N/A,#N/A,FALSE,"CHT4V"}</definedName>
    <definedName name="wrn.CHART._.4V." hidden="1">{#N/A,#N/A,FALSE,"CHT4V"}</definedName>
    <definedName name="wrn.CHART._.5." localSheetId="10" hidden="1">{#N/A,#N/A,FALSE,"CHT5"}</definedName>
    <definedName name="wrn.CHART._.5." localSheetId="15" hidden="1">{#N/A,#N/A,FALSE,"CHT5"}</definedName>
    <definedName name="wrn.CHART._.5." hidden="1">{#N/A,#N/A,FALSE,"CHT5"}</definedName>
    <definedName name="wrn.CHART._.6." localSheetId="10" hidden="1">{#N/A,#N/A,FALSE,"CHT6"}</definedName>
    <definedName name="wrn.CHART._.6." localSheetId="15" hidden="1">{#N/A,#N/A,FALSE,"CHT6"}</definedName>
    <definedName name="wrn.CHART._.6." hidden="1">{#N/A,#N/A,FALSE,"CHT6"}</definedName>
    <definedName name="wrn.CHART._.7." localSheetId="10" hidden="1">{#N/A,#N/A,FALSE,"CHT7"}</definedName>
    <definedName name="wrn.CHART._.7." localSheetId="15" hidden="1">{#N/A,#N/A,FALSE,"CHT7"}</definedName>
    <definedName name="wrn.CHART._.7." hidden="1">{#N/A,#N/A,FALSE,"CHT7"}</definedName>
    <definedName name="wrn.CHART._.8." localSheetId="10" hidden="1">{#N/A,#N/A,FALSE,"CHT8"}</definedName>
    <definedName name="wrn.CHART._.8." localSheetId="15" hidden="1">{#N/A,#N/A,FALSE,"CHT8"}</definedName>
    <definedName name="wrn.CHART._.8." hidden="1">{#N/A,#N/A,FALSE,"CHT8"}</definedName>
    <definedName name="wrn.CHART._.9." localSheetId="10" hidden="1">{#N/A,#N/A,FALSE,"CHT9"}</definedName>
    <definedName name="wrn.CHART._.9." localSheetId="15" hidden="1">{#N/A,#N/A,FALSE,"CHT9"}</definedName>
    <definedName name="wrn.CHART._.9." hidden="1">{#N/A,#N/A,FALSE,"CHT9"}</definedName>
    <definedName name="wrn.Chemicals." localSheetId="10" hidden="1">{"PnL",#N/A,FALSE,"Chem P&amp;L";"Responsibility",#N/A,FALSE,"Chem P&amp;L";"Cost Control",#N/A,FALSE,"Chem P&amp;L"}</definedName>
    <definedName name="wrn.Chemicals." hidden="1">{"PnL",#N/A,FALSE,"Chem P&amp;L";"Responsibility",#N/A,FALSE,"Chem P&amp;L";"Cost Control",#N/A,FALSE,"Chem P&amp;L"}</definedName>
    <definedName name="wrn.Chuckie._.Boyz._.Masterfukinpiece." localSheetId="10" hidden="1">{#N/A,#N/A,FALSE,"Networking";#N/A,#N/A,FALSE,"Net. Graphs";#N/A,#N/A,FALSE,"Services";#N/A,#N/A,FALSE,"Serv. Grpahs"}</definedName>
    <definedName name="wrn.Chuckie._.Boyz._.Masterfukinpiece." localSheetId="15" hidden="1">{#N/A,#N/A,FALSE,"Networking";#N/A,#N/A,FALSE,"Net. Graphs";#N/A,#N/A,FALSE,"Services";#N/A,#N/A,FALSE,"Serv. Grpahs"}</definedName>
    <definedName name="wrn.Chuckie._.Boyz._.Masterfukinpiece." hidden="1">{#N/A,#N/A,FALSE,"Networking";#N/A,#N/A,FALSE,"Net. Graphs";#N/A,#N/A,FALSE,"Services";#N/A,#N/A,FALSE,"Serv. Grpahs"}</definedName>
    <definedName name="wrn.client." localSheetId="10" hidden="1">{"multiple",#N/A,FALSE,"client";"margins",#N/A,FALSE,"client";"data",#N/A,FALSE,"client"}</definedName>
    <definedName name="wrn.client." localSheetId="15" hidden="1">{"multiple",#N/A,FALSE,"client";"margins",#N/A,FALSE,"client";"data",#N/A,FALSE,"client"}</definedName>
    <definedName name="wrn.client." hidden="1">{"multiple",#N/A,FALSE,"client";"margins",#N/A,FALSE,"client";"data",#N/A,FALSE,"client"}</definedName>
    <definedName name="wrn.Client._.cfbs." localSheetId="10" hidden="1">{"client cfbs",#N/A,FALSE,"Client"}</definedName>
    <definedName name="wrn.Client._.cfbs." localSheetId="15" hidden="1">{"client cfbs",#N/A,FALSE,"Client"}</definedName>
    <definedName name="wrn.Client._.cfbs." hidden="1">{"client cfbs",#N/A,FALSE,"Client"}</definedName>
    <definedName name="wrn.Client._.is." localSheetId="10" hidden="1">{"client is",#N/A,FALSE,"Client"}</definedName>
    <definedName name="wrn.Client._.is." localSheetId="15" hidden="1">{"client is",#N/A,FALSE,"Client"}</definedName>
    <definedName name="wrn.Client._.is." hidden="1">{"client is",#N/A,FALSE,"Client"}</definedName>
    <definedName name="wrn.Client._.stats." localSheetId="10" hidden="1">{"client stats",#N/A,FALSE,"Client"}</definedName>
    <definedName name="wrn.Client._.stats." localSheetId="15" hidden="1">{"client stats",#N/A,FALSE,"Client"}</definedName>
    <definedName name="wrn.Client._.stats." hidden="1">{"client stats",#N/A,FALSE,"Client"}</definedName>
    <definedName name="wrn.client._1" localSheetId="10" hidden="1">{"multiple",#N/A,FALSE,"client";"margins",#N/A,FALSE,"client";"data",#N/A,FALSE,"client"}</definedName>
    <definedName name="wrn.client._1" hidden="1">{"multiple",#N/A,FALSE,"client";"margins",#N/A,FALSE,"client";"data",#N/A,FALSE,"client"}</definedName>
    <definedName name="wrn.client._2" localSheetId="10" hidden="1">{"multiple",#N/A,FALSE,"client";"margins",#N/A,FALSE,"client";"data",#N/A,FALSE,"client"}</definedName>
    <definedName name="wrn.client._2" hidden="1">{"multiple",#N/A,FALSE,"client";"margins",#N/A,FALSE,"client";"data",#N/A,FALSE,"client"}</definedName>
    <definedName name="wrn.client._3" localSheetId="10" hidden="1">{"multiple",#N/A,FALSE,"client";"margins",#N/A,FALSE,"client";"data",#N/A,FALSE,"client"}</definedName>
    <definedName name="wrn.client._3" hidden="1">{"multiple",#N/A,FALSE,"client";"margins",#N/A,FALSE,"client";"data",#N/A,FALSE,"client"}</definedName>
    <definedName name="wrn.client._4" localSheetId="10" hidden="1">{"multiple",#N/A,FALSE,"client";"margins",#N/A,FALSE,"client";"data",#N/A,FALSE,"client"}</definedName>
    <definedName name="wrn.client._4" hidden="1">{"multiple",#N/A,FALSE,"client";"margins",#N/A,FALSE,"client";"data",#N/A,FALSE,"client"}</definedName>
    <definedName name="wrn.client._5" localSheetId="10" hidden="1">{"multiple",#N/A,FALSE,"client";"margins",#N/A,FALSE,"client";"data",#N/A,FALSE,"client"}</definedName>
    <definedName name="wrn.client._5" hidden="1">{"multiple",#N/A,FALSE,"client";"margins",#N/A,FALSE,"client";"data",#N/A,FALSE,"client"}</definedName>
    <definedName name="wrn.Client3." localSheetId="10" hidden="1">{"data",#N/A,FALSE,"client (3)";"margins",#N/A,FALSE,"client (3)";"multiple",#N/A,FALSE,"client (3)"}</definedName>
    <definedName name="wrn.Client3." localSheetId="15" hidden="1">{"data",#N/A,FALSE,"client (3)";"margins",#N/A,FALSE,"client (3)";"multiple",#N/A,FALSE,"client (3)"}</definedName>
    <definedName name="wrn.Client3." hidden="1">{"data",#N/A,FALSE,"client (3)";"margins",#N/A,FALSE,"client (3)";"multiple",#N/A,FALSE,"client (3)"}</definedName>
    <definedName name="wrn.Client3._1" localSheetId="10" hidden="1">{"data",#N/A,FALSE,"client (3)";"margins",#N/A,FALSE,"client (3)";"multiple",#N/A,FALSE,"client (3)"}</definedName>
    <definedName name="wrn.Client3._1" hidden="1">{"data",#N/A,FALSE,"client (3)";"margins",#N/A,FALSE,"client (3)";"multiple",#N/A,FALSE,"client (3)"}</definedName>
    <definedName name="wrn.Client3._2" localSheetId="10" hidden="1">{"data",#N/A,FALSE,"client (3)";"margins",#N/A,FALSE,"client (3)";"multiple",#N/A,FALSE,"client (3)"}</definedName>
    <definedName name="wrn.Client3._2" hidden="1">{"data",#N/A,FALSE,"client (3)";"margins",#N/A,FALSE,"client (3)";"multiple",#N/A,FALSE,"client (3)"}</definedName>
    <definedName name="wrn.Client3._3" localSheetId="10" hidden="1">{"data",#N/A,FALSE,"client (3)";"margins",#N/A,FALSE,"client (3)";"multiple",#N/A,FALSE,"client (3)"}</definedName>
    <definedName name="wrn.Client3._3" hidden="1">{"data",#N/A,FALSE,"client (3)";"margins",#N/A,FALSE,"client (3)";"multiple",#N/A,FALSE,"client (3)"}</definedName>
    <definedName name="wrn.Client3._4" localSheetId="10" hidden="1">{"data",#N/A,FALSE,"client (3)";"margins",#N/A,FALSE,"client (3)";"multiple",#N/A,FALSE,"client (3)"}</definedName>
    <definedName name="wrn.Client3._4" hidden="1">{"data",#N/A,FALSE,"client (3)";"margins",#N/A,FALSE,"client (3)";"multiple",#N/A,FALSE,"client (3)"}</definedName>
    <definedName name="wrn.Client3._5" localSheetId="10" hidden="1">{"data",#N/A,FALSE,"client (3)";"margins",#N/A,FALSE,"client (3)";"multiple",#N/A,FALSE,"client (3)"}</definedName>
    <definedName name="wrn.Client3._5" hidden="1">{"data",#N/A,FALSE,"client (3)";"margins",#N/A,FALSE,"client (3)";"multiple",#N/A,FALSE,"client (3)"}</definedName>
    <definedName name="wrn.client4." localSheetId="10" hidden="1">{"multiple",#N/A,FALSE,"client (4)";"margins",#N/A,FALSE,"client (4)";"data",#N/A,FALSE,"client (4)"}</definedName>
    <definedName name="wrn.client4." localSheetId="15" hidden="1">{"multiple",#N/A,FALSE,"client (4)";"margins",#N/A,FALSE,"client (4)";"data",#N/A,FALSE,"client (4)"}</definedName>
    <definedName name="wrn.client4." hidden="1">{"multiple",#N/A,FALSE,"client (4)";"margins",#N/A,FALSE,"client (4)";"data",#N/A,FALSE,"client (4)"}</definedName>
    <definedName name="wrn.client4._1" localSheetId="10" hidden="1">{"multiple",#N/A,FALSE,"client (4)";"margins",#N/A,FALSE,"client (4)";"data",#N/A,FALSE,"client (4)"}</definedName>
    <definedName name="wrn.client4._1" hidden="1">{"multiple",#N/A,FALSE,"client (4)";"margins",#N/A,FALSE,"client (4)";"data",#N/A,FALSE,"client (4)"}</definedName>
    <definedName name="wrn.client4._2" localSheetId="10" hidden="1">{"multiple",#N/A,FALSE,"client (4)";"margins",#N/A,FALSE,"client (4)";"data",#N/A,FALSE,"client (4)"}</definedName>
    <definedName name="wrn.client4._2" hidden="1">{"multiple",#N/A,FALSE,"client (4)";"margins",#N/A,FALSE,"client (4)";"data",#N/A,FALSE,"client (4)"}</definedName>
    <definedName name="wrn.client4._3" localSheetId="10" hidden="1">{"multiple",#N/A,FALSE,"client (4)";"margins",#N/A,FALSE,"client (4)";"data",#N/A,FALSE,"client (4)"}</definedName>
    <definedName name="wrn.client4._3" hidden="1">{"multiple",#N/A,FALSE,"client (4)";"margins",#N/A,FALSE,"client (4)";"data",#N/A,FALSE,"client (4)"}</definedName>
    <definedName name="wrn.client4._4" localSheetId="10" hidden="1">{"multiple",#N/A,FALSE,"client (4)";"margins",#N/A,FALSE,"client (4)";"data",#N/A,FALSE,"client (4)"}</definedName>
    <definedName name="wrn.client4._4" hidden="1">{"multiple",#N/A,FALSE,"client (4)";"margins",#N/A,FALSE,"client (4)";"data",#N/A,FALSE,"client (4)"}</definedName>
    <definedName name="wrn.client4._5" localSheetId="10" hidden="1">{"multiple",#N/A,FALSE,"client (4)";"margins",#N/A,FALSE,"client (4)";"data",#N/A,FALSE,"client (4)"}</definedName>
    <definedName name="wrn.client4._5" hidden="1">{"multiple",#N/A,FALSE,"client (4)";"margins",#N/A,FALSE,"client (4)";"data",#N/A,FALSE,"client (4)"}</definedName>
    <definedName name="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p_detail_doc.">#REF!</definedName>
    <definedName name="wrn.clp_fs_doc.">#REF!</definedName>
    <definedName name="wrn.CM_ALL." localSheetId="10"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10" hidden="1">{"GENERALH2",#N/A,FALSE,"CM"}</definedName>
    <definedName name="wrn.CM_GENERALH2." hidden="1">{"GENERALH2",#N/A,FALSE,"CM"}</definedName>
    <definedName name="wrn.CM_LAPORTE_O2N2." localSheetId="10" hidden="1">{"LAPO2N2",#N/A,FALSE,"CM"}</definedName>
    <definedName name="wrn.CM_LAPORTE_O2N2." hidden="1">{"LAPO2N2",#N/A,FALSE,"CM"}</definedName>
    <definedName name="wrn.CM_LOUISIANA." localSheetId="10" hidden="1">{"LOUISIANA",#N/A,FALSE,"CM"}</definedName>
    <definedName name="wrn.CM_LOUISIANA." hidden="1">{"LOUISIANA",#N/A,FALSE,"CM"}</definedName>
    <definedName name="wrn.CM_OTHER." localSheetId="10" hidden="1">{"OTHER",#N/A,FALSE,"CM"}</definedName>
    <definedName name="wrn.CM_OTHER." hidden="1">{"OTHER",#N/A,FALSE,"CM"}</definedName>
    <definedName name="wrn.CM_PACKAGE." localSheetId="10" hidden="1">{"PACKAGE",#N/A,FALSE,"CM"}</definedName>
    <definedName name="wrn.CM_PACKAGE." hidden="1">{"PACKAGE",#N/A,FALSE,"CM"}</definedName>
    <definedName name="wrn.CM_PRS." localSheetId="10" hidden="1">{"PRS",#N/A,FALSE,"CM"}</definedName>
    <definedName name="wrn.CM_PRS." hidden="1">{"PRS",#N/A,FALSE,"CM"}</definedName>
    <definedName name="wrn.CM_TEXAS._.HYCO." localSheetId="10" hidden="1">{"TOTTEXAS",#N/A,FALSE,"CM"}</definedName>
    <definedName name="wrn.CM_TEXAS._.HYCO." hidden="1">{"TOTTEXAS",#N/A,FALSE,"CM"}</definedName>
    <definedName name="wrn.Cmrl._.Unit._.Sales." localSheetId="10">{"Unit Sales",#N/A,FALSE,"Cmrl"}</definedName>
    <definedName name="wrn.Cmrl._.Unit._.Sales.">{"Unit Sales",#N/A,FALSE,"Cmrl"}</definedName>
    <definedName name="wrn.Cmrl._.Unit._.Sales2" localSheetId="10">{"Unit Sales",#N/A,FALSE,"Cmrl"}</definedName>
    <definedName name="wrn.Cmrl._.Unit._.Sales2">{"Unit Sales",#N/A,FALSE,"Cmrl"}</definedName>
    <definedName name="wrn.Cmrl._.Unit._.Sales3" localSheetId="10">{"Unit Sales",#N/A,FALSE,"Cmrl"}</definedName>
    <definedName name="wrn.Cmrl._.Unit._.Sales3">{"Unit Sales",#N/A,FALSE,"Cmrl"}</definedName>
    <definedName name="wrn.CMsch." localSheetId="10" hidden="1">{#N/A,#N/A,FALSE,"CMsch"}</definedName>
    <definedName name="wrn.CMsch." hidden="1">{#N/A,#N/A,FALSE,"CMsch"}</definedName>
    <definedName name="wrn.CMVsBud." localSheetId="10" hidden="1">{"Page1",#N/A,FALSE,"OpExJanvsBud";"Page2",#N/A,FALSE,"OpExJanvsBud"}</definedName>
    <definedName name="wrn.CMVsBud." hidden="1">{"Page1",#N/A,FALSE,"OpExJanvsBud";"Page2",#N/A,FALSE,"OpExJanvsBud"}</definedName>
    <definedName name="wrn.CMVsPY." localSheetId="10" hidden="1">{"Page 1",#N/A,FALSE,"OpExJanVsPY";"Page 2",#N/A,FALSE,"OpExJanVsPY"}</definedName>
    <definedName name="wrn.CMVsPY." hidden="1">{"Page 1",#N/A,FALSE,"OpExJanVsPY";"Page 2",#N/A,FALSE,"OpExJanVsPY"}</definedName>
    <definedName name="wrn.COGS." localSheetId="10" hidden="1">{"Balt COGS",#N/A,FALSE,"COGS";"Balt Sum",#N/A,FALSE,"SUM";"Balt Defd Var",#N/A,FALSE,"DEFD VAR";"Balt Input Usage",#N/A,FALSE,"INPUT";"Balt Input PPV",#N/A,FALSE,"INPUT"}</definedName>
    <definedName name="wrn.COGS." hidden="1">{"Balt COGS",#N/A,FALSE,"COGS";"Balt Sum",#N/A,FALSE,"SUM";"Balt Defd Var",#N/A,FALSE,"DEFD VAR";"Balt Input Usage",#N/A,FALSE,"INPUT";"Balt Input PPV",#N/A,FALSE,"INPUT"}</definedName>
    <definedName name="wrn.COM." localSheetId="10">{"COM",#N/A,FALSE,"800 10th"}</definedName>
    <definedName name="wrn.COM.">{"COM",#N/A,FALSE,"800 10th"}</definedName>
    <definedName name="wrn.Comark." localSheetId="10"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0"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All._.Stmts." localSheetId="10" hidden="1">{"Combined Inc Stmt",#N/A,TRUE,"Financials";"Combined BS",#N/A,TRUE,"Financials";"Combined CF",#N/A,TRUE,"Financials";"Combined Ratios",#N/A,TRUE,"Financials"}</definedName>
    <definedName name="wrn.Combined._.All._.Stmts." localSheetId="15" hidden="1">{"Combined Inc Stmt",#N/A,TRUE,"Financials";"Combined BS",#N/A,TRUE,"Financials";"Combined CF",#N/A,TRUE,"Financials";"Combined Ratios",#N/A,TRUE,"Financials"}</definedName>
    <definedName name="wrn.Combined._.All._.Stmts." hidden="1">{"Combined Inc Stmt",#N/A,TRUE,"Financials";"Combined BS",#N/A,TRUE,"Financials";"Combined CF",#N/A,TRUE,"Financials";"Combined Ratios",#N/A,TRUE,"Financials"}</definedName>
    <definedName name="wrn.Combined._.All._.Stmts._1" localSheetId="10" hidden="1">{"Combined Inc Stmt",#N/A,TRUE,"Financials";"Combined BS",#N/A,TRUE,"Financials";"Combined CF",#N/A,TRUE,"Financials";"Combined Ratios",#N/A,TRUE,"Financials"}</definedName>
    <definedName name="wrn.Combined._.All._.Stmts._1" localSheetId="15" hidden="1">{"Combined Inc Stmt",#N/A,TRUE,"Financials";"Combined BS",#N/A,TRUE,"Financials";"Combined CF",#N/A,TRUE,"Financials";"Combined Ratios",#N/A,TRUE,"Financials"}</definedName>
    <definedName name="wrn.Combined._.All._.Stmts._1" hidden="1">{"Combined Inc Stmt",#N/A,TRUE,"Financials";"Combined BS",#N/A,TRUE,"Financials";"Combined CF",#N/A,TRUE,"Financials";"Combined Ratios",#N/A,TRUE,"Financials"}</definedName>
    <definedName name="wrn.Combined._.BS." localSheetId="10" hidden="1">{"Combined BS",#N/A,FALSE,"Financials"}</definedName>
    <definedName name="wrn.Combined._.BS." localSheetId="15" hidden="1">{"Combined BS",#N/A,FALSE,"Financials"}</definedName>
    <definedName name="wrn.Combined._.BS." hidden="1">{"Combined BS",#N/A,FALSE,"Financials"}</definedName>
    <definedName name="wrn.Combined._.BS._1" localSheetId="10" hidden="1">{"Combined BS",#N/A,FALSE,"Financials"}</definedName>
    <definedName name="wrn.Combined._.BS._1" localSheetId="15" hidden="1">{"Combined BS",#N/A,FALSE,"Financials"}</definedName>
    <definedName name="wrn.Combined._.BS._1" hidden="1">{"Combined BS",#N/A,FALSE,"Financials"}</definedName>
    <definedName name="wrn.Combined._.CF." localSheetId="10" hidden="1">{"Combined CF",#N/A,FALSE,"Financials"}</definedName>
    <definedName name="wrn.Combined._.CF." localSheetId="15" hidden="1">{"Combined CF",#N/A,FALSE,"Financials"}</definedName>
    <definedName name="wrn.Combined._.CF." hidden="1">{"Combined CF",#N/A,FALSE,"Financials"}</definedName>
    <definedName name="wrn.Combined._.CF._1" localSheetId="10" hidden="1">{"Combined CF",#N/A,FALSE,"Financials"}</definedName>
    <definedName name="wrn.Combined._.CF._1" localSheetId="15" hidden="1">{"Combined CF",#N/A,FALSE,"Financials"}</definedName>
    <definedName name="wrn.Combined._.CF._1" hidden="1">{"Combined CF",#N/A,FALSE,"Financials"}</definedName>
    <definedName name="wrn.Combined._.Inc._.Stmt." localSheetId="10" hidden="1">{"Combined Inc Stmt",#N/A,FALSE,"Financials"}</definedName>
    <definedName name="wrn.Combined._.Inc._.Stmt." localSheetId="15" hidden="1">{"Combined Inc Stmt",#N/A,FALSE,"Financials"}</definedName>
    <definedName name="wrn.Combined._.Inc._.Stmt." hidden="1">{"Combined Inc Stmt",#N/A,FALSE,"Financials"}</definedName>
    <definedName name="wrn.Combined._.Inc._.Stmt._1" localSheetId="10" hidden="1">{"Combined Inc Stmt",#N/A,FALSE,"Financials"}</definedName>
    <definedName name="wrn.Combined._.Inc._.Stmt._1" localSheetId="15" hidden="1">{"Combined Inc Stmt",#N/A,FALSE,"Financials"}</definedName>
    <definedName name="wrn.Combined._.Inc._.Stmt._1" hidden="1">{"Combined Inc Stmt",#N/A,FALSE,"Financials"}</definedName>
    <definedName name="wrn.Combined._.Ratios." localSheetId="10" hidden="1">{"Combined Ratios",#N/A,FALSE,"Financials"}</definedName>
    <definedName name="wrn.Combined._.Ratios." localSheetId="15" hidden="1">{"Combined Ratios",#N/A,FALSE,"Financials"}</definedName>
    <definedName name="wrn.Combined._.Ratios." hidden="1">{"Combined Ratios",#N/A,FALSE,"Financials"}</definedName>
    <definedName name="wrn.Combined._.Ratios._1" localSheetId="10" hidden="1">{"Combined Ratios",#N/A,FALSE,"Financials"}</definedName>
    <definedName name="wrn.Combined._.Ratios._1" localSheetId="15" hidden="1">{"Combined Ratios",#N/A,FALSE,"Financials"}</definedName>
    <definedName name="wrn.Combined._.Ratios._1" hidden="1">{"Combined Ratios",#N/A,FALSE,"Financials"}</definedName>
    <definedName name="wrn.Combined._.Report." localSheetId="10" hidden="1">{#N/A,#N/A,FALSE,"Res+Comm Combined";#N/A,#N/A,FALSE,"Commercial Plan";#N/A,#N/A,FALSE,"Comm Op Expenses - Comm";#N/A,#N/A,FALSE,"Residential Plan Combined";#N/A,#N/A,FALSE,"Revenue - Residential Sales ";#N/A,#N/A,FALSE,"Revenue - Builders Program";#N/A,#N/A,FALSE,"Revenue - Volume Deals";#N/A,#N/A,FALSE,"Operating Expenses"}</definedName>
    <definedName name="wrn.Combined._.Report." hidden="1">{#N/A,#N/A,FALSE,"Res+Comm Combined";#N/A,#N/A,FALSE,"Commercial Plan";#N/A,#N/A,FALSE,"Comm Op Expenses - Comm";#N/A,#N/A,FALSE,"Residential Plan Combined";#N/A,#N/A,FALSE,"Revenue - Residential Sales ";#N/A,#N/A,FALSE,"Revenue - Builders Program";#N/A,#N/A,FALSE,"Revenue - Volume Deals";#N/A,#N/A,FALSE,"Operating Expenses"}</definedName>
    <definedName name="wrn.COMLAWTC." localSheetId="10">{"Commish",#N/A,FALSE,"LAWTC"}</definedName>
    <definedName name="wrn.COMLAWTC.">{"Commish",#N/A,FALSE,"LAWTC"}</definedName>
    <definedName name="wrn.Commercial._.Report." localSheetId="10" hidden="1">{#N/A,#N/A,FALSE,"Commercial Plan";#N/A,#N/A,FALSE,"Comm Op Expenses - Comm"}</definedName>
    <definedName name="wrn.Commercial._.Report." hidden="1">{#N/A,#N/A,FALSE,"Commercial Plan";#N/A,#N/A,FALSE,"Comm Op Expenses - Comm"}</definedName>
    <definedName name="wrn.COMMISSIONER." localSheetId="10" hidden="1">{#N/A,#N/A,FALSE,"BS_OCIF OIB";#N/A,#N/A,FALSE,"PL_OCIF OIB";#N/A,#N/A,FALSE,"SCH_A-B_OCIF OIB";#N/A,#N/A,FALSE,"AVG_CALC OIB"}</definedName>
    <definedName name="wrn.COMMISSIONER." localSheetId="15" hidden="1">{#N/A,#N/A,FALSE,"BS_OCIF OIB";#N/A,#N/A,FALSE,"PL_OCIF OIB";#N/A,#N/A,FALSE,"SCH_A-B_OCIF OIB";#N/A,#N/A,FALSE,"AVG_CALC OIB"}</definedName>
    <definedName name="wrn.COMMISSIONER." hidden="1">{#N/A,#N/A,FALSE,"BS_OCIF OIB";#N/A,#N/A,FALSE,"PL_OCIF OIB";#N/A,#N/A,FALSE,"SCH_A-B_OCIF OIB";#N/A,#N/A,FALSE,"AVG_CALC OIB"}</definedName>
    <definedName name="wrn.Comp._.and._.Prices." localSheetId="10" hidden="1">{#N/A,#N/A,FALSE,"comp";#N/A,#N/A,FALSE,"Alpha";#N/A,#N/A,FALSE,"Hi";#N/A,#N/A,FALSE,"Lo";#N/A,#N/A,FALSE,"Mkt. Cap";#N/A,#N/A,FALSE,"Categ."}</definedName>
    <definedName name="wrn.Comp._.and._.Prices." hidden="1">{#N/A,#N/A,FALSE,"comp";#N/A,#N/A,FALSE,"Alpha";#N/A,#N/A,FALSE,"Hi";#N/A,#N/A,FALSE,"Lo";#N/A,#N/A,FALSE,"Mkt. Cap";#N/A,#N/A,FALSE,"Categ."}</definedName>
    <definedName name="wrn.Comparison._.of._.Package." localSheetId="10" hidden="1">{"Package Comparison",#N/A,FALSE,"REPORTS"}</definedName>
    <definedName name="wrn.Comparison._.of._.Package." hidden="1">{"Package Comparison",#N/A,FALSE,"REPORTS"}</definedName>
    <definedName name="wrn.COMPCO." localSheetId="10" hidden="1">{"Page1",#N/A,FALSE,"CompCo";"Page2",#N/A,FALSE,"CompCo"}</definedName>
    <definedName name="wrn.COMPCO." localSheetId="15" hidden="1">{"Page1",#N/A,FALSE,"CompCo";"Page2",#N/A,FALSE,"CompCo"}</definedName>
    <definedName name="wrn.COMPCO." hidden="1">{"Page1",#N/A,FALSE,"CompCo";"Page2",#N/A,FALSE,"CompCo"}</definedName>
    <definedName name="wrn.Compco._.Only." localSheetId="10" hidden="1">{"vi1",#N/A,FALSE,"6_30_96";"vi2",#N/A,FALSE,"6_30_96";"vi3",#N/A,FALSE,"6_30_96"}</definedName>
    <definedName name="wrn.Compco._.Only." hidden="1">{"vi1",#N/A,FALSE,"6_30_96";"vi2",#N/A,FALSE,"6_30_96";"vi3",#N/A,FALSE,"6_30_96"}</definedName>
    <definedName name="wrn.Compco._.Only._1" localSheetId="10" hidden="1">{"vi1",#N/A,FALSE,"6_30_96";"vi2",#N/A,FALSE,"6_30_96";"vi3",#N/A,FALSE,"6_30_96"}</definedName>
    <definedName name="wrn.Compco._.Only._1" hidden="1">{"vi1",#N/A,FALSE,"6_30_96";"vi2",#N/A,FALSE,"6_30_96";"vi3",#N/A,FALSE,"6_30_96"}</definedName>
    <definedName name="wrn.compco._1" localSheetId="10" hidden="1">{"page1",#N/A,FALSE,"BHCOMPC5";"page2",#N/A,FALSE,"BHCOMPC5";"page3",#N/A,FALSE,"BHCOMPC5";"page4",#N/A,FALSE,"BHCOMPC5"}</definedName>
    <definedName name="wrn.compco._1" hidden="1">{"page1",#N/A,FALSE,"BHCOMPC5";"page2",#N/A,FALSE,"BHCOMPC5";"page3",#N/A,FALSE,"BHCOMPC5";"page4",#N/A,FALSE,"BHCOMPC5"}</definedName>
    <definedName name="wrn.compco._from_DBAB" localSheetId="10" hidden="1">{"mult96",#N/A,FALSE,"PETCOMP";"est96",#N/A,FALSE,"PETCOMP";"mult95",#N/A,FALSE,"PETCOMP";"est95",#N/A,FALSE,"PETCOMP";"multltm",#N/A,FALSE,"PETCOMP";"resultltm",#N/A,FALSE,"PETCOMP"}</definedName>
    <definedName name="wrn.compco._from_DBAB" localSheetId="15"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10" hidden="1">{"mult96",#N/A,FALSE,"PETCOMP";"est96",#N/A,FALSE,"PETCOMP";"mult95",#N/A,FALSE,"PETCOMP";"est95",#N/A,FALSE,"PETCOMP";"multltm",#N/A,FALSE,"PETCOMP";"resultltm",#N/A,FALSE,"PETCOMP"}</definedName>
    <definedName name="wrn.compco._from_DBAB_1" localSheetId="15"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10" hidden="1">{"mult96",#N/A,FALSE,"PETCOMP";"est96",#N/A,FALSE,"PETCOMP";"mult95",#N/A,FALSE,"PETCOMP";"est95",#N/A,FALSE,"PETCOMP";"multltm",#N/A,FALSE,"PETCOMP";"resultltm",#N/A,FALSE,"PETCOMP"}</definedName>
    <definedName name="wrn.compco._from_DBAB_1_1" localSheetId="15"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10" hidden="1">{"mult96",#N/A,FALSE,"PETCOMP";"est96",#N/A,FALSE,"PETCOMP";"mult95",#N/A,FALSE,"PETCOMP";"est95",#N/A,FALSE,"PETCOMP";"multltm",#N/A,FALSE,"PETCOMP";"resultltm",#N/A,FALSE,"PETCOMP"}</definedName>
    <definedName name="wrn.compco._from_DBAB_1_1_1" localSheetId="15"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2" localSheetId="10" hidden="1">{"mult96",#N/A,FALSE,"PETCOMP";"est96",#N/A,FALSE,"PETCOMP";"mult95",#N/A,FALSE,"PETCOMP";"est95",#N/A,FALSE,"PETCOMP";"multltm",#N/A,FALSE,"PETCOMP";"resultltm",#N/A,FALSE,"PETCOMP"}</definedName>
    <definedName name="wrn.compco._from_DBAB_1_2" localSheetId="15"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2" localSheetId="10" hidden="1">{"mult96",#N/A,FALSE,"PETCOMP";"est96",#N/A,FALSE,"PETCOMP";"mult95",#N/A,FALSE,"PETCOMP";"est95",#N/A,FALSE,"PETCOMP";"multltm",#N/A,FALSE,"PETCOMP";"resultltm",#N/A,FALSE,"PETCOMP"}</definedName>
    <definedName name="wrn.compco._from_DBAB_2" localSheetId="15"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3" localSheetId="10" hidden="1">{"mult96",#N/A,FALSE,"PETCOMP";"est96",#N/A,FALSE,"PETCOMP";"mult95",#N/A,FALSE,"PETCOMP";"est95",#N/A,FALSE,"PETCOMP";"multltm",#N/A,FALSE,"PETCOMP";"resultltm",#N/A,FALSE,"PETCOMP"}</definedName>
    <definedName name="wrn.compco._from_DBAB_3" localSheetId="15"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4" localSheetId="10" hidden="1">{"mult96",#N/A,FALSE,"PETCOMP";"est96",#N/A,FALSE,"PETCOMP";"mult95",#N/A,FALSE,"PETCOMP";"est95",#N/A,FALSE,"PETCOMP";"multltm",#N/A,FALSE,"PETCOMP";"resultltm",#N/A,FALSE,"PETCOMP"}</definedName>
    <definedName name="wrn.compco._from_DBAB_4" localSheetId="15"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5" localSheetId="10" hidden="1">{"mult96",#N/A,FALSE,"PETCOMP";"est96",#N/A,FALSE,"PETCOMP";"mult95",#N/A,FALSE,"PETCOMP";"est95",#N/A,FALSE,"PETCOMP";"multltm",#N/A,FALSE,"PETCOMP";"resultltm",#N/A,FALSE,"PETCOMP"}</definedName>
    <definedName name="wrn.compco._from_DBAB_5" localSheetId="15"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2" localSheetId="10" hidden="1">{"mult96",#N/A,FALSE,"PETCOMP";"est96",#N/A,FALSE,"PETCOMP";"mult95",#N/A,FALSE,"PETCOMP";"est95",#N/A,FALSE,"PETCOMP";"multltm",#N/A,FALSE,"PETCOMP";"resultltm",#N/A,FALSE,"PETCOMP"}</definedName>
    <definedName name="wrn.compco2" localSheetId="15"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2_1" localSheetId="10" hidden="1">{"mult96",#N/A,FALSE,"PETCOMP";"est96",#N/A,FALSE,"PETCOMP";"mult95",#N/A,FALSE,"PETCOMP";"est95",#N/A,FALSE,"PETCOMP";"multltm",#N/A,FALSE,"PETCOMP";"resultltm",#N/A,FALSE,"PETCOMP"}</definedName>
    <definedName name="wrn.compco2_1" hidden="1">{"mult96",#N/A,FALSE,"PETCOMP";"est96",#N/A,FALSE,"PETCOMP";"mult95",#N/A,FALSE,"PETCOMP";"est95",#N/A,FALSE,"PETCOMP";"multltm",#N/A,FALSE,"PETCOMP";"resultltm",#N/A,FALSE,"PETCOMP"}</definedName>
    <definedName name="wrn.compco3" localSheetId="1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etitor._.analysis." localSheetId="10"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10" hidden="1">{#N/A,#N/A,TRUE,"DCF Summary";#N/A,#N/A,TRUE,"Casema";#N/A,#N/A,TRUE,"UK";#N/A,#N/A,TRUE,"RCF";#N/A,#N/A,TRUE,"Intercable CZ";#N/A,#N/A,TRUE,"Interkabel P";#N/A,#N/A,TRUE,"LBO-Total";#N/A,#N/A,TRUE,"LBO-Casema"}</definedName>
    <definedName name="wrn.Complete." localSheetId="15"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Budget."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localSheetId="15"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Print._.Out."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4"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localSheetId="10"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5"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 localSheetId="10" hidden="1">{#N/A,#N/A,FALSE,"Assumptions";#N/A,#N/A,FALSE,"Proforma IS";#N/A,#N/A,FALSE,"Cash Flows RLP";#N/A,#N/A,FALSE,"IRR";#N/A,#N/A,FALSE,"New Depr Sch-150% DB";#N/A,#N/A,FALSE,"Comments"}</definedName>
    <definedName name="wrn.Complete._.Report." localSheetId="15"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1" localSheetId="10" hidden="1">{#N/A,#N/A,TRUE,"Statements";#N/A,#N/A,TRUE,"Capital";#N/A,#N/A,TRUE,"Manpower";#N/A,#N/A,TRUE,"Sheet1";#N/A,#N/A,TRUE,"HISTORIC";#N/A,#N/A,TRUE,"Barbados"}</definedName>
    <definedName name="wrn.Complete._1" hidden="1">{#N/A,#N/A,TRUE,"Statements";#N/A,#N/A,TRUE,"Capital";#N/A,#N/A,TRUE,"Manpower";#N/A,#N/A,TRUE,"Sheet1";#N/A,#N/A,TRUE,"HISTORIC";#N/A,#N/A,TRUE,"Barbados"}</definedName>
    <definedName name="wrn.Complete._1_1" localSheetId="10" hidden="1">{#N/A,#N/A,TRUE,"Statements";#N/A,#N/A,TRUE,"Capital";#N/A,#N/A,TRUE,"Manpower";#N/A,#N/A,TRUE,"Sheet1";#N/A,#N/A,TRUE,"HISTORIC";#N/A,#N/A,TRUE,"Barbados"}</definedName>
    <definedName name="wrn.Complete._1_1" hidden="1">{#N/A,#N/A,TRUE,"Statements";#N/A,#N/A,TRUE,"Capital";#N/A,#N/A,TRUE,"Manpower";#N/A,#N/A,TRUE,"Sheet1";#N/A,#N/A,TRUE,"HISTORIC";#N/A,#N/A,TRUE,"Barbados"}</definedName>
    <definedName name="wrn.Complete._1_1_1" localSheetId="10" hidden="1">{#N/A,#N/A,TRUE,"Statements";#N/A,#N/A,TRUE,"Capital";#N/A,#N/A,TRUE,"Manpower";#N/A,#N/A,TRUE,"Sheet1";#N/A,#N/A,TRUE,"HISTORIC";#N/A,#N/A,TRUE,"Barbados"}</definedName>
    <definedName name="wrn.Complete._1_1_1" hidden="1">{#N/A,#N/A,TRUE,"Statements";#N/A,#N/A,TRUE,"Capital";#N/A,#N/A,TRUE,"Manpower";#N/A,#N/A,TRUE,"Sheet1";#N/A,#N/A,TRUE,"HISTORIC";#N/A,#N/A,TRUE,"Barbados"}</definedName>
    <definedName name="wrn.Complete._1_1_2" localSheetId="10" hidden="1">{#N/A,#N/A,TRUE,"Statements";#N/A,#N/A,TRUE,"Capital";#N/A,#N/A,TRUE,"Manpower";#N/A,#N/A,TRUE,"Sheet1";#N/A,#N/A,TRUE,"HISTORIC";#N/A,#N/A,TRUE,"Barbados"}</definedName>
    <definedName name="wrn.Complete._1_1_2" hidden="1">{#N/A,#N/A,TRUE,"Statements";#N/A,#N/A,TRUE,"Capital";#N/A,#N/A,TRUE,"Manpower";#N/A,#N/A,TRUE,"Sheet1";#N/A,#N/A,TRUE,"HISTORIC";#N/A,#N/A,TRUE,"Barbados"}</definedName>
    <definedName name="wrn.Complete._1_1_3" localSheetId="10" hidden="1">{#N/A,#N/A,TRUE,"Statements";#N/A,#N/A,TRUE,"Capital";#N/A,#N/A,TRUE,"Manpower";#N/A,#N/A,TRUE,"Sheet1";#N/A,#N/A,TRUE,"HISTORIC";#N/A,#N/A,TRUE,"Barbados"}</definedName>
    <definedName name="wrn.Complete._1_1_3" hidden="1">{#N/A,#N/A,TRUE,"Statements";#N/A,#N/A,TRUE,"Capital";#N/A,#N/A,TRUE,"Manpower";#N/A,#N/A,TRUE,"Sheet1";#N/A,#N/A,TRUE,"HISTORIC";#N/A,#N/A,TRUE,"Barbados"}</definedName>
    <definedName name="wrn.Complete._1_1_4" localSheetId="10" hidden="1">{#N/A,#N/A,TRUE,"Statements";#N/A,#N/A,TRUE,"Capital";#N/A,#N/A,TRUE,"Manpower";#N/A,#N/A,TRUE,"Sheet1";#N/A,#N/A,TRUE,"HISTORIC";#N/A,#N/A,TRUE,"Barbados"}</definedName>
    <definedName name="wrn.Complete._1_1_4" hidden="1">{#N/A,#N/A,TRUE,"Statements";#N/A,#N/A,TRUE,"Capital";#N/A,#N/A,TRUE,"Manpower";#N/A,#N/A,TRUE,"Sheet1";#N/A,#N/A,TRUE,"HISTORIC";#N/A,#N/A,TRUE,"Barbados"}</definedName>
    <definedName name="wrn.Complete._1_1_5" localSheetId="10" hidden="1">{#N/A,#N/A,TRUE,"Statements";#N/A,#N/A,TRUE,"Capital";#N/A,#N/A,TRUE,"Manpower";#N/A,#N/A,TRUE,"Sheet1";#N/A,#N/A,TRUE,"HISTORIC";#N/A,#N/A,TRUE,"Barbados"}</definedName>
    <definedName name="wrn.Complete._1_1_5" hidden="1">{#N/A,#N/A,TRUE,"Statements";#N/A,#N/A,TRUE,"Capital";#N/A,#N/A,TRUE,"Manpower";#N/A,#N/A,TRUE,"Sheet1";#N/A,#N/A,TRUE,"HISTORIC";#N/A,#N/A,TRUE,"Barbados"}</definedName>
    <definedName name="wrn.Complete._1_2" localSheetId="10" hidden="1">{#N/A,#N/A,TRUE,"Statements";#N/A,#N/A,TRUE,"Capital";#N/A,#N/A,TRUE,"Manpower";#N/A,#N/A,TRUE,"Sheet1";#N/A,#N/A,TRUE,"HISTORIC";#N/A,#N/A,TRUE,"Barbados"}</definedName>
    <definedName name="wrn.Complete._1_2" hidden="1">{#N/A,#N/A,TRUE,"Statements";#N/A,#N/A,TRUE,"Capital";#N/A,#N/A,TRUE,"Manpower";#N/A,#N/A,TRUE,"Sheet1";#N/A,#N/A,TRUE,"HISTORIC";#N/A,#N/A,TRUE,"Barbados"}</definedName>
    <definedName name="wrn.Complete._1_3" localSheetId="10" hidden="1">{#N/A,#N/A,TRUE,"Statements";#N/A,#N/A,TRUE,"Capital";#N/A,#N/A,TRUE,"Manpower";#N/A,#N/A,TRUE,"Sheet1";#N/A,#N/A,TRUE,"HISTORIC";#N/A,#N/A,TRUE,"Barbados"}</definedName>
    <definedName name="wrn.Complete._1_3" hidden="1">{#N/A,#N/A,TRUE,"Statements";#N/A,#N/A,TRUE,"Capital";#N/A,#N/A,TRUE,"Manpower";#N/A,#N/A,TRUE,"Sheet1";#N/A,#N/A,TRUE,"HISTORIC";#N/A,#N/A,TRUE,"Barbados"}</definedName>
    <definedName name="wrn.Complete._1_4" localSheetId="10" hidden="1">{#N/A,#N/A,TRUE,"Statements";#N/A,#N/A,TRUE,"Capital";#N/A,#N/A,TRUE,"Manpower";#N/A,#N/A,TRUE,"Sheet1";#N/A,#N/A,TRUE,"HISTORIC";#N/A,#N/A,TRUE,"Barbados"}</definedName>
    <definedName name="wrn.Complete._1_4" hidden="1">{#N/A,#N/A,TRUE,"Statements";#N/A,#N/A,TRUE,"Capital";#N/A,#N/A,TRUE,"Manpower";#N/A,#N/A,TRUE,"Sheet1";#N/A,#N/A,TRUE,"HISTORIC";#N/A,#N/A,TRUE,"Barbados"}</definedName>
    <definedName name="wrn.Complete._1_5" localSheetId="10" hidden="1">{#N/A,#N/A,TRUE,"Statements";#N/A,#N/A,TRUE,"Capital";#N/A,#N/A,TRUE,"Manpower";#N/A,#N/A,TRUE,"Sheet1";#N/A,#N/A,TRUE,"HISTORIC";#N/A,#N/A,TRUE,"Barbados"}</definedName>
    <definedName name="wrn.Complete._1_5" hidden="1">{#N/A,#N/A,TRUE,"Statements";#N/A,#N/A,TRUE,"Capital";#N/A,#N/A,TRUE,"Manpower";#N/A,#N/A,TRUE,"Sheet1";#N/A,#N/A,TRUE,"HISTORIC";#N/A,#N/A,TRUE,"Barbados"}</definedName>
    <definedName name="wrn.Complete._2" localSheetId="10" hidden="1">{#N/A,#N/A,TRUE,"Statements";#N/A,#N/A,TRUE,"Capital";#N/A,#N/A,TRUE,"Manpower";#N/A,#N/A,TRUE,"Sheet1";#N/A,#N/A,TRUE,"HISTORIC";#N/A,#N/A,TRUE,"Barbados"}</definedName>
    <definedName name="wrn.Complete._2" hidden="1">{#N/A,#N/A,TRUE,"Statements";#N/A,#N/A,TRUE,"Capital";#N/A,#N/A,TRUE,"Manpower";#N/A,#N/A,TRUE,"Sheet1";#N/A,#N/A,TRUE,"HISTORIC";#N/A,#N/A,TRUE,"Barbados"}</definedName>
    <definedName name="wrn.Complete._2_1" localSheetId="10" hidden="1">{#N/A,#N/A,TRUE,"Statements";#N/A,#N/A,TRUE,"Capital";#N/A,#N/A,TRUE,"Manpower";#N/A,#N/A,TRUE,"Sheet1";#N/A,#N/A,TRUE,"HISTORIC";#N/A,#N/A,TRUE,"Barbados"}</definedName>
    <definedName name="wrn.Complete._2_1" hidden="1">{#N/A,#N/A,TRUE,"Statements";#N/A,#N/A,TRUE,"Capital";#N/A,#N/A,TRUE,"Manpower";#N/A,#N/A,TRUE,"Sheet1";#N/A,#N/A,TRUE,"HISTORIC";#N/A,#N/A,TRUE,"Barbados"}</definedName>
    <definedName name="wrn.Complete._2_2" localSheetId="10" hidden="1">{#N/A,#N/A,TRUE,"Statements";#N/A,#N/A,TRUE,"Capital";#N/A,#N/A,TRUE,"Manpower";#N/A,#N/A,TRUE,"Sheet1";#N/A,#N/A,TRUE,"HISTORIC";#N/A,#N/A,TRUE,"Barbados"}</definedName>
    <definedName name="wrn.Complete._2_2" hidden="1">{#N/A,#N/A,TRUE,"Statements";#N/A,#N/A,TRUE,"Capital";#N/A,#N/A,TRUE,"Manpower";#N/A,#N/A,TRUE,"Sheet1";#N/A,#N/A,TRUE,"HISTORIC";#N/A,#N/A,TRUE,"Barbados"}</definedName>
    <definedName name="wrn.Complete._2_3" localSheetId="10" hidden="1">{#N/A,#N/A,TRUE,"Statements";#N/A,#N/A,TRUE,"Capital";#N/A,#N/A,TRUE,"Manpower";#N/A,#N/A,TRUE,"Sheet1";#N/A,#N/A,TRUE,"HISTORIC";#N/A,#N/A,TRUE,"Barbados"}</definedName>
    <definedName name="wrn.Complete._2_3" hidden="1">{#N/A,#N/A,TRUE,"Statements";#N/A,#N/A,TRUE,"Capital";#N/A,#N/A,TRUE,"Manpower";#N/A,#N/A,TRUE,"Sheet1";#N/A,#N/A,TRUE,"HISTORIC";#N/A,#N/A,TRUE,"Barbados"}</definedName>
    <definedName name="wrn.Complete._2_4" localSheetId="10" hidden="1">{#N/A,#N/A,TRUE,"Statements";#N/A,#N/A,TRUE,"Capital";#N/A,#N/A,TRUE,"Manpower";#N/A,#N/A,TRUE,"Sheet1";#N/A,#N/A,TRUE,"HISTORIC";#N/A,#N/A,TRUE,"Barbados"}</definedName>
    <definedName name="wrn.Complete._2_4" hidden="1">{#N/A,#N/A,TRUE,"Statements";#N/A,#N/A,TRUE,"Capital";#N/A,#N/A,TRUE,"Manpower";#N/A,#N/A,TRUE,"Sheet1";#N/A,#N/A,TRUE,"HISTORIC";#N/A,#N/A,TRUE,"Barbados"}</definedName>
    <definedName name="wrn.Complete._2_5" localSheetId="10" hidden="1">{#N/A,#N/A,TRUE,"Statements";#N/A,#N/A,TRUE,"Capital";#N/A,#N/A,TRUE,"Manpower";#N/A,#N/A,TRUE,"Sheet1";#N/A,#N/A,TRUE,"HISTORIC";#N/A,#N/A,TRUE,"Barbados"}</definedName>
    <definedName name="wrn.Complete._2_5" hidden="1">{#N/A,#N/A,TRUE,"Statements";#N/A,#N/A,TRUE,"Capital";#N/A,#N/A,TRUE,"Manpower";#N/A,#N/A,TRUE,"Sheet1";#N/A,#N/A,TRUE,"HISTORIC";#N/A,#N/A,TRUE,"Barbados"}</definedName>
    <definedName name="wrn.Complete._3" localSheetId="10" hidden="1">{#N/A,#N/A,TRUE,"Statements";#N/A,#N/A,TRUE,"Capital";#N/A,#N/A,TRUE,"Manpower";#N/A,#N/A,TRUE,"Sheet1";#N/A,#N/A,TRUE,"HISTORIC";#N/A,#N/A,TRUE,"Barbados"}</definedName>
    <definedName name="wrn.Complete._3" hidden="1">{#N/A,#N/A,TRUE,"Statements";#N/A,#N/A,TRUE,"Capital";#N/A,#N/A,TRUE,"Manpower";#N/A,#N/A,TRUE,"Sheet1";#N/A,#N/A,TRUE,"HISTORIC";#N/A,#N/A,TRUE,"Barbados"}</definedName>
    <definedName name="wrn.Complete._3_1" localSheetId="10" hidden="1">{#N/A,#N/A,TRUE,"Statements";#N/A,#N/A,TRUE,"Capital";#N/A,#N/A,TRUE,"Manpower";#N/A,#N/A,TRUE,"Sheet1";#N/A,#N/A,TRUE,"HISTORIC";#N/A,#N/A,TRUE,"Barbados"}</definedName>
    <definedName name="wrn.Complete._3_1" hidden="1">{#N/A,#N/A,TRUE,"Statements";#N/A,#N/A,TRUE,"Capital";#N/A,#N/A,TRUE,"Manpower";#N/A,#N/A,TRUE,"Sheet1";#N/A,#N/A,TRUE,"HISTORIC";#N/A,#N/A,TRUE,"Barbados"}</definedName>
    <definedName name="wrn.Complete._3_2" localSheetId="10" hidden="1">{#N/A,#N/A,TRUE,"Statements";#N/A,#N/A,TRUE,"Capital";#N/A,#N/A,TRUE,"Manpower";#N/A,#N/A,TRUE,"Sheet1";#N/A,#N/A,TRUE,"HISTORIC";#N/A,#N/A,TRUE,"Barbados"}</definedName>
    <definedName name="wrn.Complete._3_2" hidden="1">{#N/A,#N/A,TRUE,"Statements";#N/A,#N/A,TRUE,"Capital";#N/A,#N/A,TRUE,"Manpower";#N/A,#N/A,TRUE,"Sheet1";#N/A,#N/A,TRUE,"HISTORIC";#N/A,#N/A,TRUE,"Barbados"}</definedName>
    <definedName name="wrn.Complete._3_3" localSheetId="10" hidden="1">{#N/A,#N/A,TRUE,"Statements";#N/A,#N/A,TRUE,"Capital";#N/A,#N/A,TRUE,"Manpower";#N/A,#N/A,TRUE,"Sheet1";#N/A,#N/A,TRUE,"HISTORIC";#N/A,#N/A,TRUE,"Barbados"}</definedName>
    <definedName name="wrn.Complete._3_3" hidden="1">{#N/A,#N/A,TRUE,"Statements";#N/A,#N/A,TRUE,"Capital";#N/A,#N/A,TRUE,"Manpower";#N/A,#N/A,TRUE,"Sheet1";#N/A,#N/A,TRUE,"HISTORIC";#N/A,#N/A,TRUE,"Barbados"}</definedName>
    <definedName name="wrn.Complete._3_4" localSheetId="10" hidden="1">{#N/A,#N/A,TRUE,"Statements";#N/A,#N/A,TRUE,"Capital";#N/A,#N/A,TRUE,"Manpower";#N/A,#N/A,TRUE,"Sheet1";#N/A,#N/A,TRUE,"HISTORIC";#N/A,#N/A,TRUE,"Barbados"}</definedName>
    <definedName name="wrn.Complete._3_4" hidden="1">{#N/A,#N/A,TRUE,"Statements";#N/A,#N/A,TRUE,"Capital";#N/A,#N/A,TRUE,"Manpower";#N/A,#N/A,TRUE,"Sheet1";#N/A,#N/A,TRUE,"HISTORIC";#N/A,#N/A,TRUE,"Barbados"}</definedName>
    <definedName name="wrn.Complete._3_5" localSheetId="10" hidden="1">{#N/A,#N/A,TRUE,"Statements";#N/A,#N/A,TRUE,"Capital";#N/A,#N/A,TRUE,"Manpower";#N/A,#N/A,TRUE,"Sheet1";#N/A,#N/A,TRUE,"HISTORIC";#N/A,#N/A,TRUE,"Barbados"}</definedName>
    <definedName name="wrn.Complete._3_5" hidden="1">{#N/A,#N/A,TRUE,"Statements";#N/A,#N/A,TRUE,"Capital";#N/A,#N/A,TRUE,"Manpower";#N/A,#N/A,TRUE,"Sheet1";#N/A,#N/A,TRUE,"HISTORIC";#N/A,#N/A,TRUE,"Barbados"}</definedName>
    <definedName name="wrn.Complete._4" localSheetId="10" hidden="1">{#N/A,#N/A,TRUE,"Statements";#N/A,#N/A,TRUE,"Capital";#N/A,#N/A,TRUE,"Manpower";#N/A,#N/A,TRUE,"Sheet1";#N/A,#N/A,TRUE,"HISTORIC";#N/A,#N/A,TRUE,"Barbados"}</definedName>
    <definedName name="wrn.Complete._4" hidden="1">{#N/A,#N/A,TRUE,"Statements";#N/A,#N/A,TRUE,"Capital";#N/A,#N/A,TRUE,"Manpower";#N/A,#N/A,TRUE,"Sheet1";#N/A,#N/A,TRUE,"HISTORIC";#N/A,#N/A,TRUE,"Barbados"}</definedName>
    <definedName name="wrn.Complete._5" localSheetId="10" hidden="1">{#N/A,#N/A,TRUE,"Statements";#N/A,#N/A,TRUE,"Capital";#N/A,#N/A,TRUE,"Manpower";#N/A,#N/A,TRUE,"Sheet1";#N/A,#N/A,TRUE,"HISTORIC";#N/A,#N/A,TRUE,"Barbados"}</definedName>
    <definedName name="wrn.Complete._5" hidden="1">{#N/A,#N/A,TRUE,"Statements";#N/A,#N/A,TRUE,"Capital";#N/A,#N/A,TRUE,"Manpower";#N/A,#N/A,TRUE,"Sheet1";#N/A,#N/A,TRUE,"HISTORIC";#N/A,#N/A,TRUE,"Barbados"}</definedName>
    <definedName name="wrn.Complete.2" localSheetId="10">{"Cover",#N/A,FALSE,"Cover";"Summary",#N/A,FALSE,"Summarpage";"Assumptions",#N/A,FALSE,"Assumptions";"Earnings",#N/A,FALSE,"Earnings";"CF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0">{"Cover",#N/A,FALSE,"Cover";"Summary",#N/A,FALSE,"Summarpage";"Assumptions",#N/A,FALSE,"Assumptions";"Earnings",#N/A,FALSE,"Earnings";"CF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localSheetId="10" hidden="1">{#N/A,#N/A,FALSE,"Comps"}</definedName>
    <definedName name="wrn.Comps." hidden="1">{#N/A,#N/A,FALSE,"Comps"}</definedName>
    <definedName name="wrn.Consol." localSheetId="1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detail." localSheetId="10" hidden="1">{#N/A,#N/A,FALSE,"CONSOLBS";#N/A,#N/A,FALSE,"CONSOLIS";#N/A,#N/A,FALSE,"PRODBS";#N/A,#N/A,FALSE,"PRODIS";#N/A,#N/A,FALSE,"CAPBS";#N/A,#N/A,FALSE,"CAPIS";#N/A,#N/A,FALSE,"PSIBS";#N/A,#N/A,FALSE,"PSIIS";#N/A,#N/A,FALSE,"EUROPEBS";#N/A,#N/A,FALSE,"EUROPEIS";#N/A,#N/A,FALSE,"CONSOLADJ"}</definedName>
    <definedName name="wrn.Consol._.detail." hidden="1">{#N/A,#N/A,FALSE,"CONSOLBS";#N/A,#N/A,FALSE,"CONSOLIS";#N/A,#N/A,FALSE,"PRODBS";#N/A,#N/A,FALSE,"PRODIS";#N/A,#N/A,FALSE,"CAPBS";#N/A,#N/A,FALSE,"CAPIS";#N/A,#N/A,FALSE,"PSIBS";#N/A,#N/A,FALSE,"PSIIS";#N/A,#N/A,FALSE,"EUROPEBS";#N/A,#N/A,FALSE,"EUROPEIS";#N/A,#N/A,FALSE,"CONSOLADJ"}</definedName>
    <definedName name="wrn.Consol._.FS." localSheetId="10">{#N/A,#N/A,FALSE,"BalSheet 0899";#N/A,#N/A,FALSE,"ytdpl899";#N/A,#N/A,FALSE,"Aug PL";#N/A,#N/A,FALSE,"Minority Int";#N/A,#N/A,FALSE,"Equity Roll Forward";#N/A,#N/A,FALSE,"Book Equity Test"}</definedName>
    <definedName name="wrn.Consol._.FS.">{#N/A,#N/A,FALSE,"BalSheet 0899";#N/A,#N/A,FALSE,"ytdpl899";#N/A,#N/A,FALSE,"Aug PL";#N/A,#N/A,FALSE,"Minority Int";#N/A,#N/A,FALSE,"Equity Roll Forward";#N/A,#N/A,FALSE,"Book Equity Test"}</definedName>
    <definedName name="wrn.Consolidado." localSheetId="10" hidden="1">{#N/A,#N/A,FALSE,"COVER";#N/A,#N/A,FALSE,"Index";#N/A,#N/A,FALSE,"Non-Earning";#N/A,#N/A,FALSE,"Non-Earning_Recovery"}</definedName>
    <definedName name="wrn.Consolidado." localSheetId="15" hidden="1">{#N/A,#N/A,FALSE,"COVER";#N/A,#N/A,FALSE,"Index";#N/A,#N/A,FALSE,"Non-Earning";#N/A,#N/A,FALSE,"Non-Earning_Recovery"}</definedName>
    <definedName name="wrn.Consolidado." hidden="1">{#N/A,#N/A,FALSE,"COVER";#N/A,#N/A,FALSE,"Index";#N/A,#N/A,FALSE,"Non-Earning";#N/A,#N/A,FALSE,"Non-Earning_Recovery"}</definedName>
    <definedName name="wrn.consolidated." localSheetId="10" hidden="1">{"income",#N/A,FALSE,"CONSOLIDATED";"value",#N/A,FALSE,"CONSOLIDATED"}</definedName>
    <definedName name="wrn.consolidated." hidden="1">{"income",#N/A,FALSE,"CONSOLIDATED";"value",#N/A,FALSE,"CONSOLIDATED"}</definedName>
    <definedName name="wrn.Consolidated._.Financials." localSheetId="10"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1" localSheetId="10" hidden="1">{"income",#N/A,FALSE,"CONSOLIDATED";"value",#N/A,FALSE,"CONSOLIDATED"}</definedName>
    <definedName name="wrn.consolidated._1" hidden="1">{"income",#N/A,FALSE,"CONSOLIDATED";"value",#N/A,FALSE,"CONSOLIDATED"}</definedName>
    <definedName name="wrn.Consumer._.Medicines." localSheetId="10">{#N/A,#N/A,FALSE,"OTC";#N/A,#N/A,FALSE,"Ther";#N/A,#N/A,FALSE,"Temp";#N/A,#N/A,FALSE,"Exce";#N/A,#N/A,FALSE,"Buff";#N/A,#N/A,FALSE,"Picot";#N/A,#N/A,FALSE,"Luftal";#N/A,#N/A,FALSE,"Comt"}</definedName>
    <definedName name="wrn.Consumer._.Medicines.">{#N/A,#N/A,FALSE,"OTC";#N/A,#N/A,FALSE,"Ther";#N/A,#N/A,FALSE,"Temp";#N/A,#N/A,FALSE,"Exce";#N/A,#N/A,FALSE,"Buff";#N/A,#N/A,FALSE,"Picot";#N/A,#N/A,FALSE,"Luftal";#N/A,#N/A,FALSE,"Comt"}</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10" hidden="1">{#N/A,#N/A,FALSE,"Contribution Analysis"}</definedName>
    <definedName name="wrn.contribution." hidden="1">{#N/A,#N/A,FALSE,"Contribution Analysis"}</definedName>
    <definedName name="wrn.CONTROL._.BOOK." localSheetId="10" hidden="1">{#N/A,#N/A,FALSE,"INSTRUCTION ";#N/A,#N/A,FALSE,"POR PG2";#N/A,#N/A,FALSE,"POR PG5";#N/A,#N/A,FALSE,"POR PG11";#N/A,#N/A,FALSE,"DIV-ORD_GAPP";#N/A,#N/A,FALSE,"DIV_ORD_FIX";#N/A,#N/A,FALSE,"HCREG_DIV";#N/A,#N/A,FALSE,"HCSKIL_DIV"}</definedName>
    <definedName name="wrn.CONTROL._.BOOK." hidden="1">{#N/A,#N/A,FALSE,"INSTRUCTION ";#N/A,#N/A,FALSE,"POR PG2";#N/A,#N/A,FALSE,"POR PG5";#N/A,#N/A,FALSE,"POR PG11";#N/A,#N/A,FALSE,"DIV-ORD_GAPP";#N/A,#N/A,FALSE,"DIV_ORD_FIX";#N/A,#N/A,FALSE,"HCREG_DIV";#N/A,#N/A,FALSE,"HCSKIL_DIV"}</definedName>
    <definedName name="wrn.copeland." localSheetId="10" hidden="1">{#N/A,#N/A,FALSE,"COP CONS SK";#N/A,#N/A,FALSE,"COP CONS RG";#N/A,#N/A,FALSE,"COP CONS SK BC";#N/A,#N/A,FALSE,"COP CONS RG BC";#N/A,#N/A,FALSE,"ALLIANCE SK";#N/A,#N/A,FALSE,"ALLIANCE RG";#N/A,#N/A,FALSE,"CPC SK";#N/A,#N/A,FALSE,"CPC RG"}</definedName>
    <definedName name="wrn.copeland." hidden="1">{#N/A,#N/A,FALSE,"COP CONS SK";#N/A,#N/A,FALSE,"COP CONS RG";#N/A,#N/A,FALSE,"COP CONS SK BC";#N/A,#N/A,FALSE,"COP CONS RG BC";#N/A,#N/A,FALSE,"ALLIANCE SK";#N/A,#N/A,FALSE,"ALLIANCE RG";#N/A,#N/A,FALSE,"CPC SK";#N/A,#N/A,FALSE,"CPC RG"}</definedName>
    <definedName name="wrn.CORE._.KINETICS." localSheetId="10" hidden="1">{"COREKINETICS",#N/A,FALSE,"CORE KINETICS"}</definedName>
    <definedName name="wrn.CORE._.KINETICS." hidden="1">{"COREKINETICS",#N/A,FALSE,"CORE KINETICS"}</definedName>
    <definedName name="wrn.COS." localSheetId="10" hidden="1">{"PAGE 1",#N/A,FALSE,"COS";"PAGE 2",#N/A,FALSE,"COS";"PAGE 3",#N/A,FALSE,"COS"}</definedName>
    <definedName name="wrn.COS." hidden="1">{"PAGE 1",#N/A,FALSE,"COS";"PAGE 2",#N/A,FALSE,"COS";"PAGE 3",#N/A,FALSE,"COS"}</definedName>
    <definedName name="wrn.COS._.EX._.GEISMAR." localSheetId="10"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mos._.Report." localSheetId="10">#REF!</definedName>
    <definedName name="wrn.Cosmos._.Report.">#REF!</definedName>
    <definedName name="wrn.COST._.OF._.SALES." localSheetId="10" hidden="1">{"COST OF SALES",#N/A,FALSE,"C.O.SALES"}</definedName>
    <definedName name="wrn.COST._.OF._.SALES." hidden="1">{"COST OF SALES",#N/A,FALSE,"C.O.SALES"}</definedName>
    <definedName name="wrn.COSTtestMFG." localSheetId="10" hidden="1">{#N/A,#N/A,FALSE,"COSTtestMFG"}</definedName>
    <definedName name="wrn.COSTtestMFG." hidden="1">{#N/A,#N/A,FALSE,"COSTtestMFG"}</definedName>
    <definedName name="wrn.COSTtestRESELLER." localSheetId="10" hidden="1">{#N/A,#N/A,FALSE,"COSTtestRS"}</definedName>
    <definedName name="wrn.COSTtestRESELLER." hidden="1">{#N/A,#N/A,FALSE,"COSTtestRS"}</definedName>
    <definedName name="wrn.Cover." localSheetId="10"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PB." localSheetId="10" hidden="1">{#N/A,#N/A,FALSE,"CPB"}</definedName>
    <definedName name="wrn.CPB." hidden="1">{#N/A,#N/A,FALSE,"CPB"}</definedName>
    <definedName name="wrn.Credit._.Memo._.Test." localSheetId="10" hidden="1">{#N/A,#N/A,FALSE,"CMTest"}</definedName>
    <definedName name="wrn.Credit._.Memo._.Test." hidden="1">{#N/A,#N/A,FALSE,"CMTest"}</definedName>
    <definedName name="wrn.Credit._.Summary." localSheetId="10" hidden="1">{#N/A,#N/A,FALSE,"Credit Summary"}</definedName>
    <definedName name="wrn.Credit._.Summary." hidden="1">{#N/A,#N/A,FALSE,"Credit Summary"}</definedName>
    <definedName name="wrn.csc." localSheetId="10" hidden="1">{"orixcsc",#N/A,FALSE,"ORIX CSC";"orixcsc2",#N/A,FALSE,"ORIX CSC"}</definedName>
    <definedName name="wrn.csc." hidden="1">{"orixcsc",#N/A,FALSE,"ORIX CSC";"orixcsc2",#N/A,FALSE,"ORIX CSC"}</definedName>
    <definedName name="wrn.csc2." localSheetId="10" hidden="1">{#N/A,#N/A,FALSE,"ORIX CSC"}</definedName>
    <definedName name="wrn.csc2." hidden="1">{#N/A,#N/A,FALSE,"ORIX CSC"}</definedName>
    <definedName name="wrn.Current._.Month._.Current._.Yr._.Only." localSheetId="10"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localSheetId="10"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d"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ily." localSheetId="10" hidden="1">{#N/A,#N/A,FALSE,"Input";#N/A,#N/A,FALSE,"BBC";#N/A,#N/A,FALSE,"Sch A";#N/A,#N/A,FALSE,"Sch B";#N/A,#N/A,FALSE,"Ineligible"}</definedName>
    <definedName name="wrn.Daily." hidden="1">{#N/A,#N/A,FALSE,"Input";#N/A,#N/A,FALSE,"BBC";#N/A,#N/A,FALSE,"Sch A";#N/A,#N/A,FALSE,"Sch B";#N/A,#N/A,FALSE,"Ineligible"}</definedName>
    <definedName name="wrn.Daily._.Sales." localSheetId="10" hidden="1">{#N/A,#N/A,FALSE,"Report NJ"}</definedName>
    <definedName name="wrn.Daily._.Sales." hidden="1">{#N/A,#N/A,FALSE,"Report NJ"}</definedName>
    <definedName name="wrn.data." localSheetId="10"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_.letters." localSheetId="10"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localSheetId="15"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Worksheet." localSheetId="10" hidden="1">{"Data Worksheet",#N/A,FALSE,"CAREY97"}</definedName>
    <definedName name="wrn.Data._.Worksheet." hidden="1">{"Data Worksheet",#N/A,FALSE,"CAREY97"}</definedName>
    <definedName name="wrn.DCF." localSheetId="10" hidden="1">{"DCF1",#N/A,FALSE,"SIERRA DCF";"MATRIX1",#N/A,FALSE,"SIERRA DCF"}</definedName>
    <definedName name="wrn.DCF." localSheetId="15" hidden="1">{"DCF1",#N/A,FALSE,"SIERRA DCF";"MATRIX1",#N/A,FALSE,"SIERRA DCF"}</definedName>
    <definedName name="wrn.DCF." hidden="1">{"DCF1",#N/A,FALSE,"SIERRA DCF";"MATRIX1",#N/A,FALSE,"SIERRA DCF"}</definedName>
    <definedName name="wrn.DCF._.Only." localSheetId="10" hidden="1">{#N/A,#N/A,FALSE,"DCF Summary";#N/A,#N/A,FALSE,"Casema";#N/A,#N/A,FALSE,"Casema NoTel";#N/A,#N/A,FALSE,"UK";#N/A,#N/A,FALSE,"RCF";#N/A,#N/A,FALSE,"Intercable CZ";#N/A,#N/A,FALSE,"Interkabel P"}</definedName>
    <definedName name="wrn.DCF._.Only." localSheetId="15"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10" hidden="1">{"value box",#N/A,TRUE,"DPL Inc. Fin Statements";"unlevered free cash flows",#N/A,TRUE,"DPL Inc. Fin Statements"}</definedName>
    <definedName name="wrn.DCF._.Valuation." localSheetId="15"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_1" localSheetId="10" hidden="1">{"value box",#N/A,TRUE,"DPL Inc. Fin Statements";"unlevered free cash flows",#N/A,TRUE,"DPL Inc. Fin Statements"}</definedName>
    <definedName name="wrn.DCF._.Valuation._1" hidden="1">{"value box",#N/A,TRUE,"DPL Inc. Fin Statements";"unlevered free cash flows",#N/A,TRUE,"DPL Inc. Fin Statements"}</definedName>
    <definedName name="wrn.DCF._.Valuation._2" localSheetId="10" hidden="1">{"value box",#N/A,TRUE,"DPL Inc. Fin Statements";"unlevered free cash flows",#N/A,TRUE,"DPL Inc. Fin Statements"}</definedName>
    <definedName name="wrn.DCF._.Valuation._2" hidden="1">{"value box",#N/A,TRUE,"DPL Inc. Fin Statements";"unlevered free cash flows",#N/A,TRUE,"DPL Inc. Fin Statements"}</definedName>
    <definedName name="wrn.DCF._.Valuation._3" localSheetId="10" hidden="1">{"value box",#N/A,TRUE,"DPL Inc. Fin Statements";"unlevered free cash flows",#N/A,TRUE,"DPL Inc. Fin Statements"}</definedName>
    <definedName name="wrn.DCF._.Valuation._3" hidden="1">{"value box",#N/A,TRUE,"DPL Inc. Fin Statements";"unlevered free cash flows",#N/A,TRUE,"DPL Inc. Fin Statements"}</definedName>
    <definedName name="wrn.DCF._.Valuation._4" localSheetId="10" hidden="1">{"value box",#N/A,TRUE,"DPL Inc. Fin Statements";"unlevered free cash flows",#N/A,TRUE,"DPL Inc. Fin Statements"}</definedName>
    <definedName name="wrn.DCF._.Valuation._4" hidden="1">{"value box",#N/A,TRUE,"DPL Inc. Fin Statements";"unlevered free cash flows",#N/A,TRUE,"DPL Inc. Fin Statements"}</definedName>
    <definedName name="wrn.DCF._.Valuation._5" localSheetId="10" hidden="1">{"value box",#N/A,TRUE,"DPL Inc. Fin Statements";"unlevered free cash flows",#N/A,TRUE,"DPL Inc. Fin Statements"}</definedName>
    <definedName name="wrn.DCF._.Valuation._5" hidden="1">{"value box",#N/A,TRUE,"DPL Inc. Fin Statements";"unlevered free cash flows",#N/A,TRUE,"DPL Inc. Fin Statements"}</definedName>
    <definedName name="wrn.DCF._1" localSheetId="10" hidden="1">{"DCF1",#N/A,FALSE,"SIERRA DCF";"MATRIX1",#N/A,FALSE,"SIERRA DCF"}</definedName>
    <definedName name="wrn.DCF._1" hidden="1">{"DCF1",#N/A,FALSE,"SIERRA DCF";"MATRIX1",#N/A,FALSE,"SIERRA DCF"}</definedName>
    <definedName name="wrn.DCF._from_DBAB" localSheetId="10" hidden="1">{"DCF1",#N/A,FALSE,"SIERRA DCF";"MATRIX1",#N/A,FALSE,"SIERRA DCF"}</definedName>
    <definedName name="wrn.DCF._from_DBAB" localSheetId="15" hidden="1">{"DCF1",#N/A,FALSE,"SIERRA DCF";"MATRIX1",#N/A,FALSE,"SIERRA DCF"}</definedName>
    <definedName name="wrn.DCF._from_DBAB" hidden="1">{"DCF1",#N/A,FALSE,"SIERRA DCF";"MATRIX1",#N/A,FALSE,"SIERRA DCF"}</definedName>
    <definedName name="wrn.DCF._from_DBAB_1" localSheetId="10" hidden="1">{"DCF1",#N/A,FALSE,"SIERRA DCF";"MATRIX1",#N/A,FALSE,"SIERRA DCF"}</definedName>
    <definedName name="wrn.DCF._from_DBAB_1" localSheetId="15" hidden="1">{"DCF1",#N/A,FALSE,"SIERRA DCF";"MATRIX1",#N/A,FALSE,"SIERRA DCF"}</definedName>
    <definedName name="wrn.DCF._from_DBAB_1" hidden="1">{"DCF1",#N/A,FALSE,"SIERRA DCF";"MATRIX1",#N/A,FALSE,"SIERRA DCF"}</definedName>
    <definedName name="wrn.DCF._from_DBAB_1_1" localSheetId="10" hidden="1">{"DCF1",#N/A,FALSE,"SIERRA DCF";"MATRIX1",#N/A,FALSE,"SIERRA DCF"}</definedName>
    <definedName name="wrn.DCF._from_DBAB_1_1" localSheetId="15" hidden="1">{"DCF1",#N/A,FALSE,"SIERRA DCF";"MATRIX1",#N/A,FALSE,"SIERRA DCF"}</definedName>
    <definedName name="wrn.DCF._from_DBAB_1_1" hidden="1">{"DCF1",#N/A,FALSE,"SIERRA DCF";"MATRIX1",#N/A,FALSE,"SIERRA DCF"}</definedName>
    <definedName name="wrn.DCF._from_DBAB_1_1_1" localSheetId="10" hidden="1">{"DCF1",#N/A,FALSE,"SIERRA DCF";"MATRIX1",#N/A,FALSE,"SIERRA DCF"}</definedName>
    <definedName name="wrn.DCF._from_DBAB_1_1_1" localSheetId="15" hidden="1">{"DCF1",#N/A,FALSE,"SIERRA DCF";"MATRIX1",#N/A,FALSE,"SIERRA DCF"}</definedName>
    <definedName name="wrn.DCF._from_DBAB_1_1_1" hidden="1">{"DCF1",#N/A,FALSE,"SIERRA DCF";"MATRIX1",#N/A,FALSE,"SIERRA DCF"}</definedName>
    <definedName name="wrn.DCF._from_DBAB_1_2" localSheetId="10" hidden="1">{"DCF1",#N/A,FALSE,"SIERRA DCF";"MATRIX1",#N/A,FALSE,"SIERRA DCF"}</definedName>
    <definedName name="wrn.DCF._from_DBAB_1_2" localSheetId="15" hidden="1">{"DCF1",#N/A,FALSE,"SIERRA DCF";"MATRIX1",#N/A,FALSE,"SIERRA DCF"}</definedName>
    <definedName name="wrn.DCF._from_DBAB_1_2" hidden="1">{"DCF1",#N/A,FALSE,"SIERRA DCF";"MATRIX1",#N/A,FALSE,"SIERRA DCF"}</definedName>
    <definedName name="wrn.DCF._from_DBAB_2" localSheetId="10" hidden="1">{"DCF1",#N/A,FALSE,"SIERRA DCF";"MATRIX1",#N/A,FALSE,"SIERRA DCF"}</definedName>
    <definedName name="wrn.DCF._from_DBAB_2" localSheetId="15" hidden="1">{"DCF1",#N/A,FALSE,"SIERRA DCF";"MATRIX1",#N/A,FALSE,"SIERRA DCF"}</definedName>
    <definedName name="wrn.DCF._from_DBAB_2" hidden="1">{"DCF1",#N/A,FALSE,"SIERRA DCF";"MATRIX1",#N/A,FALSE,"SIERRA DCF"}</definedName>
    <definedName name="wrn.DCF._from_DBAB_3" localSheetId="10" hidden="1">{"DCF1",#N/A,FALSE,"SIERRA DCF";"MATRIX1",#N/A,FALSE,"SIERRA DCF"}</definedName>
    <definedName name="wrn.DCF._from_DBAB_3" localSheetId="15" hidden="1">{"DCF1",#N/A,FALSE,"SIERRA DCF";"MATRIX1",#N/A,FALSE,"SIERRA DCF"}</definedName>
    <definedName name="wrn.DCF._from_DBAB_3" hidden="1">{"DCF1",#N/A,FALSE,"SIERRA DCF";"MATRIX1",#N/A,FALSE,"SIERRA DCF"}</definedName>
    <definedName name="wrn.DCF._from_DBAB_4" localSheetId="10" hidden="1">{"DCF1",#N/A,FALSE,"SIERRA DCF";"MATRIX1",#N/A,FALSE,"SIERRA DCF"}</definedName>
    <definedName name="wrn.DCF._from_DBAB_4" localSheetId="15" hidden="1">{"DCF1",#N/A,FALSE,"SIERRA DCF";"MATRIX1",#N/A,FALSE,"SIERRA DCF"}</definedName>
    <definedName name="wrn.DCF._from_DBAB_4" hidden="1">{"DCF1",#N/A,FALSE,"SIERRA DCF";"MATRIX1",#N/A,FALSE,"SIERRA DCF"}</definedName>
    <definedName name="wrn.DCF._from_DBAB_5" localSheetId="10" hidden="1">{"DCF1",#N/A,FALSE,"SIERRA DCF";"MATRIX1",#N/A,FALSE,"SIERRA DCF"}</definedName>
    <definedName name="wrn.DCF._from_DBAB_5" localSheetId="15" hidden="1">{"DCF1",#N/A,FALSE,"SIERRA DCF";"MATRIX1",#N/A,FALSE,"SIERRA DCF"}</definedName>
    <definedName name="wrn.DCF._from_DBAB_5" hidden="1">{"DCF1",#N/A,FALSE,"SIERRA DCF";"MATRIX1",#N/A,FALSE,"SIERRA DCF"}</definedName>
    <definedName name="wrn.DCF_Terminal_Value_qchm." localSheetId="10" hidden="1">{"qchm_dcf",#N/A,FALSE,"QCHMDCF2";"qchm_terminal",#N/A,FALSE,"QCHMDCF2"}</definedName>
    <definedName name="wrn.DCF_Terminal_Value_qchm." localSheetId="15" hidden="1">{"qchm_dcf",#N/A,FALSE,"QCHMDCF2";"qchm_terminal",#N/A,FALSE,"QCHMDCF2"}</definedName>
    <definedName name="wrn.DCF_Terminal_Value_qchm." hidden="1">{"qchm_dcf",#N/A,FALSE,"QCHMDCF2";"qchm_terminal",#N/A,FALSE,"QCHMDCF2"}</definedName>
    <definedName name="wrn.DCF_Terminal_Value_qchm._1" localSheetId="10" hidden="1">{"qchm_dcf",#N/A,FALSE,"QCHMDCF2";"qchm_terminal",#N/A,FALSE,"QCHMDCF2"}</definedName>
    <definedName name="wrn.DCF_Terminal_Value_qchm._1" hidden="1">{"qchm_dcf",#N/A,FALSE,"QCHMDCF2";"qchm_terminal",#N/A,FALSE,"QCHMDCF2"}</definedName>
    <definedName name="wrn.DCF_Terminal_Value_qchm._from_DBAB" localSheetId="10" hidden="1">{"qchm_dcf",#N/A,FALSE,"QCHMDCF2";"qchm_terminal",#N/A,FALSE,"QCHMDCF2"}</definedName>
    <definedName name="wrn.DCF_Terminal_Value_qchm._from_DBAB" localSheetId="15" hidden="1">{"qchm_dcf",#N/A,FALSE,"QCHMDCF2";"qchm_terminal",#N/A,FALSE,"QCHMDCF2"}</definedName>
    <definedName name="wrn.DCF_Terminal_Value_qchm._from_DBAB" hidden="1">{"qchm_dcf",#N/A,FALSE,"QCHMDCF2";"qchm_terminal",#N/A,FALSE,"QCHMDCF2"}</definedName>
    <definedName name="wrn.DCF_Terminal_Value_qchm._from_DBAB_1" localSheetId="10" hidden="1">{"qchm_dcf",#N/A,FALSE,"QCHMDCF2";"qchm_terminal",#N/A,FALSE,"QCHMDCF2"}</definedName>
    <definedName name="wrn.DCF_Terminal_Value_qchm._from_DBAB_1" localSheetId="15" hidden="1">{"qchm_dcf",#N/A,FALSE,"QCHMDCF2";"qchm_terminal",#N/A,FALSE,"QCHMDCF2"}</definedName>
    <definedName name="wrn.DCF_Terminal_Value_qchm._from_DBAB_1" hidden="1">{"qchm_dcf",#N/A,FALSE,"QCHMDCF2";"qchm_terminal",#N/A,FALSE,"QCHMDCF2"}</definedName>
    <definedName name="wrn.DCF_Terminal_Value_qchm._from_DBAB_1_1" localSheetId="10" hidden="1">{"qchm_dcf",#N/A,FALSE,"QCHMDCF2";"qchm_terminal",#N/A,FALSE,"QCHMDCF2"}</definedName>
    <definedName name="wrn.DCF_Terminal_Value_qchm._from_DBAB_1_1" localSheetId="15" hidden="1">{"qchm_dcf",#N/A,FALSE,"QCHMDCF2";"qchm_terminal",#N/A,FALSE,"QCHMDCF2"}</definedName>
    <definedName name="wrn.DCF_Terminal_Value_qchm._from_DBAB_1_1" hidden="1">{"qchm_dcf",#N/A,FALSE,"QCHMDCF2";"qchm_terminal",#N/A,FALSE,"QCHMDCF2"}</definedName>
    <definedName name="wrn.DCF_Terminal_Value_qchm._from_DBAB_1_1_1" localSheetId="10" hidden="1">{"qchm_dcf",#N/A,FALSE,"QCHMDCF2";"qchm_terminal",#N/A,FALSE,"QCHMDCF2"}</definedName>
    <definedName name="wrn.DCF_Terminal_Value_qchm._from_DBAB_1_1_1" localSheetId="15" hidden="1">{"qchm_dcf",#N/A,FALSE,"QCHMDCF2";"qchm_terminal",#N/A,FALSE,"QCHMDCF2"}</definedName>
    <definedName name="wrn.DCF_Terminal_Value_qchm._from_DBAB_1_1_1" hidden="1">{"qchm_dcf",#N/A,FALSE,"QCHMDCF2";"qchm_terminal",#N/A,FALSE,"QCHMDCF2"}</definedName>
    <definedName name="wrn.DCF_Terminal_Value_qchm._from_DBAB_1_2" localSheetId="10" hidden="1">{"qchm_dcf",#N/A,FALSE,"QCHMDCF2";"qchm_terminal",#N/A,FALSE,"QCHMDCF2"}</definedName>
    <definedName name="wrn.DCF_Terminal_Value_qchm._from_DBAB_1_2" localSheetId="15" hidden="1">{"qchm_dcf",#N/A,FALSE,"QCHMDCF2";"qchm_terminal",#N/A,FALSE,"QCHMDCF2"}</definedName>
    <definedName name="wrn.DCF_Terminal_Value_qchm._from_DBAB_1_2" hidden="1">{"qchm_dcf",#N/A,FALSE,"QCHMDCF2";"qchm_terminal",#N/A,FALSE,"QCHMDCF2"}</definedName>
    <definedName name="wrn.DCF_Terminal_Value_qchm._from_DBAB_2" localSheetId="10" hidden="1">{"qchm_dcf",#N/A,FALSE,"QCHMDCF2";"qchm_terminal",#N/A,FALSE,"QCHMDCF2"}</definedName>
    <definedName name="wrn.DCF_Terminal_Value_qchm._from_DBAB_2" localSheetId="15" hidden="1">{"qchm_dcf",#N/A,FALSE,"QCHMDCF2";"qchm_terminal",#N/A,FALSE,"QCHMDCF2"}</definedName>
    <definedName name="wrn.DCF_Terminal_Value_qchm._from_DBAB_2" hidden="1">{"qchm_dcf",#N/A,FALSE,"QCHMDCF2";"qchm_terminal",#N/A,FALSE,"QCHMDCF2"}</definedName>
    <definedName name="wrn.DCF_Terminal_Value_qchm._from_DBAB_3" localSheetId="10" hidden="1">{"qchm_dcf",#N/A,FALSE,"QCHMDCF2";"qchm_terminal",#N/A,FALSE,"QCHMDCF2"}</definedName>
    <definedName name="wrn.DCF_Terminal_Value_qchm._from_DBAB_3" localSheetId="15" hidden="1">{"qchm_dcf",#N/A,FALSE,"QCHMDCF2";"qchm_terminal",#N/A,FALSE,"QCHMDCF2"}</definedName>
    <definedName name="wrn.DCF_Terminal_Value_qchm._from_DBAB_3" hidden="1">{"qchm_dcf",#N/A,FALSE,"QCHMDCF2";"qchm_terminal",#N/A,FALSE,"QCHMDCF2"}</definedName>
    <definedName name="wrn.DCF_Terminal_Value_qchm._from_DBAB_4" localSheetId="10" hidden="1">{"qchm_dcf",#N/A,FALSE,"QCHMDCF2";"qchm_terminal",#N/A,FALSE,"QCHMDCF2"}</definedName>
    <definedName name="wrn.DCF_Terminal_Value_qchm._from_DBAB_4" localSheetId="15" hidden="1">{"qchm_dcf",#N/A,FALSE,"QCHMDCF2";"qchm_terminal",#N/A,FALSE,"QCHMDCF2"}</definedName>
    <definedName name="wrn.DCF_Terminal_Value_qchm._from_DBAB_4" hidden="1">{"qchm_dcf",#N/A,FALSE,"QCHMDCF2";"qchm_terminal",#N/A,FALSE,"QCHMDCF2"}</definedName>
    <definedName name="wrn.DCF_Terminal_Value_qchm._from_DBAB_5" localSheetId="10" hidden="1">{"qchm_dcf",#N/A,FALSE,"QCHMDCF2";"qchm_terminal",#N/A,FALSE,"QCHMDCF2"}</definedName>
    <definedName name="wrn.DCF_Terminal_Value_qchm._from_DBAB_5" localSheetId="15" hidden="1">{"qchm_dcf",#N/A,FALSE,"QCHMDCF2";"qchm_terminal",#N/A,FALSE,"QCHMDCF2"}</definedName>
    <definedName name="wrn.DCF_Terminal_Value_qchm._from_DBAB_5" hidden="1">{"qchm_dcf",#N/A,FALSE,"QCHMDCF2";"qchm_terminal",#N/A,FALSE,"QCHMDCF2"}</definedName>
    <definedName name="wrn.dcf2" localSheetId="10"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 localSheetId="10" hidden="1">{"BSDEB",#N/A,FALSE,"Jun 98";"ISDEB",#N/A,FALSE,"Jun 98";"CFDEB",#N/A,FALSE,"Jun 98";"WP1DEB",#N/A,FALSE,"Jun 98";"WP2DEB",#N/A,FALSE,"Jun 98";"WP3EB",#N/A,FALSE,"Jun 98";"EQUITYDEB",#N/A,FALSE,"Jun 98"}</definedName>
    <definedName name="wrn.DEB." hidden="1">{"BSDEB",#N/A,FALSE,"Jun 98";"ISDEB",#N/A,FALSE,"Jun 98";"CFDEB",#N/A,FALSE,"Jun 98";"WP1DEB",#N/A,FALSE,"Jun 98";"WP2DEB",#N/A,FALSE,"Jun 98";"WP3EB",#N/A,FALSE,"Jun 98";"EQUITYDEB",#N/A,FALSE,"Jun 98"}</definedName>
    <definedName name="wrn.Debt." localSheetId="10" hidden="1">{"debt summary",#N/A,FALSE,"Debt";"loan details",#N/A,FALSE,"Debt"}</definedName>
    <definedName name="wrn.Debt." hidden="1">{"debt summary",#N/A,FALSE,"Debt";"loan details",#N/A,FALSE,"Debt"}</definedName>
    <definedName name="wrn.Debt._.Schedules." localSheetId="10" hidden="1">{"NP-New Acquisition",#N/A,FALSE,"NOTE PAYMENTS";"NP-Strategic Loan",#N/A,FALSE,"NOTE PAYMENTS";"NP-Tech Loan",#N/A,FALSE,"NOTE PAYMENTS";"NP-Existing Debt",#N/A,FALSE,"NOTE PAYMENTS";"NP-Curr Maturity",#N/A,FALSE,"NOTE PAYMENTS";"NP-Interest Exp",#N/A,FALSE,"NOTE PAYMENTS"}</definedName>
    <definedName name="wrn.Debt._.Schedules." hidden="1">{"NP-New Acquisition",#N/A,FALSE,"NOTE PAYMENTS";"NP-Strategic Loan",#N/A,FALSE,"NOTE PAYMENTS";"NP-Tech Loan",#N/A,FALSE,"NOTE PAYMENTS";"NP-Existing Debt",#N/A,FALSE,"NOTE PAYMENTS";"NP-Curr Maturity",#N/A,FALSE,"NOTE PAYMENTS";"NP-Interest Exp",#N/A,FALSE,"NOTE PAYMENTS"}</definedName>
    <definedName name="wrn.DECEMBER." localSheetId="10"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lchamps." localSheetId="10">{"Operating Data",#N/A,TRUE,"Sheet1";"Valuation Matrix",#N/A,TRUE,"Sheet1";"Sales Analysis",#N/A,TRUE,"Sheet1";"Closed Remodelled New",#N/A,TRUE,"Sheet1";"Competitive and FSP",#N/A,TRUE,"Sheet1";"Working Capital and Capex",#N/A,TRUE,"Sheet1";"depreciation",#N/A,TRUE,"Sheet1"}</definedName>
    <definedName name="wrn.Delchamps.">{"Operating Data",#N/A,TRUE,"Sheet1";"Valuation Matrix",#N/A,TRUE,"Sheet1";"Sales Analysis",#N/A,TRUE,"Sheet1";"Closed Remodelled New",#N/A,TRUE,"Sheet1";"Competitive and FSP",#N/A,TRUE,"Sheet1";"Working Capital and Capex",#N/A,TRUE,"Sheet1";"depreciation",#N/A,TRUE,"Sheet1"}</definedName>
    <definedName name="wrn.Delinc_Comercial." localSheetId="10" hidden="1">{#N/A,#N/A,FALSE,"COVER";#N/A,#N/A,FALSE,"Index";#N/A,#N/A,FALSE,"Non-Earning";#N/A,#N/A,FALSE,"Commercial";#N/A,#N/A,FALSE,"Detailed"}</definedName>
    <definedName name="wrn.Delinc_Comercial." localSheetId="15" hidden="1">{#N/A,#N/A,FALSE,"COVER";#N/A,#N/A,FALSE,"Index";#N/A,#N/A,FALSE,"Non-Earning";#N/A,#N/A,FALSE,"Commercial";#N/A,#N/A,FALSE,"Detailed"}</definedName>
    <definedName name="wrn.Delinc_Comercial." hidden="1">{#N/A,#N/A,FALSE,"COVER";#N/A,#N/A,FALSE,"Index";#N/A,#N/A,FALSE,"Non-Earning";#N/A,#N/A,FALSE,"Commercial";#N/A,#N/A,FALSE,"Detailed"}</definedName>
    <definedName name="wrn.Deltek._.Upload." localSheetId="10">{#N/A,#N/A,FALSE,"Delt Data"}</definedName>
    <definedName name="wrn.Deltek._.Upload.">{#N/A,#N/A,FALSE,"Delt Data"}</definedName>
    <definedName name="wrn.DEN._.PROFIT._.and._.LOSS." localSheetId="10" hidden="1">{#N/A,#N/A,FALSE,"DENP&amp;L97";#N/A,#N/A,FALSE,"DENP&amp;L97"}</definedName>
    <definedName name="wrn.DEN._.PROFIT._.and._.LOSS." hidden="1">{#N/A,#N/A,FALSE,"DENP&amp;L97";#N/A,#N/A,FALSE,"DENP&amp;L97"}</definedName>
    <definedName name="wrn.DEPARTMENTS." localSheetId="10"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localSheetId="15"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localSheetId="10" hidden="1">{"depmatrix",#N/A,FALSE,"DECATUR-DIMMIT"}</definedName>
    <definedName name="wrn.depmatrix." hidden="1">{"depmatrix",#N/A,FALSE,"DECATUR-DIMMIT"}</definedName>
    <definedName name="wrn.depmatrix._1" localSheetId="10" hidden="1">{"depmatrix",#N/A,FALSE,"DECATUR-DIMMIT"}</definedName>
    <definedName name="wrn.depmatrix._1" hidden="1">{"depmatrix",#N/A,FALSE,"DECATUR-DIMMIT"}</definedName>
    <definedName name="wrn.DEPT_ACTUALSvBUDGET." localSheetId="10" hidden="1">{#N/A,#N/A,FALSE,"115";#N/A,#N/A,FALSE,"120";#N/A,#N/A,FALSE,"130";#N/A,#N/A,FALSE,"150";#N/A,#N/A,FALSE,"165";#N/A,#N/A,FALSE,"280";#N/A,#N/A,FALSE,"520";#N/A,#N/A,FALSE,"810";#N/A,#N/A,FALSE,"830";#N/A,#N/A,FALSE,"910"}</definedName>
    <definedName name="wrn.DEPT_ACTUALSvBUDGET." localSheetId="15" hidden="1">{#N/A,#N/A,FALSE,"115";#N/A,#N/A,FALSE,"120";#N/A,#N/A,FALSE,"130";#N/A,#N/A,FALSE,"150";#N/A,#N/A,FALSE,"165";#N/A,#N/A,FALSE,"280";#N/A,#N/A,FALSE,"520";#N/A,#N/A,FALSE,"810";#N/A,#N/A,FALSE,"830";#N/A,#N/A,FALSE,"910"}</definedName>
    <definedName name="wrn.DEPT_ACTUALSvBUDGET." hidden="1">{#N/A,#N/A,FALSE,"115";#N/A,#N/A,FALSE,"120";#N/A,#N/A,FALSE,"130";#N/A,#N/A,FALSE,"150";#N/A,#N/A,FALSE,"165";#N/A,#N/A,FALSE,"280";#N/A,#N/A,FALSE,"520";#N/A,#N/A,FALSE,"810";#N/A,#N/A,FALSE,"830";#N/A,#N/A,FALSE,"910"}</definedName>
    <definedName name="wrn.Derek." localSheetId="10">{#N/A,#N/A,FALSE,"Transaction_Sum_debt_Stats";#N/A,#N/A,FALSE,"Earnings Impact";#N/A,#N/A,FALSE,"Sensitivity Table"}</definedName>
    <definedName name="wrn.Derek.">{#N/A,#N/A,FALSE,"Transaction_Sum_debt_Stats";#N/A,#N/A,FALSE,"Earnings Impact";#N/A,#N/A,FALSE,"Sensitivity Table"}</definedName>
    <definedName name="wrn.detail." localSheetId="10"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10">{#N/A,#N/A,FALSE,"Detail"}</definedName>
    <definedName name="wrn.Detail._.Balance._.Sheet.">{#N/A,#N/A,FALSE,"Detail"}</definedName>
    <definedName name="wrn.Detail_All." localSheetId="10"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All."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 localSheetId="10">{#N/A,#N/A,FALSE,"Detail YTD"}</definedName>
    <definedName name="wrn.Detail_Projection.">{#N/A,#N/A,FALSE,"Detail YTD"}</definedName>
    <definedName name="wrn.Detailed._.P._.and._.L." localSheetId="10" hidden="1">{"P and L Detail Page 1",#N/A,FALSE,"Data";"P and L Detail Page 2",#N/A,FALSE,"Data"}</definedName>
    <definedName name="wrn.Detailed._.P._.and._.L." localSheetId="15" hidden="1">{"P and L Detail Page 1",#N/A,FALSE,"Data";"P and L Detail Page 2",#N/A,FALSE,"Data"}</definedName>
    <definedName name="wrn.Detailed._.P._.and._.L." hidden="1">{"P and L Detail Page 1",#N/A,FALSE,"Data";"P and L Detail Page 2",#N/A,FALSE,"Data"}</definedName>
    <definedName name="wrn.Detailed._.Profit._.and._.Loss." localSheetId="10" hidden="1">{#N/A,#N/A,FALSE,"P&amp;L CONSOLIDATED";#N/A,#N/A,FALSE,"Cyperus";#N/A,#N/A,FALSE,"ANP";#N/A,#N/A,FALSE,"PRNE CORE"}</definedName>
    <definedName name="wrn.Detailed._.Profit._.and._.Loss." hidden="1">{#N/A,#N/A,FALSE,"P&amp;L CONSOLIDATED";#N/A,#N/A,FALSE,"Cyperus";#N/A,#N/A,FALSE,"ANP";#N/A,#N/A,FALSE,"PRNE CORE"}</definedName>
    <definedName name="wrn.Details." localSheetId="10" hidden="1">{#N/A,#N/A,TRUE,"Assumptions";"Input short",#N/A,TRUE,"Input";#N/A,#N/A,TRUE,"FC vs Act";"CapEx-Qu",#N/A,TRUE,"CapEx";#N/A,#N/A,TRUE,"HC Detail";"HCcalc-Qu",#N/A,TRUE,"HC calculation";#N/A,#N/A,TRUE,"Project Details";#N/A,#N/A,TRUE,"P&amp;L Qu with Actuals";#N/A,#N/A,TRUE,"FCashflow";#N/A,#N/A,TRUE,"BS Qu"}</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tails._1" localSheetId="10" hidden="1">{#N/A,#N/A,TRUE,"Assumptions";"Input short",#N/A,TRUE,"Input";#N/A,#N/A,TRUE,"FC vs Act";"CapEx-Qu",#N/A,TRUE,"CapEx";#N/A,#N/A,TRUE,"HC Detail";"HCcalc-Qu",#N/A,TRUE,"HC calculation";#N/A,#N/A,TRUE,"Project Details";#N/A,#N/A,TRUE,"P&amp;L Qu with Actuals";#N/A,#N/A,TRUE,"FCashflow";#N/A,#N/A,TRUE,"BS Qu"}</definedName>
    <definedName name="wrn.Details._1" hidden="1">{#N/A,#N/A,TRUE,"Assumptions";"Input short",#N/A,TRUE,"Input";#N/A,#N/A,TRUE,"FC vs Act";"CapEx-Qu",#N/A,TRUE,"CapEx";#N/A,#N/A,TRUE,"HC Detail";"HCcalc-Qu",#N/A,TRUE,"HC calculation";#N/A,#N/A,TRUE,"Project Details";#N/A,#N/A,TRUE,"P&amp;L Qu with Actuals";#N/A,#N/A,TRUE,"FCashflow";#N/A,#N/A,TRUE,"BS Qu"}</definedName>
    <definedName name="wrn.Details._2" localSheetId="10" hidden="1">{#N/A,#N/A,TRUE,"Assumptions";"Input short",#N/A,TRUE,"Input";#N/A,#N/A,TRUE,"FC vs Act";"CapEx-Qu",#N/A,TRUE,"CapEx";#N/A,#N/A,TRUE,"HC Detail";"HCcalc-Qu",#N/A,TRUE,"HC calculation";#N/A,#N/A,TRUE,"Project Details";#N/A,#N/A,TRUE,"P&amp;L Qu with Actuals";#N/A,#N/A,TRUE,"FCashflow";#N/A,#N/A,TRUE,"BS Qu"}</definedName>
    <definedName name="wrn.Details._2" hidden="1">{#N/A,#N/A,TRUE,"Assumptions";"Input short",#N/A,TRUE,"Input";#N/A,#N/A,TRUE,"FC vs Act";"CapEx-Qu",#N/A,TRUE,"CapEx";#N/A,#N/A,TRUE,"HC Detail";"HCcalc-Qu",#N/A,TRUE,"HC calculation";#N/A,#N/A,TRUE,"Project Details";#N/A,#N/A,TRUE,"P&amp;L Qu with Actuals";#N/A,#N/A,TRUE,"FCashflow";#N/A,#N/A,TRUE,"BS Qu"}</definedName>
    <definedName name="wrn.Details._3" localSheetId="10" hidden="1">{#N/A,#N/A,TRUE,"Assumptions";"Input short",#N/A,TRUE,"Input";#N/A,#N/A,TRUE,"FC vs Act";"CapEx-Qu",#N/A,TRUE,"CapEx";#N/A,#N/A,TRUE,"HC Detail";"HCcalc-Qu",#N/A,TRUE,"HC calculation";#N/A,#N/A,TRUE,"Project Details";#N/A,#N/A,TRUE,"P&amp;L Qu with Actuals";#N/A,#N/A,TRUE,"FCashflow";#N/A,#N/A,TRUE,"BS Qu"}</definedName>
    <definedName name="wrn.Details._3" hidden="1">{#N/A,#N/A,TRUE,"Assumptions";"Input short",#N/A,TRUE,"Input";#N/A,#N/A,TRUE,"FC vs Act";"CapEx-Qu",#N/A,TRUE,"CapEx";#N/A,#N/A,TRUE,"HC Detail";"HCcalc-Qu",#N/A,TRUE,"HC calculation";#N/A,#N/A,TRUE,"Project Details";#N/A,#N/A,TRUE,"P&amp;L Qu with Actuals";#N/A,#N/A,TRUE,"FCashflow";#N/A,#N/A,TRUE,"BS Qu"}</definedName>
    <definedName name="wrn.Details._4" localSheetId="10" hidden="1">{#N/A,#N/A,TRUE,"Assumptions";"Input short",#N/A,TRUE,"Input";#N/A,#N/A,TRUE,"FC vs Act";"CapEx-Qu",#N/A,TRUE,"CapEx";#N/A,#N/A,TRUE,"HC Detail";"HCcalc-Qu",#N/A,TRUE,"HC calculation";#N/A,#N/A,TRUE,"Project Details";#N/A,#N/A,TRUE,"P&amp;L Qu with Actuals";#N/A,#N/A,TRUE,"FCashflow";#N/A,#N/A,TRUE,"BS Qu"}</definedName>
    <definedName name="wrn.Details._4" hidden="1">{#N/A,#N/A,TRUE,"Assumptions";"Input short",#N/A,TRUE,"Input";#N/A,#N/A,TRUE,"FC vs Act";"CapEx-Qu",#N/A,TRUE,"CapEx";#N/A,#N/A,TRUE,"HC Detail";"HCcalc-Qu",#N/A,TRUE,"HC calculation";#N/A,#N/A,TRUE,"Project Details";#N/A,#N/A,TRUE,"P&amp;L Qu with Actuals";#N/A,#N/A,TRUE,"FCashflow";#N/A,#N/A,TRUE,"BS Qu"}</definedName>
    <definedName name="wrn.Details._5" localSheetId="10" hidden="1">{#N/A,#N/A,TRUE,"Assumptions";"Input short",#N/A,TRUE,"Input";#N/A,#N/A,TRUE,"FC vs Act";"CapEx-Qu",#N/A,TRUE,"CapEx";#N/A,#N/A,TRUE,"HC Detail";"HCcalc-Qu",#N/A,TRUE,"HC calculation";#N/A,#N/A,TRUE,"Project Details";#N/A,#N/A,TRUE,"P&amp;L Qu with Actuals";#N/A,#N/A,TRUE,"FCashflow";#N/A,#N/A,TRUE,"BS Qu"}</definedName>
    <definedName name="wrn.Details._5" hidden="1">{#N/A,#N/A,TRUE,"Assumptions";"Input short",#N/A,TRUE,"Input";#N/A,#N/A,TRUE,"FC vs Act";"CapEx-Qu",#N/A,TRUE,"CapEx";#N/A,#N/A,TRUE,"HC Detail";"HCcalc-Qu",#N/A,TRUE,"HC calculation";#N/A,#N/A,TRUE,"Project Details";#N/A,#N/A,TRUE,"P&amp;L Qu with Actuals";#N/A,#N/A,TRUE,"FCashflow";#N/A,#N/A,TRUE,"BS Qu"}</definedName>
    <definedName name="wrn.devdeal." localSheetId="10">{"top",#N/A,TRUE,"Detail";"next",#N/A,TRUE,"Detail";"then",#N/A,TRUE,"Detail";"and",#N/A,TRUE,"Detail";"inaddition",#N/A,TRUE,"Detail";"finally",#N/A,TRUE,"Detail"}</definedName>
    <definedName name="wrn.devdeal.">{"top",#N/A,TRUE,"Detail";"next",#N/A,TRUE,"Detail";"then",#N/A,TRUE,"Detail";"and",#N/A,TRUE,"Detail";"inaddition",#N/A,TRUE,"Detail";"finally",#N/A,TRUE,"Detail"}</definedName>
    <definedName name="wrn.devdeal._1" localSheetId="10"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deal._1_1" localSheetId="10" hidden="1">{"top",#N/A,TRUE,"Detail";"next",#N/A,TRUE,"Detail";"then",#N/A,TRUE,"Detail";"and",#N/A,TRUE,"Detail";"inaddition",#N/A,TRUE,"Detail";"finally",#N/A,TRUE,"Detail"}</definedName>
    <definedName name="wrn.devdeal._1_1" hidden="1">{"top",#N/A,TRUE,"Detail";"next",#N/A,TRUE,"Detail";"then",#N/A,TRUE,"Detail";"and",#N/A,TRUE,"Detail";"inaddition",#N/A,TRUE,"Detail";"finally",#N/A,TRUE,"Detail"}</definedName>
    <definedName name="wrn.devdeal._2" localSheetId="10" hidden="1">{"top",#N/A,TRUE,"Detail";"next",#N/A,TRUE,"Detail";"then",#N/A,TRUE,"Detail";"and",#N/A,TRUE,"Detail";"inaddition",#N/A,TRUE,"Detail";"finally",#N/A,TRUE,"Detail"}</definedName>
    <definedName name="wrn.devdeal._2" hidden="1">{"top",#N/A,TRUE,"Detail";"next",#N/A,TRUE,"Detail";"then",#N/A,TRUE,"Detail";"and",#N/A,TRUE,"Detail";"inaddition",#N/A,TRUE,"Detail";"finally",#N/A,TRUE,"Detail"}</definedName>
    <definedName name="wrn.Development._.Hours." localSheetId="10" hidden="1">{#N/A,#N/A,FALSE,"July 95";#N/A,#N/A,FALSE,"Aug 95";#N/A,#N/A,FALSE,"Sep 95";#N/A,#N/A,FALSE,"October 95"}</definedName>
    <definedName name="wrn.Development._.Hours." hidden="1">{#N/A,#N/A,FALSE,"July 95";#N/A,#N/A,FALSE,"Aug 95";#N/A,#N/A,FALSE,"Sep 95";#N/A,#N/A,FALSE,"October 95"}</definedName>
    <definedName name="wrn.Development._.Hours._1" localSheetId="10" hidden="1">{#N/A,#N/A,FALSE,"July 95";#N/A,#N/A,FALSE,"Aug 95";#N/A,#N/A,FALSE,"Sep 95";#N/A,#N/A,FALSE,"October 95"}</definedName>
    <definedName name="wrn.Development._.Hours._1" hidden="1">{#N/A,#N/A,FALSE,"July 95";#N/A,#N/A,FALSE,"Aug 95";#N/A,#N/A,FALSE,"Sep 95";#N/A,#N/A,FALSE,"October 95"}</definedName>
    <definedName name="wrn.Dilution." localSheetId="10" hidden="1">{#N/A,#N/A,FALSE,"FY 1997 (NR)";#N/A,#N/A,FALSE,"FY 1998 (NR)";#N/A,#N/A,FALSE,"Balance";#N/A,#N/A,FALSE,"Matrix (NR)"}</definedName>
    <definedName name="wrn.Dilution." hidden="1">{#N/A,#N/A,FALSE,"FY 1997 (NR)";#N/A,#N/A,FALSE,"FY 1998 (NR)";#N/A,#N/A,FALSE,"Balance";#N/A,#N/A,FALSE,"Matrix (NR)"}</definedName>
    <definedName name="wrn.dir." localSheetId="10">{#N/A,#N/A,FALSE,"Dir. Marketing_Summary";#N/A,#N/A,FALSE,"Infolink";#N/A,#N/A,FALSE,"Direct";#N/A,#N/A,FALSE,"Med_Marketing";#N/A,#N/A,FALSE,"Dimac_1";#N/A,#N/A,FALSE,"Dimac_2";#N/A,#N/A,FALSE,"Vantage";#N/A,#N/A,FALSE,"Tomahawk";#N/A,#N/A,FALSE,"BofA";#N/A,#N/A,FALSE,"Epsilon";#N/A,#N/A,FALSE,"Epsilon"}</definedName>
    <definedName name="wrn.dir.">{#N/A,#N/A,FALSE,"Dir. Marketing_Summary";#N/A,#N/A,FALSE,"Infolink";#N/A,#N/A,FALSE,"Direct";#N/A,#N/A,FALSE,"Med_Marketing";#N/A,#N/A,FALSE,"Dimac_1";#N/A,#N/A,FALSE,"Dimac_2";#N/A,#N/A,FALSE,"Vantage";#N/A,#N/A,FALSE,"Tomahawk";#N/A,#N/A,FALSE,"BofA";#N/A,#N/A,FALSE,"Epsilon";#N/A,#N/A,FALSE,"Epsilon"}</definedName>
    <definedName name="wrn.Dividend._.Schedule." localSheetId="10" hidden="1">{"Dividend",#N/A,FALSE,"Cash Flow"}</definedName>
    <definedName name="wrn.Dividend._.Schedule." localSheetId="15" hidden="1">{"Dividend",#N/A,FALSE,"Cash Flow"}</definedName>
    <definedName name="wrn.Dividend._.Schedule." hidden="1">{"Dividend",#N/A,FALSE,"Cash Flow"}</definedName>
    <definedName name="wrn.djall." localSheetId="10" hidden="1">{"djcash",#N/A,FALSE,"DJann";"djinc",#N/A,FALSE,"DJann";"djtaxes",#N/A,FALSE,"DJann";"djbuspub",#N/A,FALSE,"DJann";"djwall",#N/A,FALSE,"DJann";"djcompprs",#N/A,FALSE,"DJann";"djteler",#N/A,FALSE,"DJann"}</definedName>
    <definedName name="wrn.djall." localSheetId="15"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C." localSheetId="10" hidden="1">{#N/A,#N/A,FALSE,"Sign";#N/A,#N/A,FALSE,"Assets";#N/A,#N/A,FALSE,"Liab";#N/A,#N/A,FALSE,"Inc";#N/A,#N/A,FALSE,"Inc-Over";#N/A,#N/A,FALSE,"Equity";#N/A,#N/A,FALSE,"Cash";#N/A,#N/A,FALSE,"Cash-Over";#N/A,#N/A,FALSE,"Rep#4";#N/A,#N/A,FALSE,"TNE";#N/A,#N/A,FALSE,"III1";#N/A,#N/A,FALSE,"III2";#N/A,#N/A,FALSE,"III3"}</definedName>
    <definedName name="wrn.DOC." hidden="1">{#N/A,#N/A,FALSE,"Sign";#N/A,#N/A,FALSE,"Assets";#N/A,#N/A,FALSE,"Liab";#N/A,#N/A,FALSE,"Inc";#N/A,#N/A,FALSE,"Inc-Over";#N/A,#N/A,FALSE,"Equity";#N/A,#N/A,FALSE,"Cash";#N/A,#N/A,FALSE,"Cash-Over";#N/A,#N/A,FALSE,"Rep#4";#N/A,#N/A,FALSE,"TNE";#N/A,#N/A,FALSE,"III1";#N/A,#N/A,FALSE,"III2";#N/A,#N/A,FALSE,"III3"}</definedName>
    <definedName name="wrn.document." localSheetId="10" hidden="1">{"consolidated",#N/A,FALSE,"Sheet1";"cms",#N/A,FALSE,"Sheet1";"fse",#N/A,FALSE,"Sheet1"}</definedName>
    <definedName name="wrn.document." localSheetId="15" hidden="1">{"consolidated",#N/A,FALSE,"Sheet1";"cms",#N/A,FALSE,"Sheet1";"fse",#N/A,FALSE,"Sheet1"}</definedName>
    <definedName name="wrn.document." hidden="1">{"consolidated",#N/A,FALSE,"Sheet1";"cms",#N/A,FALSE,"Sheet1";"fse",#N/A,FALSE,"Sheet1"}</definedName>
    <definedName name="wrn.documentation." localSheetId="10" hidden="1">{"document1",#N/A,FALSE,"Documentation";"document2",#N/A,FALSE,"Documentation"}</definedName>
    <definedName name="wrn.documentation." hidden="1">{"document1",#N/A,FALSE,"Documentation";"document2",#N/A,FALSE,"Documentation"}</definedName>
    <definedName name="wrn.Dom." localSheetId="10" hidden="1">{"Dom_qty",#N/A,FALSE,"Domestic";"Dom_sell",#N/A,FALSE,"Domestic";"Dom_misc",#N/A,FALSE,"Domestic"}</definedName>
    <definedName name="wrn.Dom." hidden="1">{"Dom_qty",#N/A,FALSE,"Domestic";"Dom_sell",#N/A,FALSE,"Domestic";"Dom_misc",#N/A,FALSE,"Domestic"}</definedName>
    <definedName name="wrn.Draft." localSheetId="10" hidden="1">{"Draft",#N/A,FALSE,"Feb-96"}</definedName>
    <definedName name="wrn.Draft." localSheetId="15" hidden="1">{"Draft",#N/A,FALSE,"Feb-96"}</definedName>
    <definedName name="wrn.Draft." hidden="1">{"Draft",#N/A,FALSE,"Feb-96"}</definedName>
    <definedName name="wrn.Druck._.Monatsreporting." localSheetId="10" hidden="1">{#N/A,#N/A,TRUE,"0 Deckbl.";#N/A,#N/A,TRUE,"S 1 Komm";#N/A,#N/A,TRUE,"S 1a Komm";#N/A,#N/A,TRUE,"S 1b Komm";#N/A,#N/A,TRUE,"S  2 DBR";#N/A,#N/A,TRUE,"S  3 Sparten";#N/A,#N/A,TRUE,"S 4  Betr. K.";#N/A,#N/A,TRUE,"6 Bilanz";#N/A,#N/A,TRUE,"6a Bilanz ";#N/A,#N/A,TRUE,"6b Bilanz ";#N/A,#N/A,TRUE,"7 GS I";#N/A,#N/A,TRUE,"S 8 EQ-GuV"}</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en._.H.C.._.Starck." localSheetId="10"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ubud." localSheetId="10" hidden="1">{#N/A,#N/A,TRUE,"EauIS";#N/A,#N/A,TRUE,"Eausales";#N/A,#N/A,TRUE,"Eauvar";#N/A,#N/A,TRUE,"eaufix"}</definedName>
    <definedName name="wrn.eaubud." localSheetId="15" hidden="1">{#N/A,#N/A,TRUE,"EauIS";#N/A,#N/A,TRUE,"Eausales";#N/A,#N/A,TRUE,"Eauvar";#N/A,#N/A,TRUE,"eaufix"}</definedName>
    <definedName name="wrn.eaubud." hidden="1">{#N/A,#N/A,TRUE,"EauIS";#N/A,#N/A,TRUE,"Eausales";#N/A,#N/A,TRUE,"Eauvar";#N/A,#N/A,TRUE,"eaufix"}</definedName>
    <definedName name="wrn.Economic._.Value._.Added._.Analysis." localSheetId="10" hidden="1">{"EVA",#N/A,FALSE,"EVA";"WACC",#N/A,FALSE,"WACC"}</definedName>
    <definedName name="wrn.Economic._.Value._.Added._.Analysis." localSheetId="15" hidden="1">{"EVA",#N/A,FALSE,"EVA";"WACC",#N/A,FALSE,"WACC"}</definedName>
    <definedName name="wrn.Economic._.Value._.Added._.Analysis." hidden="1">{"EVA",#N/A,FALSE,"EVA";"WACC",#N/A,FALSE,"WACC"}</definedName>
    <definedName name="wrn.Economic._.Value._.Added._.Analysis._1" localSheetId="10" hidden="1">{"EVA",#N/A,FALSE,"EVA";"WACC",#N/A,FALSE,"WACC"}</definedName>
    <definedName name="wrn.Economic._.Value._.Added._.Analysis._1" hidden="1">{"EVA",#N/A,FALSE,"EVA";"WACC",#N/A,FALSE,"WACC"}</definedName>
    <definedName name="wrn.Economic._.Value._.Added._.Analysis._from_DBAB" localSheetId="10" hidden="1">{"EVA",#N/A,FALSE,"EVA";"WACC",#N/A,FALSE,"WACC"}</definedName>
    <definedName name="wrn.Economic._.Value._.Added._.Analysis._from_DBAB" localSheetId="15" hidden="1">{"EVA",#N/A,FALSE,"EVA";"WACC",#N/A,FALSE,"WACC"}</definedName>
    <definedName name="wrn.Economic._.Value._.Added._.Analysis._from_DBAB" hidden="1">{"EVA",#N/A,FALSE,"EVA";"WACC",#N/A,FALSE,"WACC"}</definedName>
    <definedName name="wrn.Economic._.Value._.Added._.Analysis._from_DBAB_1" localSheetId="10" hidden="1">{"EVA",#N/A,FALSE,"EVA";"WACC",#N/A,FALSE,"WACC"}</definedName>
    <definedName name="wrn.Economic._.Value._.Added._.Analysis._from_DBAB_1" localSheetId="15" hidden="1">{"EVA",#N/A,FALSE,"EVA";"WACC",#N/A,FALSE,"WACC"}</definedName>
    <definedName name="wrn.Economic._.Value._.Added._.Analysis._from_DBAB_1" hidden="1">{"EVA",#N/A,FALSE,"EVA";"WACC",#N/A,FALSE,"WACC"}</definedName>
    <definedName name="wrn.Economic._.Value._.Added._.Analysis._from_DBAB_1_1" localSheetId="10" hidden="1">{"EVA",#N/A,FALSE,"EVA";"WACC",#N/A,FALSE,"WACC"}</definedName>
    <definedName name="wrn.Economic._.Value._.Added._.Analysis._from_DBAB_1_1" localSheetId="15" hidden="1">{"EVA",#N/A,FALSE,"EVA";"WACC",#N/A,FALSE,"WACC"}</definedName>
    <definedName name="wrn.Economic._.Value._.Added._.Analysis._from_DBAB_1_1" hidden="1">{"EVA",#N/A,FALSE,"EVA";"WACC",#N/A,FALSE,"WACC"}</definedName>
    <definedName name="wrn.Economic._.Value._.Added._.Analysis._from_DBAB_1_1_1" localSheetId="10" hidden="1">{"EVA",#N/A,FALSE,"EVA";"WACC",#N/A,FALSE,"WACC"}</definedName>
    <definedName name="wrn.Economic._.Value._.Added._.Analysis._from_DBAB_1_1_1" localSheetId="15" hidden="1">{"EVA",#N/A,FALSE,"EVA";"WACC",#N/A,FALSE,"WACC"}</definedName>
    <definedName name="wrn.Economic._.Value._.Added._.Analysis._from_DBAB_1_1_1" hidden="1">{"EVA",#N/A,FALSE,"EVA";"WACC",#N/A,FALSE,"WACC"}</definedName>
    <definedName name="wrn.Economic._.Value._.Added._.Analysis._from_DBAB_1_2" localSheetId="10" hidden="1">{"EVA",#N/A,FALSE,"EVA";"WACC",#N/A,FALSE,"WACC"}</definedName>
    <definedName name="wrn.Economic._.Value._.Added._.Analysis._from_DBAB_1_2" localSheetId="15" hidden="1">{"EVA",#N/A,FALSE,"EVA";"WACC",#N/A,FALSE,"WACC"}</definedName>
    <definedName name="wrn.Economic._.Value._.Added._.Analysis._from_DBAB_1_2" hidden="1">{"EVA",#N/A,FALSE,"EVA";"WACC",#N/A,FALSE,"WACC"}</definedName>
    <definedName name="wrn.Economic._.Value._.Added._.Analysis._from_DBAB_2" localSheetId="10" hidden="1">{"EVA",#N/A,FALSE,"EVA";"WACC",#N/A,FALSE,"WACC"}</definedName>
    <definedName name="wrn.Economic._.Value._.Added._.Analysis._from_DBAB_2" localSheetId="15" hidden="1">{"EVA",#N/A,FALSE,"EVA";"WACC",#N/A,FALSE,"WACC"}</definedName>
    <definedName name="wrn.Economic._.Value._.Added._.Analysis._from_DBAB_2" hidden="1">{"EVA",#N/A,FALSE,"EVA";"WACC",#N/A,FALSE,"WACC"}</definedName>
    <definedName name="wrn.Economic._.Value._.Added._.Analysis._from_DBAB_3" localSheetId="10" hidden="1">{"EVA",#N/A,FALSE,"EVA";"WACC",#N/A,FALSE,"WACC"}</definedName>
    <definedName name="wrn.Economic._.Value._.Added._.Analysis._from_DBAB_3" localSheetId="15" hidden="1">{"EVA",#N/A,FALSE,"EVA";"WACC",#N/A,FALSE,"WACC"}</definedName>
    <definedName name="wrn.Economic._.Value._.Added._.Analysis._from_DBAB_3" hidden="1">{"EVA",#N/A,FALSE,"EVA";"WACC",#N/A,FALSE,"WACC"}</definedName>
    <definedName name="wrn.Economic._.Value._.Added._.Analysis._from_DBAB_4" localSheetId="10" hidden="1">{"EVA",#N/A,FALSE,"EVA";"WACC",#N/A,FALSE,"WACC"}</definedName>
    <definedName name="wrn.Economic._.Value._.Added._.Analysis._from_DBAB_4" localSheetId="15" hidden="1">{"EVA",#N/A,FALSE,"EVA";"WACC",#N/A,FALSE,"WACC"}</definedName>
    <definedName name="wrn.Economic._.Value._.Added._.Analysis._from_DBAB_4" hidden="1">{"EVA",#N/A,FALSE,"EVA";"WACC",#N/A,FALSE,"WACC"}</definedName>
    <definedName name="wrn.Economic._.Value._.Added._.Analysis._from_DBAB_5" localSheetId="10" hidden="1">{"EVA",#N/A,FALSE,"EVA";"WACC",#N/A,FALSE,"WACC"}</definedName>
    <definedName name="wrn.Economic._.Value._.Added._.Analysis._from_DBAB_5" localSheetId="15" hidden="1">{"EVA",#N/A,FALSE,"EVA";"WACC",#N/A,FALSE,"WACC"}</definedName>
    <definedName name="wrn.Economic._.Value._.Added._.Analysis._from_DBAB_5" hidden="1">{"EVA",#N/A,FALSE,"EVA";"WACC",#N/A,FALSE,"WACC"}</definedName>
    <definedName name="wrn.ecpall." localSheetId="10" hidden="1">{"ecpcash",#N/A,FALSE,"ECPann";"ecpinc",#N/A,FALSE,"ECPann";"ecpindia",#N/A,FALSE,"ECPann";"ecpmun",#N/A,FALSE,"ECPann";"ecpphoenix",#N/A,FALSE,"ECPann";"ecpothe",#N/A,FALSE,"ECPann";"ecpbalsht",#N/A,FALSE,"ECPann"}</definedName>
    <definedName name="wrn.ecpall." localSheetId="15"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dutainment._.Priority._.List." localSheetId="10" hidden="1">{#N/A,#N/A,FALSE,"DI 2 YEAR MASTER SCHEDULE"}</definedName>
    <definedName name="wrn.Edutainment._.Priority._.List." localSheetId="15" hidden="1">{#N/A,#N/A,FALSE,"DI 2 YEAR MASTER SCHEDULE"}</definedName>
    <definedName name="wrn.Edutainment._.Priority._.List." hidden="1">{#N/A,#N/A,FALSE,"DI 2 YEAR MASTER SCHEDULE"}</definedName>
    <definedName name="wrn.EES_BUD_ACT_PY." localSheetId="1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1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1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hmd." localSheetId="10" hidden="1">{#N/A,#N/A,FALSE,"EHMD SK";#N/A,#N/A,FALSE,"EHMD RG"}</definedName>
    <definedName name="wrn.ehmd." hidden="1">{#N/A,#N/A,FALSE,"EHMD SK";#N/A,#N/A,FALSE,"EHMD RG"}</definedName>
    <definedName name="wrn.EI." localSheetId="10" hidden="1">{"EI CONSOLIDATING",#N/A,FALSE,"ei consolidating";"EI",#N/A,FALSE,"consol";"QTR",#N/A,FALSE,"qtr";"ei fx impact",#N/A,FALSE,"consol"}</definedName>
    <definedName name="wrn.EI." hidden="1">{"EI CONSOLIDATING",#N/A,FALSE,"ei consolidating";"EI",#N/A,FALSE,"consol";"QTR",#N/A,FALSE,"qtr";"ei fx impact",#N/A,FALSE,"consol"}</definedName>
    <definedName name="wrn.Entire._.Model." localSheetId="10"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localSheetId="15"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tiesWithReclasses." localSheetId="10"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quipment." localSheetId="10" hidden="1">{"PnL",#N/A,FALSE,"Equip P&amp;L";"Responsibility",#N/A,FALSE,"Equip P&amp;L";"Cost Control",#N/A,FALSE,"Equip P&amp;L"}</definedName>
    <definedName name="wrn.Equipment." hidden="1">{"PnL",#N/A,FALSE,"Equip P&amp;L";"Responsibility",#N/A,FALSE,"Equip P&amp;L";"Cost Control",#N/A,FALSE,"Equip P&amp;L"}</definedName>
    <definedName name="wrn.est25yr." localSheetId="10" hidden="1">{#N/A,#N/A,FALSE,"Est97";#N/A,#N/A,FALSE,"Plan98";#N/A,#N/A,FALSE,"Graphs";#N/A,#N/A,FALSE,"5Yr"}</definedName>
    <definedName name="wrn.est25yr." localSheetId="15" hidden="1">{#N/A,#N/A,FALSE,"Est97";#N/A,#N/A,FALSE,"Plan98";#N/A,#N/A,FALSE,"Graphs";#N/A,#N/A,FALSE,"5Yr"}</definedName>
    <definedName name="wrn.est25yr." hidden="1">{#N/A,#N/A,FALSE,"Est97";#N/A,#N/A,FALSE,"Plan98";#N/A,#N/A,FALSE,"Graphs";#N/A,#N/A,FALSE,"5Yr"}</definedName>
    <definedName name="wrn.ETH." localSheetId="10" hidden="1">{"AnnMarg.",#N/A,FALSE,"ETHAN";"Q",#N/A,FALSE,"Qtrs."}</definedName>
    <definedName name="wrn.ETH." hidden="1">{"AnnMarg.",#N/A,FALSE,"ETHAN";"Q",#N/A,FALSE,"Qtrs."}</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localSheetId="10" hidden="1">{#N/A,#N/A,FALSE,"IS";#N/A,#N/A,FALSE,"BS";#N/A,#N/A,FALSE,"RMA";#N/A,#N/A,FALSE,"INCOME";#N/A,#N/A,FALSE,"DCF";#N/A,#N/A,FALSE,"MARKET"}</definedName>
    <definedName name="wrn.exhibits." localSheetId="15" hidden="1">{#N/A,#N/A,FALSE,"IS";#N/A,#N/A,FALSE,"BS";#N/A,#N/A,FALSE,"RMA";#N/A,#N/A,FALSE,"INCOME";#N/A,#N/A,FALSE,"DCF";#N/A,#N/A,FALSE,"MARKET"}</definedName>
    <definedName name="wrn.exhibits." hidden="1">{#N/A,#N/A,FALSE,"IS";#N/A,#N/A,FALSE,"BS";#N/A,#N/A,FALSE,"RMA";#N/A,#N/A,FALSE,"INCOME";#N/A,#N/A,FALSE,"DCF";#N/A,#N/A,FALSE,"MARKET"}</definedName>
    <definedName name="wrn.exhibits._1" localSheetId="10" hidden="1">{#N/A,#N/A,FALSE,"Base";#N/A,#N/A,FALSE,"TAC";#N/A,#N/A,FALSE,"TDC";#N/A,#N/A,FALSE,"Base (2)";#N/A,#N/A,FALSE,"T-Bonus";#N/A,#N/A,FALSE,"T-Bonus (2)"}</definedName>
    <definedName name="wrn.exhibits._1" localSheetId="15" hidden="1">{#N/A,#N/A,FALSE,"Base";#N/A,#N/A,FALSE,"TAC";#N/A,#N/A,FALSE,"TDC";#N/A,#N/A,FALSE,"Base (2)";#N/A,#N/A,FALSE,"T-Bonus";#N/A,#N/A,FALSE,"T-Bonus (2)"}</definedName>
    <definedName name="wrn.exhibits._1" hidden="1">{#N/A,#N/A,FALSE,"Base";#N/A,#N/A,FALSE,"TAC";#N/A,#N/A,FALSE,"TDC";#N/A,#N/A,FALSE,"Base (2)";#N/A,#N/A,FALSE,"T-Bonus";#N/A,#N/A,FALSE,"T-Bonus (2)"}</definedName>
    <definedName name="wrn.Exp." localSheetId="10" hidden="1">{"Exp_qty",#N/A,FALSE,"Export";"Exp_sell",#N/A,FALSE,"Export";"Exp_misc",#N/A,FALSE,"Export"}</definedName>
    <definedName name="wrn.Exp." hidden="1">{"Exp_qty",#N/A,FALSE,"Export";"Exp_sell",#N/A,FALSE,"Export";"Exp_misc",#N/A,FALSE,"Export"}</definedName>
    <definedName name="wrn.EXP2." localSheetId="10" hidden="1">{#N/A,#N/A,TRUE,"NIE_C";#N/A,#N/A,TRUE,"NIE";#N/A,#N/A,TRUE,"NIE_D";#N/A,#N/A,TRUE,"NIE_D_CC";#N/A,#N/A,TRUE,"HEA -- EXP"}</definedName>
    <definedName name="wrn.EXP2." localSheetId="15" hidden="1">{#N/A,#N/A,TRUE,"NIE_C";#N/A,#N/A,TRUE,"NIE";#N/A,#N/A,TRUE,"NIE_D";#N/A,#N/A,TRUE,"NIE_D_CC";#N/A,#N/A,TRUE,"HEA -- EXP"}</definedName>
    <definedName name="wrn.EXP2." hidden="1">{#N/A,#N/A,TRUE,"NIE_C";#N/A,#N/A,TRUE,"NIE";#N/A,#N/A,TRUE,"NIE_D";#N/A,#N/A,TRUE,"NIE_D_CC";#N/A,#N/A,TRUE,"HEA -- EXP"}</definedName>
    <definedName name="wrn.ExpCompSet." localSheetId="10" hidden="1">{"ExpCompSet",#N/A,FALSE,"Export Comp. Sets"}</definedName>
    <definedName name="wrn.ExpCompSet." hidden="1">{"ExpCompSet",#N/A,FALSE,"Export Comp. Sets"}</definedName>
    <definedName name="wrn.Expense._.Report." localSheetId="10" hidden="1">{#N/A,#N/A,FALSE,"EERFACE";#N/A,#N/A,FALSE,"EERBACK"}</definedName>
    <definedName name="wrn.Expense._.Report." localSheetId="15" hidden="1">{#N/A,#N/A,FALSE,"EERFACE";#N/A,#N/A,FALSE,"EERBACK"}</definedName>
    <definedName name="wrn.Expense._.Report." hidden="1">{#N/A,#N/A,FALSE,"EERFACE";#N/A,#N/A,FALSE,"EERBACK"}</definedName>
    <definedName name="wrn.EXPENSES." localSheetId="10"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ternal." localSheetId="10" hidden="1">{"External_Annual_Income",#N/A,FALSE,"External";"External_Quarterly_Income",#N/A,FALSE,"External"}</definedName>
    <definedName name="wrn.External." localSheetId="15" hidden="1">{"External_Annual_Income",#N/A,FALSE,"External";"External_Quarterly_Income",#N/A,FALSE,"External"}</definedName>
    <definedName name="wrn.External." hidden="1">{"External_Annual_Income",#N/A,FALSE,"External";"External_Quarterly_Income",#N/A,FALSE,"External"}</definedName>
    <definedName name="wrn.external.2" localSheetId="10" hidden="1">{"External_Annual_Income",#N/A,FALSE,"External";"External_Quarterly_Income",#N/A,FALSE,"External"}</definedName>
    <definedName name="wrn.external.2" localSheetId="15" hidden="1">{"External_Annual_Income",#N/A,FALSE,"External";"External_Quarterly_Income",#N/A,FALSE,"External"}</definedName>
    <definedName name="wrn.external.2" hidden="1">{"External_Annual_Income",#N/A,FALSE,"External";"External_Quarterly_Income",#N/A,FALSE,"External"}</definedName>
    <definedName name="wrn.fb." localSheetId="10" hidden="1">{"AnnMarg",#N/A,FALSE,"FALCON";"Q",#N/A,FALSE,"Qtrs."}</definedName>
    <definedName name="wrn.fb." hidden="1">{"AnnMarg",#N/A,FALSE,"FALCON";"Q",#N/A,FALSE,"Qtrs."}</definedName>
    <definedName name="wrn.fc" localSheetId="10" hidden="1">{"FCB_ALL",#N/A,FALSE,"FCB"}</definedName>
    <definedName name="wrn.fc" localSheetId="15" hidden="1">{"FCB_ALL",#N/A,FALSE,"FCB"}</definedName>
    <definedName name="wrn.fc" hidden="1">{"FCB_ALL",#N/A,FALSE,"FCB"}</definedName>
    <definedName name="wrn.fc." localSheetId="10" hidden="1">{"letter",#N/A,FALSE,"Letter";"amort",#N/A,FALSE,"Amort"}</definedName>
    <definedName name="wrn.fc." hidden="1">{"letter",#N/A,FALSE,"Letter";"amort",#N/A,FALSE,"Amort"}</definedName>
    <definedName name="wrn.fc12" localSheetId="10" hidden="1">{"FCB_ALL",#N/A,FALSE,"FCB"}</definedName>
    <definedName name="wrn.fc12" localSheetId="15" hidden="1">{"FCB_ALL",#N/A,FALSE,"FCB"}</definedName>
    <definedName name="wrn.fc12" hidden="1">{"FCB_ALL",#N/A,FALSE,"FCB"}</definedName>
    <definedName name="wrn.fcb" localSheetId="10" hidden="1">{"FCB_ALL",#N/A,FALSE,"FCB"}</definedName>
    <definedName name="wrn.fcb" localSheetId="15" hidden="1">{"FCB_ALL",#N/A,FALSE,"FCB"}</definedName>
    <definedName name="wrn.fcb" hidden="1">{"FCB_ALL",#N/A,FALSE,"FCB"}</definedName>
    <definedName name="wrn.FCB." localSheetId="10" hidden="1">{"FCB_ALL",#N/A,FALSE,"FCB"}</definedName>
    <definedName name="wrn.FCB." localSheetId="15" hidden="1">{"FCB_ALL",#N/A,FALSE,"FCB"}</definedName>
    <definedName name="wrn.FCB." hidden="1">{"FCB_ALL",#N/A,FALSE,"FCB"}</definedName>
    <definedName name="wrn.FCB._1" localSheetId="10" hidden="1">{"FCB_ALL",#N/A,FALSE,"FCB"}</definedName>
    <definedName name="wrn.FCB._1" hidden="1">{"FCB_ALL",#N/A,FALSE,"FCB"}</definedName>
    <definedName name="wrn.FCB._1_1" localSheetId="10" hidden="1">{"FCB_ALL",#N/A,FALSE,"FCB"}</definedName>
    <definedName name="wrn.FCB._1_1" hidden="1">{"FCB_ALL",#N/A,FALSE,"FCB"}</definedName>
    <definedName name="wrn.FCB._2" localSheetId="10" hidden="1">{"FCB_ALL",#N/A,FALSE,"FCB"}</definedName>
    <definedName name="wrn.FCB._2" hidden="1">{"FCB_ALL",#N/A,FALSE,"FCB"}</definedName>
    <definedName name="wrn.FCB._3" localSheetId="10" hidden="1">{"FCB_ALL",#N/A,FALSE,"FCB"}</definedName>
    <definedName name="wrn.FCB._3" hidden="1">{"FCB_ALL",#N/A,FALSE,"FCB"}</definedName>
    <definedName name="wrn.FCB._4" localSheetId="10" hidden="1">{"FCB_ALL",#N/A,FALSE,"FCB"}</definedName>
    <definedName name="wrn.FCB._4" hidden="1">{"FCB_ALL",#N/A,FALSE,"FCB"}</definedName>
    <definedName name="wrn.FCB._5" localSheetId="10" hidden="1">{"FCB_ALL",#N/A,FALSE,"FCB"}</definedName>
    <definedName name="wrn.FCB._5" hidden="1">{"FCB_ALL",#N/A,FALSE,"FCB"}</definedName>
    <definedName name="wrn.fcb._dcf" localSheetId="10" hidden="1">{"FCB_ALL",#N/A,FALSE,"FCB"}</definedName>
    <definedName name="wrn.fcb._dcf" hidden="1">{"FCB_ALL",#N/A,FALSE,"FCB"}</definedName>
    <definedName name="wrn.fcb.1" localSheetId="10" hidden="1">{"FCB_ALL",#N/A,FALSE,"FCB"}</definedName>
    <definedName name="wrn.fcb.1" localSheetId="15" hidden="1">{"FCB_ALL",#N/A,FALSE,"FCB"}</definedName>
    <definedName name="wrn.fcb.1" hidden="1">{"FCB_ALL",#N/A,FALSE,"FCB"}</definedName>
    <definedName name="wrn.fcb.9" localSheetId="10" hidden="1">{"FCB_ALL",#N/A,FALSE,"FCB"}</definedName>
    <definedName name="wrn.fcb.9" localSheetId="15" hidden="1">{"FCB_ALL",#N/A,FALSE,"FCB"}</definedName>
    <definedName name="wrn.fcb.9" hidden="1">{"FCB_ALL",#N/A,FALSE,"FCB"}</definedName>
    <definedName name="wrn.fcb1" localSheetId="10" hidden="1">{"FCB_ALL",#N/A,FALSE,"FCB"}</definedName>
    <definedName name="wrn.fcb1" localSheetId="15" hidden="1">{"FCB_ALL",#N/A,FALSE,"FCB"}</definedName>
    <definedName name="wrn.fcb1" hidden="1">{"FCB_ALL",#N/A,FALSE,"FCB"}</definedName>
    <definedName name="wrn.fcb10" localSheetId="10" hidden="1">{"FCB_ALL",#N/A,FALSE,"FCB"}</definedName>
    <definedName name="wrn.fcb10" localSheetId="15" hidden="1">{"FCB_ALL",#N/A,FALSE,"FCB"}</definedName>
    <definedName name="wrn.fcb10" hidden="1">{"FCB_ALL",#N/A,FALSE,"FCB"}</definedName>
    <definedName name="wrn.fcb11" localSheetId="10" hidden="1">{"FCB_ALL",#N/A,FALSE,"FCB"}</definedName>
    <definedName name="wrn.fcb11" localSheetId="15" hidden="1">{"FCB_ALL",#N/A,FALSE,"FCB"}</definedName>
    <definedName name="wrn.fcb11" hidden="1">{"FCB_ALL",#N/A,FALSE,"FCB"}</definedName>
    <definedName name="wrn.fcb2" localSheetId="10" hidden="1">{"FCB_ALL",#N/A,FALSE,"FCB"}</definedName>
    <definedName name="wrn.fcb2" localSheetId="15" hidden="1">{"FCB_ALL",#N/A,FALSE,"FCB"}</definedName>
    <definedName name="wrn.fcb2" hidden="1">{"FCB_ALL",#N/A,FALSE,"FCB"}</definedName>
    <definedName name="wrn.fcb2_1" localSheetId="10" hidden="1">{"FCB_ALL",#N/A,FALSE,"FCB"}</definedName>
    <definedName name="wrn.fcb2_1" hidden="1">{"FCB_ALL",#N/A,FALSE,"FCB"}</definedName>
    <definedName name="wrn.fcb2_1_1" localSheetId="10" hidden="1">{"FCB_ALL",#N/A,FALSE,"FCB"}</definedName>
    <definedName name="wrn.fcb2_1_1" hidden="1">{"FCB_ALL",#N/A,FALSE,"FCB"}</definedName>
    <definedName name="wrn.fcb2_2" localSheetId="10" hidden="1">{"FCB_ALL",#N/A,FALSE,"FCB"}</definedName>
    <definedName name="wrn.fcb2_2" hidden="1">{"FCB_ALL",#N/A,FALSE,"FCB"}</definedName>
    <definedName name="wrn.fcb2_3" localSheetId="10" hidden="1">{"FCB_ALL",#N/A,FALSE,"FCB"}</definedName>
    <definedName name="wrn.fcb2_3" hidden="1">{"FCB_ALL",#N/A,FALSE,"FCB"}</definedName>
    <definedName name="wrn.fcb2_4" localSheetId="10" hidden="1">{"FCB_ALL",#N/A,FALSE,"FCB"}</definedName>
    <definedName name="wrn.fcb2_4" hidden="1">{"FCB_ALL",#N/A,FALSE,"FCB"}</definedName>
    <definedName name="wrn.fcb2_5" localSheetId="10" hidden="1">{"FCB_ALL",#N/A,FALSE,"FCB"}</definedName>
    <definedName name="wrn.fcb2_5" hidden="1">{"FCB_ALL",#N/A,FALSE,"FCB"}</definedName>
    <definedName name="wrn.fcb2_dcf" localSheetId="10" hidden="1">{"FCB_ALL",#N/A,FALSE,"FCB"}</definedName>
    <definedName name="wrn.fcb2_dcf" hidden="1">{"FCB_ALL",#N/A,FALSE,"FCB"}</definedName>
    <definedName name="wrn.fcb3" localSheetId="10" hidden="1">{"FCB_ALL",#N/A,FALSE,"FCB"}</definedName>
    <definedName name="wrn.fcb3" localSheetId="15" hidden="1">{"FCB_ALL",#N/A,FALSE,"FCB"}</definedName>
    <definedName name="wrn.fcb3" hidden="1">{"FCB_ALL",#N/A,FALSE,"FCB"}</definedName>
    <definedName name="wrn.fcb4" localSheetId="10" hidden="1">{"FCB_ALL",#N/A,FALSE,"FCB"}</definedName>
    <definedName name="wrn.fcb4" localSheetId="15" hidden="1">{"FCB_ALL",#N/A,FALSE,"FCB"}</definedName>
    <definedName name="wrn.fcb4" hidden="1">{"FCB_ALL",#N/A,FALSE,"FCB"}</definedName>
    <definedName name="wrn.fcb5" localSheetId="10" hidden="1">{"FCB_ALL",#N/A,FALSE,"FCB"}</definedName>
    <definedName name="wrn.fcb5" localSheetId="15" hidden="1">{"FCB_ALL",#N/A,FALSE,"FCB"}</definedName>
    <definedName name="wrn.fcb5" hidden="1">{"FCB_ALL",#N/A,FALSE,"FCB"}</definedName>
    <definedName name="wrn.fcb6" localSheetId="10" hidden="1">{"FCB_ALL",#N/A,FALSE,"FCB"}</definedName>
    <definedName name="wrn.fcb6" localSheetId="15" hidden="1">{"FCB_ALL",#N/A,FALSE,"FCB"}</definedName>
    <definedName name="wrn.fcb6" hidden="1">{"FCB_ALL",#N/A,FALSE,"FCB"}</definedName>
    <definedName name="wrn.fcb7" localSheetId="10" hidden="1">{"FCB_ALL",#N/A,FALSE,"FCB"}</definedName>
    <definedName name="wrn.fcb7" localSheetId="15" hidden="1">{"FCB_ALL",#N/A,FALSE,"FCB"}</definedName>
    <definedName name="wrn.fcb7" hidden="1">{"FCB_ALL",#N/A,FALSE,"FCB"}</definedName>
    <definedName name="wrn.fcb8" localSheetId="10" hidden="1">{"FCB_ALL",#N/A,FALSE,"FCB"}</definedName>
    <definedName name="wrn.fcb8" localSheetId="15" hidden="1">{"FCB_ALL",#N/A,FALSE,"FCB"}</definedName>
    <definedName name="wrn.fcb8" hidden="1">{"FCB_ALL",#N/A,FALSE,"FCB"}</definedName>
    <definedName name="wrn.fcb9" localSheetId="10" hidden="1">{"FCB_ALL",#N/A,FALSE,"FCB"}</definedName>
    <definedName name="wrn.fcb9" localSheetId="15" hidden="1">{"FCB_ALL",#N/A,FALSE,"FCB"}</definedName>
    <definedName name="wrn.fcb9" hidden="1">{"FCB_ALL",#N/A,FALSE,"FCB"}</definedName>
    <definedName name="wrn.fcst." localSheetId="10" hidden="1">{"12mois",#N/A,FALSE,"Income Statement";"12moopexp",#N/A,FALSE,"Operating Expenses";"12mobs",#N/A,FALSE,"Balance Sheet";"12mocashflow",#N/A,FALSE,"Statement of Cash Flows";"perfmeas",#N/A,FALSE,"Financial Perf Measures"}</definedName>
    <definedName name="wrn.fcst." hidden="1">{"12mois",#N/A,FALSE,"Income Statement";"12moopexp",#N/A,FALSE,"Operating Expenses";"12mobs",#N/A,FALSE,"Balance Sheet";"12mocashflow",#N/A,FALSE,"Statement of Cash Flows";"perfmeas",#N/A,FALSE,"Financial Perf Measures"}</definedName>
    <definedName name="wrn.FcstMo." localSheetId="10" hidden="1">{"FPL1",#N/A,TRUE,"Vs Fcst";"FBS1",#N/A,TRUE,"Vs Fcst";"FCF",#N/A,TRUE,"Vs Fcst";"FOhd",#N/A,TRUE,"Vs Fcst"}</definedName>
    <definedName name="wrn.FcstMo." hidden="1">{"FPL1",#N/A,TRUE,"Vs Fcst";"FBS1",#N/A,TRUE,"Vs Fcst";"FCF",#N/A,TRUE,"Vs Fcst";"FOhd",#N/A,TRUE,"Vs Fcst"}</definedName>
    <definedName name="wrn.FDII6_01PortReview." localSheetId="10"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6_01PortReview._1" localSheetId="10" hidden="1">{#N/A,#N/A,TRUE,"Port Summary II";#N/A,#N/A,TRUE,"BV Valuation";#N/A,#N/A,TRUE,"FV Valuation";#N/A,#N/A,TRUE,"JRI";#N/A,#N/A,TRUE,"Weasler";#N/A,#N/A,TRUE,"Stronghaven";#N/A,#N/A,TRUE,"Connor";#N/A,#N/A,TRUE,"HWC";#N/A,#N/A,TRUE,"Temple"}</definedName>
    <definedName name="wrn.FDII6_01PortReview._1" hidden="1">{#N/A,#N/A,TRUE,"Port Summary II";#N/A,#N/A,TRUE,"BV Valuation";#N/A,#N/A,TRUE,"FV Valuation";#N/A,#N/A,TRUE,"JRI";#N/A,#N/A,TRUE,"Weasler";#N/A,#N/A,TRUE,"Stronghaven";#N/A,#N/A,TRUE,"Connor";#N/A,#N/A,TRUE,"HWC";#N/A,#N/A,TRUE,"Temple"}</definedName>
    <definedName name="wrn.FdIII6_30_01PortRev.." localSheetId="10"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dIII6_30_01PortRev.._1" localSheetId="10" hidden="1">{#N/A,#N/A,TRUE,"Beacon";#N/A,#N/A,TRUE,"CII";#N/A,#N/A,TRUE,"MCA";#N/A,#N/A,TRUE,"Elm";#N/A,#N/A,TRUE,"Tharco";#N/A,#N/A,TRUE,"Dee H";#N/A,#N/A,TRUE,"Hunt Valve";#N/A,#N/A,TRUE,"KBA";#N/A,#N/A,TRUE,"Glassmaster";#N/A,#N/A,TRUE,"MLS";#N/A,#N/A,TRUE,"CBSA";#N/A,#N/A,TRUE,"ACE";#N/A,#N/A,TRUE,"United Central";#N/A,#N/A,TRUE,"Jakel";#N/A,#N/A,TRUE,"Lake City "}</definedName>
    <definedName name="wrn.FdIII6_30_01PortRev.._1" hidden="1">{#N/A,#N/A,TRUE,"Beacon";#N/A,#N/A,TRUE,"CII";#N/A,#N/A,TRUE,"MCA";#N/A,#N/A,TRUE,"Elm";#N/A,#N/A,TRUE,"Tharco";#N/A,#N/A,TRUE,"Dee H";#N/A,#N/A,TRUE,"Hunt Valve";#N/A,#N/A,TRUE,"KBA";#N/A,#N/A,TRUE,"Glassmaster";#N/A,#N/A,TRUE,"MLS";#N/A,#N/A,TRUE,"CBSA";#N/A,#N/A,TRUE,"ACE";#N/A,#N/A,TRUE,"United Central";#N/A,#N/A,TRUE,"Jakel";#N/A,#N/A,TRUE,"Lake City "}</definedName>
    <definedName name="wrn.February." localSheetId="10"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R." localSheetId="10" hidden="1">{#N/A,#N/A,TRUE,"BS_A";#N/A,#N/A,TRUE,"BS_L";#N/A,#N/A,TRUE,"PL";#N/A,#N/A,TRUE,"NET";#N/A,#N/A,TRUE,"MAR_2";#N/A,#N/A,TRUE,"MAR";#N/A,#N/A,TRUE,"NII";#N/A,#N/A,TRUE,"NIE";#N/A,#N/A,TRUE,"FS_BS";#N/A,#N/A,TRUE,"FS_PL";#N/A,#N/A,TRUE,"HEA"}</definedName>
    <definedName name="wrn.FER." localSheetId="15"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10" hidden="1">{#N/A,#N/A,TRUE,"NIE_C";#N/A,#N/A,TRUE,"NIE";#N/A,#N/A,TRUE,"NIE_D";#N/A,#N/A,TRUE,"HEA -- EXP"}</definedName>
    <definedName name="wrn.FER_EXPENSES." localSheetId="15" hidden="1">{#N/A,#N/A,TRUE,"NIE_C";#N/A,#N/A,TRUE,"NIE";#N/A,#N/A,TRUE,"NIE_D";#N/A,#N/A,TRUE,"HEA -- EXP"}</definedName>
    <definedName name="wrn.FER_EXPENSES." hidden="1">{#N/A,#N/A,TRUE,"NIE_C";#N/A,#N/A,TRUE,"NIE";#N/A,#N/A,TRUE,"NIE_D";#N/A,#N/A,TRUE,"HEA -- EXP"}</definedName>
    <definedName name="wrn.FER_NIA." localSheetId="10" hidden="1">{#N/A,#N/A,FALSE,"HEA NIA";#N/A,#N/A,FALSE,"CHART";#N/A,#N/A,FALSE,"NIA";#N/A,#N/A,FALSE,"WF_DET"}</definedName>
    <definedName name="wrn.FER_NIA." localSheetId="15" hidden="1">{#N/A,#N/A,FALSE,"HEA NIA";#N/A,#N/A,FALSE,"CHART";#N/A,#N/A,FALSE,"NIA";#N/A,#N/A,FALSE,"WF_DET"}</definedName>
    <definedName name="wrn.FER_NIA." hidden="1">{#N/A,#N/A,FALSE,"HEA NIA";#N/A,#N/A,FALSE,"CHART";#N/A,#N/A,FALSE,"NIA";#N/A,#N/A,FALSE,"WF_DET"}</definedName>
    <definedName name="wrn.FER_REVENUES." localSheetId="10" hidden="1">{#N/A,#N/A,TRUE,"NII_C";#N/A,#N/A,TRUE,"NII";#N/A,#N/A,TRUE,"NII_D";#N/A,#N/A,TRUE,"HEA --REV"}</definedName>
    <definedName name="wrn.FER_REVENUES." localSheetId="15" hidden="1">{#N/A,#N/A,TRUE,"NII_C";#N/A,#N/A,TRUE,"NII";#N/A,#N/A,TRUE,"NII_D";#N/A,#N/A,TRUE,"HEA --REV"}</definedName>
    <definedName name="wrn.FER_REVENUES." hidden="1">{#N/A,#N/A,TRUE,"NII_C";#N/A,#N/A,TRUE,"NII";#N/A,#N/A,TRUE,"NII_D";#N/A,#N/A,TRUE,"HEA --REV"}</definedName>
    <definedName name="wrn.Fiber._.Optic._.Price._.List." localSheetId="10" hidden="1">{#N/A,#N/A,FALSE,"Fiber - Domestic";#N/A,#N/A,FALSE,"Fiber - Internat'l"}</definedName>
    <definedName name="wrn.Fiber._.Optic._.Price._.List." hidden="1">{#N/A,#N/A,FALSE,"Fiber - Domestic";#N/A,#N/A,FALSE,"Fiber - Internat'l"}</definedName>
    <definedName name="wrn.Fiber._.Optic._.Price._.List._1" localSheetId="10" hidden="1">{#N/A,#N/A,FALSE,"Fiber - Domestic";#N/A,#N/A,FALSE,"Fiber - Internat'l"}</definedName>
    <definedName name="wrn.Fiber._.Optic._.Price._.List._1" hidden="1">{#N/A,#N/A,FALSE,"Fiber - Domestic";#N/A,#N/A,FALSE,"Fiber - Internat'l"}</definedName>
    <definedName name="wrn.Fiber._.Optic._.Price._.List._2" localSheetId="10" hidden="1">{#N/A,#N/A,FALSE,"Fiber - Domestic";#N/A,#N/A,FALSE,"Fiber - Internat'l"}</definedName>
    <definedName name="wrn.Fiber._.Optic._.Price._.List._2" hidden="1">{#N/A,#N/A,FALSE,"Fiber - Domestic";#N/A,#N/A,FALSE,"Fiber - Internat'l"}</definedName>
    <definedName name="wrn.Fiber._.Optic._.Price._.List._3" localSheetId="10" hidden="1">{#N/A,#N/A,FALSE,"Fiber - Domestic";#N/A,#N/A,FALSE,"Fiber - Internat'l"}</definedName>
    <definedName name="wrn.Fiber._.Optic._.Price._.List._3" hidden="1">{#N/A,#N/A,FALSE,"Fiber - Domestic";#N/A,#N/A,FALSE,"Fiber - Internat'l"}</definedName>
    <definedName name="wrn.Fiber._.Optic._.Price._.List._4" localSheetId="10" hidden="1">{#N/A,#N/A,FALSE,"Fiber - Domestic";#N/A,#N/A,FALSE,"Fiber - Internat'l"}</definedName>
    <definedName name="wrn.Fiber._.Optic._.Price._.List._4" hidden="1">{#N/A,#N/A,FALSE,"Fiber - Domestic";#N/A,#N/A,FALSE,"Fiber - Internat'l"}</definedName>
    <definedName name="wrn.Fiber._.Optic._.Price._.List._5" localSheetId="10" hidden="1">{#N/A,#N/A,FALSE,"Fiber - Domestic";#N/A,#N/A,FALSE,"Fiber - Internat'l"}</definedName>
    <definedName name="wrn.Fiber._.Optic._.Price._.List._5" hidden="1">{#N/A,#N/A,FALSE,"Fiber - Domestic";#N/A,#N/A,FALSE,"Fiber - Internat'l"}</definedName>
    <definedName name="wrn.File." localSheetId="10"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localSheetId="15"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10" hidden="1">{#N/A,#N/A,FALSE,"Assump2";#N/A,#N/A,FALSE,"Income2";#N/A,#N/A,FALSE,"Balance2";#N/A,#N/A,FALSE,"DCF Filter";#N/A,#N/A,FALSE,"Trans Assump2";#N/A,#N/A,FALSE,"Combined Income2";#N/A,#N/A,FALSE,"Combined Balance2"}</definedName>
    <definedName name="wrn.Filter." localSheetId="15"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lter._1" localSheetId="10"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n"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 localSheetId="10" hidden="1">{"bs",#N/A,FALSE,"BS-Consol";"con all",#N/A,FALSE,"CON-ALL";"cf",#N/A,FALSE,"BS-Consol";"debt sve",#N/A,FALSE,"BS-Consol"}</definedName>
    <definedName name="wrn.Fin._.Stmts_ALL." hidden="1">{"bs",#N/A,FALSE,"BS-Consol";"con all",#N/A,FALSE,"CON-ALL";"cf",#N/A,FALSE,"BS-Consol";"debt sve",#N/A,FALSE,"BS-Consol"}</definedName>
    <definedName name="wrn.fin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l." localSheetId="10" hidden="1">{"Final",#N/A,FALSE,"Feb-96"}</definedName>
    <definedName name="wrn.Final." localSheetId="15" hidden="1">{"Final",#N/A,FALSE,"Feb-96"}</definedName>
    <definedName name="wrn.Final." hidden="1">{"Final",#N/A,FALSE,"Feb-96"}</definedName>
    <definedName name="wrn.final2." localSheetId="10" hidden="1">{#N/A,#N/A,FALSE,"Final";#N/A,#N/A,FALSE,"Final"}</definedName>
    <definedName name="wrn.final2." hidden="1">{#N/A,#N/A,FALSE,"Final";#N/A,#N/A,FALSE,"Final"}</definedName>
    <definedName name="wrn.Finals." localSheetId="10">{#N/A,#N/A,FALSE,"Summary";#N/A,#N/A,FALSE,"Process";#N/A,#N/A,FALSE,"Utility";#N/A,#N/A,FALSE,"Crude Tanks";#N/A,#N/A,FALSE,"Product"}</definedName>
    <definedName name="wrn.Finals.">{#N/A,#N/A,FALSE,"Summary";#N/A,#N/A,FALSE,"Process";#N/A,#N/A,FALSE,"Utility";#N/A,#N/A,FALSE,"Crude Tanks";#N/A,#N/A,FALSE,"Product"}</definedName>
    <definedName name="wrn.Financial."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 localSheetId="10" hidden="1">{#N/A,#N/A,FALSE,"Hoja10";#N/A,#N/A,FALSE,"Hoja9";#N/A,#N/A,FALSE,"Hoja8";#N/A,#N/A,FALSE,"Hoja7";#N/A,#N/A,FALSE,"Hoja6";#N/A,#N/A,FALSE,"Hoja5";#N/A,#N/A,FALSE,"Hoja4";#N/A,#N/A,FALSE,"Hoja2";#N/A,#N/A,FALSE,"Hoja3";#N/A,#N/A,FALSE,"HOJA1";#N/A,#N/A,FALSE,"CashFlow";#N/A,#N/A,FALSE,"FinStmts"}</definedName>
    <definedName name="wrn.FINANCIAL._.FORECAST." localSheetId="15"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Memo._.Explained." localSheetId="10" hidden="1">{#N/A,#N/A,FALSE,"Memo Expl"}</definedName>
    <definedName name="wrn.Financial._.Memo._.Explained." hidden="1">{#N/A,#N/A,FALSE,"Memo Expl"}</definedName>
    <definedName name="wrn.Financial._.Memo._.Explained._1" localSheetId="10" hidden="1">{#N/A,#N/A,FALSE,"Memo Expl"}</definedName>
    <definedName name="wrn.Financial._.Memo._.Explained._1" hidden="1">{#N/A,#N/A,FALSE,"Memo Expl"}</definedName>
    <definedName name="wrn.Financial._.Memo._.Explained._2" localSheetId="10" hidden="1">{#N/A,#N/A,FALSE,"Memo Expl"}</definedName>
    <definedName name="wrn.Financial._.Memo._.Explained._2" hidden="1">{#N/A,#N/A,FALSE,"Memo Expl"}</definedName>
    <definedName name="wrn.Financial._.Memo._.Explained._3" localSheetId="10" hidden="1">{#N/A,#N/A,FALSE,"Memo Expl"}</definedName>
    <definedName name="wrn.Financial._.Memo._.Explained._3" hidden="1">{#N/A,#N/A,FALSE,"Memo Expl"}</definedName>
    <definedName name="wrn.Financial._.Memo._.Explained._4" localSheetId="10" hidden="1">{#N/A,#N/A,FALSE,"Memo Expl"}</definedName>
    <definedName name="wrn.Financial._.Memo._.Explained._4" hidden="1">{#N/A,#N/A,FALSE,"Memo Expl"}</definedName>
    <definedName name="wrn.Financial._.Memo._.Explained._5" localSheetId="10" hidden="1">{#N/A,#N/A,FALSE,"Memo Expl"}</definedName>
    <definedName name="wrn.Financial._.Memo._.Explained._5" hidden="1">{#N/A,#N/A,FALSE,"Memo Expl"}</definedName>
    <definedName name="wrn.Financial._.Memo._.PL." localSheetId="10" hidden="1">{#N/A,#N/A,FALSE,"Memo P&amp;L"}</definedName>
    <definedName name="wrn.Financial._.Memo._.PL." hidden="1">{#N/A,#N/A,FALSE,"Memo P&amp;L"}</definedName>
    <definedName name="wrn.Financial._.Memo._.PL._1" localSheetId="10" hidden="1">{#N/A,#N/A,FALSE,"Memo P&amp;L"}</definedName>
    <definedName name="wrn.Financial._.Memo._.PL._1" hidden="1">{#N/A,#N/A,FALSE,"Memo P&amp;L"}</definedName>
    <definedName name="wrn.Financial._.Memo._.PL._2" localSheetId="10" hidden="1">{#N/A,#N/A,FALSE,"Memo P&amp;L"}</definedName>
    <definedName name="wrn.Financial._.Memo._.PL._2" hidden="1">{#N/A,#N/A,FALSE,"Memo P&amp;L"}</definedName>
    <definedName name="wrn.Financial._.Memo._.PL._3" localSheetId="10" hidden="1">{#N/A,#N/A,FALSE,"Memo P&amp;L"}</definedName>
    <definedName name="wrn.Financial._.Memo._.PL._3" hidden="1">{#N/A,#N/A,FALSE,"Memo P&amp;L"}</definedName>
    <definedName name="wrn.Financial._.Memo._.PL._4" localSheetId="10" hidden="1">{#N/A,#N/A,FALSE,"Memo P&amp;L"}</definedName>
    <definedName name="wrn.Financial._.Memo._.PL._4" hidden="1">{#N/A,#N/A,FALSE,"Memo P&amp;L"}</definedName>
    <definedName name="wrn.Financial._.Memo._.PL._5" localSheetId="10" hidden="1">{#N/A,#N/A,FALSE,"Memo P&amp;L"}</definedName>
    <definedName name="wrn.Financial._.Memo._.PL._5" hidden="1">{#N/A,#N/A,FALSE,"Memo P&amp;L"}</definedName>
    <definedName name="wrn.Financial._.Output." localSheetId="10"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Reports."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1"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2"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3"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4"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localSheetId="10"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ports._5" hidden="1">{#N/A,#N/A,FALSE,"Net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sults." localSheetId="10">{"Financial Results",#N/A,FALSE,"Total Project Economics"}</definedName>
    <definedName name="wrn.Financial._.Results.">{"Financial Results",#N/A,FALSE,"Total Project Economics"}</definedName>
    <definedName name="wrn.Financial._.Review._.February." localSheetId="10"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s." localSheetId="10" hidden="1">{#N/A,#N/A,FALSE,"Bal Sheet";#N/A,#N/A,FALSE,"Ret Earngs";#N/A,#N/A,FALSE,"P &amp; L";#N/A,#N/A,FALSE,"Ovhd Exp";#N/A,#N/A,FALSE,"Sales Exp";#N/A,#N/A,FALSE,"G&amp;A Exp";#N/A,#N/A,FALSE,"Other Exp";#N/A,#N/A,FALSE,"Accum Erngs"}</definedName>
    <definedName name="wrn.Financial._.Statements." localSheetId="15" hidden="1">{#N/A,#N/A,FALSE,"Bal Sheet";#N/A,#N/A,FALSE,"Ret Earngs";#N/A,#N/A,FALSE,"P &amp; L";#N/A,#N/A,FALSE,"Ovhd Exp";#N/A,#N/A,FALSE,"Sales Exp";#N/A,#N/A,FALSE,"G&amp;A Exp";#N/A,#N/A,FALSE,"Other Exp";#N/A,#N/A,FALSE,"Accum Erngs"}</definedName>
    <definedName name="wrn.Financial._.Statements." hidden="1">{#N/A,#N/A,FALSE,"Bal Sheet";#N/A,#N/A,FALSE,"Ret Earngs";#N/A,#N/A,FALSE,"P &amp; L";#N/A,#N/A,FALSE,"Ovhd Exp";#N/A,#N/A,FALSE,"Sales Exp";#N/A,#N/A,FALSE,"G&amp;A Exp";#N/A,#N/A,FALSE,"Other Exp";#N/A,#N/A,FALSE,"Accum Erngs"}</definedName>
    <definedName name="wrn.Financial._.Statements._.all._.detail." localSheetId="10"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 localSheetId="10" hidden="1">{#N/A,#N/A,FALSE,"Sep 98";"Bal Sheet CY - Legal",#N/A,FALSE,"Sep 98";"Bal Sheet PY - Legal",#N/A,FALSE,"Sep 98";"Inc Stmt - Legal",#N/A,FALSE,"Sep 98";"Cash Flow - Legal",#N/A,FALSE,"Sep 98"}</definedName>
    <definedName name="wrn.Financial._.Statements._.Wrk." hidden="1">{#N/A,#N/A,FALSE,"Sep 98";"Bal Sheet CY - Legal",#N/A,FALSE,"Sep 98";"Bal Sheet PY - Legal",#N/A,FALSE,"Sep 98";"Inc Stmt - Legal",#N/A,FALSE,"Sep 98";"Cash Flow - Legal",#N/A,FALSE,"Sep 98"}</definedName>
    <definedName name="wrn.Financial._.Statements._1" localSheetId="10" hidden="1">{#N/A,#N/A,FALSE,"Bal Sheet";#N/A,#N/A,FALSE,"Ret Earngs";#N/A,#N/A,FALSE,"P &amp; L";#N/A,#N/A,FALSE,"Ovhd Exp";#N/A,#N/A,FALSE,"Sales Exp";#N/A,#N/A,FALSE,"G&amp;A Exp";#N/A,#N/A,FALSE,"Other Exp";#N/A,#N/A,FALSE,"Accum Erngs"}</definedName>
    <definedName name="wrn.Financial._.Statements._1" hidden="1">{#N/A,#N/A,FALSE,"Bal Sheet";#N/A,#N/A,FALSE,"Ret Earngs";#N/A,#N/A,FALSE,"P &amp; L";#N/A,#N/A,FALSE,"Ovhd Exp";#N/A,#N/A,FALSE,"Sales Exp";#N/A,#N/A,FALSE,"G&amp;A Exp";#N/A,#N/A,FALSE,"Other Exp";#N/A,#N/A,FALSE,"Accum Erngs"}</definedName>
    <definedName name="wrn.Financial._.Stmts." localSheetId="10" hidden="1">{"Balance Sheet",#N/A,FALSE,"CONS BS";"Income Stmt",#N/A,FALSE,"CONS IS";"Cash Flow",#N/A,FALSE,"CONS BS";"Debt Service",#N/A,FALSE,"CONS BS";"Pref Div",#N/A,FALSE,"PREF STK ";"Check figures",#N/A,FALSE,"CONS BS";"CNA Je's",#N/A,FALSE,"CNA Je's"}</definedName>
    <definedName name="wrn.Financial._.Stmts." hidden="1">{"Balance Sheet",#N/A,FALSE,"CONS BS";"Income Stmt",#N/A,FALSE,"CONS IS";"Cash Flow",#N/A,FALSE,"CONS BS";"Debt Service",#N/A,FALSE,"CONS BS";"Pref Div",#N/A,FALSE,"PREF STK ";"Check figures",#N/A,FALSE,"CONS BS";"CNA Je's",#N/A,FALSE,"CNA Je's"}</definedName>
    <definedName name="wrn.Financial._.Supplement." localSheetId="10" hidden="1">{#N/A,#N/A,FALSE,"AR_Aging";#N/A,#N/A,FALSE,"Payor_mix";#N/A,#N/A,FALSE,"RESTRICTED FUND BALANCE SHEET";#N/A,#N/A,FALSE,"REST. FUND STATEMENT OF CHANGES";#N/A,#N/A,FALSE,"PATIENT REVENUES";#N/A,#N/A,FALSE,"Other Operating Revenue";#N/A,#N/A,FALSE,"Expenses 1";#N/A,#N/A,FALSE,"Expenses 2";#N/A,#N/A,FALSE,"Expenses 3"}</definedName>
    <definedName name="wrn.Financial._.Supplement." hidden="1">{#N/A,#N/A,FALSE,"AR_Aging";#N/A,#N/A,FALSE,"Payor_mix";#N/A,#N/A,FALSE,"RESTRICTED FUND BALANCE SHEET";#N/A,#N/A,FALSE,"REST. FUND STATEMENT OF CHANGES";#N/A,#N/A,FALSE,"PATIENT REVENUES";#N/A,#N/A,FALSE,"Other Operating Revenue";#N/A,#N/A,FALSE,"Expenses 1";#N/A,#N/A,FALSE,"Expenses 2";#N/A,#N/A,FALSE,"Expenses 3"}</definedName>
    <definedName name="wrn.Financial._1" localSheetId="1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1"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s." localSheetId="10" hidden="1">{#N/A,#N/A,FALSE,"BS";#N/A,#N/A,FALSE,"PL";#N/A,#N/A,FALSE,"SOE";#N/A,#N/A,FALSE,"SCF"}</definedName>
    <definedName name="wrn.Financials." localSheetId="15" hidden="1">{#N/A,#N/A,FALSE,"BS";#N/A,#N/A,FALSE,"PL";#N/A,#N/A,FALSE,"SOE";#N/A,#N/A,FALSE,"SCF"}</definedName>
    <definedName name="wrn.Financials." hidden="1">{#N/A,#N/A,FALSE,"BS";#N/A,#N/A,FALSE,"PL";#N/A,#N/A,FALSE,"SOE";#N/A,#N/A,FALSE,"SCF"}</definedName>
    <definedName name="wrn.FINANCIALS._.10K." localSheetId="10" hidden="1">{#N/A,#N/A,FALSE,"BS";#N/A,#N/A,FALSE,"PL_10K";#N/A,#N/A,FALSE,"SOE";#N/A,#N/A,FALSE,"SCF"}</definedName>
    <definedName name="wrn.FINANCIALS._.10K." localSheetId="15" hidden="1">{#N/A,#N/A,FALSE,"BS";#N/A,#N/A,FALSE,"PL_10K";#N/A,#N/A,FALSE,"SOE";#N/A,#N/A,FALSE,"SCF"}</definedName>
    <definedName name="wrn.FINANCIALS._.10K." hidden="1">{#N/A,#N/A,FALSE,"BS";#N/A,#N/A,FALSE,"PL_10K";#N/A,#N/A,FALSE,"SOE";#N/A,#N/A,FALSE,"SCF"}</definedName>
    <definedName name="wrn.FINANCIALS._.10Q." localSheetId="10" hidden="1">{#N/A,#N/A,FALSE,"BS";#N/A,#N/A,FALSE,"PL_10Q";#N/A,#N/A,FALSE,"SOE";#N/A,#N/A,FALSE,"SCF"}</definedName>
    <definedName name="wrn.FINANCIALS._.10Q." localSheetId="15" hidden="1">{#N/A,#N/A,FALSE,"BS";#N/A,#N/A,FALSE,"PL_10Q";#N/A,#N/A,FALSE,"SOE";#N/A,#N/A,FALSE,"SCF"}</definedName>
    <definedName name="wrn.FINANCIALS._.10Q." hidden="1">{#N/A,#N/A,FALSE,"BS";#N/A,#N/A,FALSE,"PL_10Q";#N/A,#N/A,FALSE,"SOE";#N/A,#N/A,FALSE,"SCF"}</definedName>
    <definedName name="wrn.Financials_long." localSheetId="10" hidden="1">{"IS",#N/A,FALSE,"Financials2 (Expanded)";"bsa",#N/A,FALSE,"Financials2 (Expanded)";"BS",#N/A,FALSE,"Financials2 (Expanded)";"CF",#N/A,FALSE,"Financials2 (Expanded)"}</definedName>
    <definedName name="wrn.Financials_long." localSheetId="15"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_long._1" localSheetId="10"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zbedarfsrechnung." localSheetId="10" hidden="1">{#N/A,#N/A,FALSE,"Finanzbedarfsrechnung"}</definedName>
    <definedName name="wrn.Finanzbedarfsrechnung." localSheetId="15" hidden="1">{#N/A,#N/A,FALSE,"Finanzbedarfsrechnung"}</definedName>
    <definedName name="wrn.Finanzbedarfsrechnung." hidden="1">{#N/A,#N/A,FALSE,"Finanzbedarfsrechnung"}</definedName>
    <definedName name="wrn.FINREP." localSheetId="10" hidden="1">{#N/A,#N/A,FALSE,"COVER";#N/A,#N/A,FALSE,"SUMP&amp;L";#N/A,#N/A,FALSE,"SUBSP&amp;L";#N/A,#N/A,FALSE,"SALESANAL"}</definedName>
    <definedName name="wrn.FINREP." hidden="1">{#N/A,#N/A,FALSE,"COVER";#N/A,#N/A,FALSE,"SUMP&amp;L";#N/A,#N/A,FALSE,"SUBSP&amp;L";#N/A,#N/A,FALSE,"SALESANAL"}</definedName>
    <definedName name="wrn.first2." localSheetId="10" hidden="1">{#N/A,#N/A,FALSE,"sum-don";#N/A,#N/A,FALSE,"inc-don"}</definedName>
    <definedName name="wrn.first2." localSheetId="15" hidden="1">{#N/A,#N/A,FALSE,"sum-don";#N/A,#N/A,FALSE,"inc-don"}</definedName>
    <definedName name="wrn.first2." hidden="1">{#N/A,#N/A,FALSE,"sum-don";#N/A,#N/A,FALSE,"inc-don"}</definedName>
    <definedName name="wrn.first2._1" localSheetId="10" hidden="1">{#N/A,#N/A,FALSE,"sum-don";#N/A,#N/A,FALSE,"inc-don"}</definedName>
    <definedName name="wrn.first2._1" hidden="1">{#N/A,#N/A,FALSE,"sum-don";#N/A,#N/A,FALSE,"inc-don"}</definedName>
    <definedName name="wrn.first3." localSheetId="10" hidden="1">{#N/A,#N/A,FALSE,"Summary";#N/A,#N/A,FALSE,"proj1";#N/A,#N/A,FALSE,"proj2"}</definedName>
    <definedName name="wrn.first3." localSheetId="15" hidden="1">{#N/A,#N/A,FALSE,"Summary";#N/A,#N/A,FALSE,"proj1";#N/A,#N/A,FALSE,"proj2"}</definedName>
    <definedName name="wrn.first3." hidden="1">{#N/A,#N/A,FALSE,"Summary";#N/A,#N/A,FALSE,"proj1";#N/A,#N/A,FALSE,"proj2"}</definedName>
    <definedName name="wrn.first3._1" localSheetId="10" hidden="1">{#N/A,#N/A,FALSE,"Summary";#N/A,#N/A,FALSE,"proj1";#N/A,#N/A,FALSE,"proj2"}</definedName>
    <definedName name="wrn.first3._1" hidden="1">{#N/A,#N/A,FALSE,"Summary";#N/A,#N/A,FALSE,"proj1";#N/A,#N/A,FALSE,"proj2"}</definedName>
    <definedName name="wrn.first4." localSheetId="10" hidden="1">{#N/A,#N/A,FALSE,"Summary";#N/A,#N/A,FALSE,"proj1";#N/A,#N/A,FALSE,"proj2";#N/A,#N/A,FALSE,"DCF"}</definedName>
    <definedName name="wrn.first4." localSheetId="15" hidden="1">{#N/A,#N/A,FALSE,"Summary";#N/A,#N/A,FALSE,"proj1";#N/A,#N/A,FALSE,"proj2";#N/A,#N/A,FALSE,"DCF"}</definedName>
    <definedName name="wrn.first4." hidden="1">{#N/A,#N/A,FALSE,"Summary";#N/A,#N/A,FALSE,"proj1";#N/A,#N/A,FALSE,"proj2";#N/A,#N/A,FALSE,"DCF"}</definedName>
    <definedName name="wrn.first4._1" localSheetId="10" hidden="1">{#N/A,#N/A,FALSE,"Summary";#N/A,#N/A,FALSE,"proj1";#N/A,#N/A,FALSE,"proj2";#N/A,#N/A,FALSE,"DCF"}</definedName>
    <definedName name="wrn.first4._1" hidden="1">{#N/A,#N/A,FALSE,"Summary";#N/A,#N/A,FALSE,"proj1";#N/A,#N/A,FALSE,"proj2";#N/A,#N/A,FALSE,"DCF"}</definedName>
    <definedName name="wrn.first5000." localSheetId="10">{#N/A,#N/A,FALSE,"sum-don";#N/A,#N/A,FALSE,"inc-don"}</definedName>
    <definedName name="wrn.first5000.">{#N/A,#N/A,FALSE,"sum-don";#N/A,#N/A,FALSE,"inc-don"}</definedName>
    <definedName name="wrn.Fiscal._.Year." localSheetId="10">{#N/A,#N/A,TRUE,"FY BCG";#N/A,#N/A,TRUE,"FY w|o Wireless";#N/A,#N/A,TRUE,"FY Wireless"}</definedName>
    <definedName name="wrn.Fiscal._.Year.">{#N/A,#N/A,TRUE,"FY BCG";#N/A,#N/A,TRUE,"FY w|o Wireless";#N/A,#N/A,TRUE,"FY Wireless"}</definedName>
    <definedName name="wrn.Five._.Year._.Model." localSheetId="10">{"income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localSheetId="10" hidden="1">{"FIVEYEAR",#N/A,TRUE,"SUMMARY";"FIVEYEAR",#N/A,TRUE,"Ratios";"FIVEYEAR",#N/A,TRUE,"Revenue";"FIVEYEAR",#N/A,TRUE,"DETAIL";"FIVEYEAR",#N/A,TRUE,"Payroll"}</definedName>
    <definedName name="wrn.FIVE._.YEAR._.PROJECTION." localSheetId="15"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Record." localSheetId="10" hidden="1">{"Five Year Record",#N/A,FALSE,"Front and Back"}</definedName>
    <definedName name="wrn.Five._.Year._.Record." localSheetId="15" hidden="1">{"Five Year Record",#N/A,FALSE,"Front and Back"}</definedName>
    <definedName name="wrn.Five._.Year._.Record." hidden="1">{"Five Year Record",#N/A,FALSE,"Front and Back"}</definedName>
    <definedName name="wrn.fleck." localSheetId="10" hidden="1">{"first",#N/A,FALSE,"FLEXPAC2";"second",#N/A,FALSE,"FLEXPAC2"}</definedName>
    <definedName name="wrn.fleck." hidden="1">{"first",#N/A,FALSE,"FLEXPAC2";"second",#N/A,FALSE,"FLEXPAC2"}</definedName>
    <definedName name="wrn.fleck._1" localSheetId="10" hidden="1">{"first",#N/A,FALSE,"FLEXPAC2";"second",#N/A,FALSE,"FLEXPAC2"}</definedName>
    <definedName name="wrn.fleck._1" hidden="1">{"first",#N/A,FALSE,"FLEXPAC2";"second",#N/A,FALSE,"FLEXPAC2"}</definedName>
    <definedName name="wrn.fleckcompac." localSheetId="10" hidden="1">{"one",#N/A,FALSE,"FLEXPAC2";"two",#N/A,FALSE,"FLEXPAC2";"three",#N/A,FALSE,"FLEXPAC2"}</definedName>
    <definedName name="wrn.fleckcompac." hidden="1">{"one",#N/A,FALSE,"FLEXPAC2";"two",#N/A,FALSE,"FLEXPAC2";"three",#N/A,FALSE,"FLEXPAC2"}</definedName>
    <definedName name="wrn.fleckcompac._1" localSheetId="10" hidden="1">{"one",#N/A,FALSE,"FLEXPAC2";"two",#N/A,FALSE,"FLEXPAC2";"three",#N/A,FALSE,"FLEXPAC2"}</definedName>
    <definedName name="wrn.fleckcompac._1" hidden="1">{"one",#N/A,FALSE,"FLEXPAC2";"two",#N/A,FALSE,"FLEXPAC2";"three",#N/A,FALSE,"FLEXPAC2"}</definedName>
    <definedName name="wrn.Followon._.1998" localSheetId="10" hidden="1">{#N/A,#N/A,FALSE,"Summary";#N/A,#N/A,FALSE,"Pending";#N/A,#N/A,FALSE,"Jan'98";#N/A,#N/A,FALSE,"Feb'98";#N/A,#N/A,FALSE,"Mar'98";#N/A,#N/A,FALSE,"Apr'98";#N/A,#N/A,FALSE,"May'98";#N/A,#N/A,FALSE,"June'98";#N/A,#N/A,FALSE,"July'98"}</definedName>
    <definedName name="wrn.Followon._.1998" hidden="1">{#N/A,#N/A,FALSE,"Summary";#N/A,#N/A,FALSE,"Pending";#N/A,#N/A,FALSE,"Jan'98";#N/A,#N/A,FALSE,"Feb'98";#N/A,#N/A,FALSE,"Mar'98";#N/A,#N/A,FALSE,"Apr'98";#N/A,#N/A,FALSE,"May'98";#N/A,#N/A,FALSE,"June'98";#N/A,#N/A,FALSE,"July'98"}</definedName>
    <definedName name="wrn.FORECAST." localSheetId="10" hidden="1">{"COMBINED",#N/A,FALSE,"BALANCE SHEET 2";"KRONE",#N/A,FALSE,"BALANCE SHEET 2";"INTERSYSTEMS",#N/A,FALSE,"BALANCE SHEET 2"}</definedName>
    <definedName name="wrn.FORECAST." localSheetId="15" hidden="1">{"COMBINED",#N/A,FALSE,"BALANCE SHEET 2";"KRONE",#N/A,FALSE,"BALANCE SHEET 2";"INTERSYSTEMS",#N/A,FALSE,"BALANCE SHEET 2"}</definedName>
    <definedName name="wrn.FORECAST." hidden="1">{"COMBINED",#N/A,FALSE,"BALANCE SHEET 2";"KRONE",#N/A,FALSE,"BALANCE SHEET 2";"INTERSYSTEMS",#N/A,FALSE,"BALANCE SHEET 2"}</definedName>
    <definedName name="wrn.Forecast._.Red._.Book." localSheetId="10"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10"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2qf." localSheetId="10" hidden="1">{#N/A,#N/A,FALSE,"REV 110 PRNE (Bureau-Frankfurt)";#N/A,#N/A,FALSE,"REV 120 PRNE (Bureau - Paris)"}</definedName>
    <definedName name="wrn.forecast2qf." hidden="1">{#N/A,#N/A,FALSE,"REV 110 PRNE (Bureau-Frankfurt)";#N/A,#N/A,FALSE,"REV 120 PRNE (Bureau - Paris)"}</definedName>
    <definedName name="wrn.forms." localSheetId="10" hidden="1">{#N/A,#N/A,FALSE,"Set-Up";#N/A,#N/A,FALSE,"Comparison";#N/A,#N/A,FALSE,"AR";#N/A,#N/A,FALSE,"Inv";#N/A,#N/A,FALSE,"Concentrations";#N/A,#N/A,FALSE,"Past Dues";#N/A,#N/A,FALSE,"Trends";#N/A,#N/A,FALSE,"AR Trends";#N/A,#N/A,FALSE,"Inv Trends"}</definedName>
    <definedName name="wrn.forms." localSheetId="15"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ula._.pages." localSheetId="10" hidden="1">{"field_exam_formula_summary",#N/A,FALSE,"Input";"multi_co_formula",#N/A,FALSE,"Input";"availability_comparison",#N/A,FALSE,"AR";"general_input_area",#N/A,FALSE,"Input";"ineligible_summary",#N/A,FALSE,"AR"}</definedName>
    <definedName name="wrn.formula._.pages." hidden="1">{"field_exam_formula_summary",#N/A,FALSE,"Input";"multi_co_formula",#N/A,FALSE,"Input";"availability_comparison",#N/A,FALSE,"AR";"general_input_area",#N/A,FALSE,"Input";"ineligible_summary",#N/A,FALSE,"AR"}</definedName>
    <definedName name="wrn.FOUR._.CASES." localSheetId="10"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5"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eq_Res." localSheetId="10" hidden="1">{#N/A,#N/A,TRUE,"FR_HC";#N/A,#N/A,TRUE,"FR_REST";#N/A,#N/A,TRUE,"FR_RETA";#N/A,#N/A,TRUE,"FR_TECSOF";#N/A,#N/A,TRUE,"FR_NETTEC";#N/A,#N/A,TRUE,"FR_CLISER"}</definedName>
    <definedName name="wrn.Freq_Res." localSheetId="15" hidden="1">{#N/A,#N/A,TRUE,"FR_HC";#N/A,#N/A,TRUE,"FR_REST";#N/A,#N/A,TRUE,"FR_RETA";#N/A,#N/A,TRUE,"FR_TECSOF";#N/A,#N/A,TRUE,"FR_NETTEC";#N/A,#N/A,TRUE,"FR_CLISER"}</definedName>
    <definedName name="wrn.Freq_Res." hidden="1">{#N/A,#N/A,TRUE,"FR_HC";#N/A,#N/A,TRUE,"FR_REST";#N/A,#N/A,TRUE,"FR_RETA";#N/A,#N/A,TRUE,"FR_TECSOF";#N/A,#N/A,TRUE,"FR_NETTEC";#N/A,#N/A,TRUE,"FR_CLISER"}</definedName>
    <definedName name="wrn.Front._.Page." localSheetId="10" hidden="1">{"Front Page",#N/A,FALSE,"Front and Back"}</definedName>
    <definedName name="wrn.Front._.Page." localSheetId="15" hidden="1">{"Front Page",#N/A,FALSE,"Front and Back"}</definedName>
    <definedName name="wrn.Front._.Page." hidden="1">{"Front Page",#N/A,FALSE,"Front and Back"}</definedName>
    <definedName name="wrn.FRP." localSheetId="10"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RP._1" localSheetId="10" hidden="1">{#N/A,#N/A,FALSE,"Title";#N/A,#N/A,FALSE,"Index";#N/A,#N/A,FALSE,"1";#N/A,#N/A,FALSE,"2";#N/A,#N/A,FALSE,"3";#N/A,#N/A,FALSE,"4";#N/A,#N/A,FALSE,"5";#N/A,#N/A,FALSE,"6";#N/A,#N/A,FALSE,"7";#N/A,#N/A,FALSE,"8"}</definedName>
    <definedName name="wrn.FRP._1" hidden="1">{#N/A,#N/A,FALSE,"Title";#N/A,#N/A,FALSE,"Index";#N/A,#N/A,FALSE,"1";#N/A,#N/A,FALSE,"2";#N/A,#N/A,FALSE,"3";#N/A,#N/A,FALSE,"4";#N/A,#N/A,FALSE,"5";#N/A,#N/A,FALSE,"6";#N/A,#N/A,FALSE,"7";#N/A,#N/A,FALSE,"8"}</definedName>
    <definedName name="wrn.FS." localSheetId="10" hidden="1">{"PL1",#N/A,TRUE,"MOFS";"BS1",#N/A,TRUE,"MOFS";"CF",#N/A,TRUE,"MOFS"}</definedName>
    <definedName name="wrn.FS." hidden="1">{"PL1",#N/A,TRUE,"MOFS";"BS1",#N/A,TRUE,"MOFS";"CF",#N/A,TRUE,"MOFS"}</definedName>
    <definedName name="wrn.FS._.AND._.TBLS._.10K."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localSheetId="1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BANK." localSheetId="10" hidden="1">{"BS_SHORT",#N/A,FALSE,"BS";"PL_BANK",#N/A,FALSE,"Fs-Mtly"}</definedName>
    <definedName name="wrn.FS_BANK." hidden="1">{"BS_SHORT",#N/A,FALSE,"BS";"PL_BANK",#N/A,FALSE,"Fs-Mtly"}</definedName>
    <definedName name="wrn.FS_LONG._.FORMS." localSheetId="10" hidden="1">{"BS_LONG",#N/A,FALSE,"BS";"PL_LONG",#N/A,FALSE,"Fs-Mtly"}</definedName>
    <definedName name="wrn.FS_LONG._.FORMS." hidden="1">{"BS_LONG",#N/A,FALSE,"BS";"PL_LONG",#N/A,FALSE,"Fs-Mtly"}</definedName>
    <definedName name="wrn.FS_SHORT._.FORMS." localSheetId="10" hidden="1">{"BS_SHORT",#N/A,FALSE,"BS";"PL_SHORT",#N/A,FALSE,"Fs-Mtly"}</definedName>
    <definedName name="wrn.FS_SHORT._.FORMS." hidden="1">{"BS_SHORT",#N/A,FALSE,"BS";"PL_SHORT",#N/A,FALSE,"Fs-Mtly"}</definedName>
    <definedName name="wrn.FSAPR." localSheetId="10">{#N/A,#N/A,TRUE,"COVER";#N/A,#N/A,TRUE,"BS";#N/A,#N/A,TRUE,"APR-01";#N/A,#N/A,TRUE,"CF"}</definedName>
    <definedName name="wrn.FSAPR.">{#N/A,#N/A,TRUE,"COVER";#N/A,#N/A,TRUE,"BS";#N/A,#N/A,TRUE,"APR-01";#N/A,#N/A,TRUE,"CF"}</definedName>
    <definedName name="wrn.FSNoInv." localSheetId="10" hidden="1">{"PL1",#N/A,TRUE,"MOFS";"BS1",#N/A,TRUE,"MOFS";"CF1Pg",#N/A,TRUE,"MOFS";"Ohd",#N/A,TRUE,"MOFS"}</definedName>
    <definedName name="wrn.FSNoInv." hidden="1">{"PL1",#N/A,TRUE,"MOFS";"BS1",#N/A,TRUE,"MOFS";"CF1Pg",#N/A,TRUE,"MOFS";"Ohd",#N/A,TRUE,"MOFS"}</definedName>
    <definedName name="wrn.Full." localSheetId="10" hidden="1">{"Comp1",#N/A,FALSE,"COMP";"Comp2",#N/A,FALSE,"COMP";"Comp3",#N/A,FALSE,"COMP";"Comp4",#N/A,FALSE,"COMP"}</definedName>
    <definedName name="wrn.Full." localSheetId="15" hidden="1">{"Comp1",#N/A,FALSE,"COMP";"Comp2",#N/A,FALSE,"COMP";"Comp3",#N/A,FALSE,"COMP";"Comp4",#N/A,FALSE,"COMP"}</definedName>
    <definedName name="wrn.Full." hidden="1">{"Comp1",#N/A,FALSE,"COMP";"Comp2",#N/A,FALSE,"COMP";"Comp3",#N/A,FALSE,"COMP";"Comp4",#N/A,FALSE,"COMP"}</definedName>
    <definedName name="wrn.Full._.Model." localSheetId="10" hidden="1">{"Annual",#N/A,TRUE,"LPX";"Quarterly",#N/A,TRUE,"LPX"}</definedName>
    <definedName name="wrn.Full._.Model." localSheetId="15" hidden="1">{"Annual",#N/A,TRUE,"LPX";"Quarterly",#N/A,TRUE,"LPX"}</definedName>
    <definedName name="wrn.Full._.Model." hidden="1">{"Annual",#N/A,TRUE,"LPX";"Quarterly",#N/A,TRUE,"LPX"}</definedName>
    <definedName name="wrn.Full._.Model._1" localSheetId="1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_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nty."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localSheetId="1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10" hidden="1">{#N/A,#N/A,TRUE,"Income Statement";#N/A,#N/A,TRUE,"Gas Assumptions";#N/A,#N/A,TRUE,"DCF";#N/A,#N/A,TRUE,"Depreciation Matrix";#N/A,#N/A,TRUE,"Matrix";#N/A,#N/A,TRUE,"Matrix_Perpetuity"}</definedName>
    <definedName name="wrn.Full._.Report." localSheetId="15" hidden="1">{#N/A,#N/A,TRUE,"Income Statement";#N/A,#N/A,TRUE,"Gas Assumptions";#N/A,#N/A,TRUE,"DCF";#N/A,#N/A,TRUE,"Depreciation Matrix";#N/A,#N/A,TRUE,"Matrix";#N/A,#N/A,TRUE,"Matrix_Perpetuity"}</definedName>
    <definedName name="wrn.Full._.report." localSheetId="3" hidden="1">{"multiple",#N/A,FALSE,"client (2)";"margins",#N/A,FALSE,"client (2)";"data",#N/A,FALSE,"client (2)";"multiple",#N/A,FALSE,"client";"margins",#N/A,FALSE,"client";"data",#N/A,FALSE,"client"}</definedName>
    <definedName name="wrn.Full._.report." localSheetId="11" hidden="1">{"multiple",#N/A,FALSE,"client (2)";"margins",#N/A,FALSE,"client (2)";"data",#N/A,FALSE,"client (2)";"multiple",#N/A,FALSE,"client";"margins",#N/A,FALSE,"client";"data",#N/A,FALSE,"client"}</definedName>
    <definedName name="wrn.Full._.Report." hidden="1">{#N/A,#N/A,TRUE,"Income Statement";#N/A,#N/A,TRUE,"Gas Assumptions";#N/A,#N/A,TRUE,"DCF";#N/A,#N/A,TRUE,"Depreciation Matrix";#N/A,#N/A,TRUE,"Matrix";#N/A,#N/A,TRUE,"Matrix_Perpetuity"}</definedName>
    <definedName name="wrn.Full._.Report._1" localSheetId="10" hidden="1">{#N/A,#N/A,TRUE,"Income Statement";#N/A,#N/A,TRUE,"Gas Assumptions";#N/A,#N/A,TRUE,"DCF";#N/A,#N/A,TRUE,"Depreciation Matrix";#N/A,#N/A,TRUE,"Matrix";#N/A,#N/A,TRUE,"Matrix_Perpetuity"}</definedName>
    <definedName name="wrn.Full._.Report._1" localSheetId="15" hidden="1">{#N/A,#N/A,TRUE,"Income Statement";#N/A,#N/A,TRUE,"Gas Assumptions";#N/A,#N/A,TRUE,"DCF";#N/A,#N/A,TRUE,"Depreciation Matrix";#N/A,#N/A,TRUE,"Matrix";#N/A,#N/A,TRUE,"Matrix_Perpetuity"}</definedName>
    <definedName name="wrn.Full._.Report._1" hidden="1">{#N/A,#N/A,TRUE,"Income Statement";#N/A,#N/A,TRUE,"Gas Assumptions";#N/A,#N/A,TRUE,"DCF";#N/A,#N/A,TRUE,"Depreciation Matrix";#N/A,#N/A,TRUE,"Matrix";#N/A,#N/A,TRUE,"Matrix_Perpetuity"}</definedName>
    <definedName name="wrn.Full._.Report._1_1" localSheetId="10" hidden="1">{#N/A,#N/A,TRUE,"Income Statement";#N/A,#N/A,TRUE,"Gas Assumptions";#N/A,#N/A,TRUE,"DCF";#N/A,#N/A,TRUE,"Depreciation Matrix";#N/A,#N/A,TRUE,"Matrix";#N/A,#N/A,TRUE,"Matrix_Perpetuity"}</definedName>
    <definedName name="wrn.Full._.Report._1_1" localSheetId="15" hidden="1">{#N/A,#N/A,TRUE,"Income Statement";#N/A,#N/A,TRUE,"Gas Assumptions";#N/A,#N/A,TRUE,"DCF";#N/A,#N/A,TRUE,"Depreciation Matrix";#N/A,#N/A,TRUE,"Matrix";#N/A,#N/A,TRUE,"Matrix_Perpetuity"}</definedName>
    <definedName name="wrn.Full._.Report._1_1" hidden="1">{#N/A,#N/A,TRUE,"Income Statement";#N/A,#N/A,TRUE,"Gas Assumptions";#N/A,#N/A,TRUE,"DCF";#N/A,#N/A,TRUE,"Depreciation Matrix";#N/A,#N/A,TRUE,"Matrix";#N/A,#N/A,TRUE,"Matrix_Perpetuity"}</definedName>
    <definedName name="wrn.Full._.Report._2" localSheetId="10" hidden="1">{#N/A,#N/A,TRUE,"Income Statement";#N/A,#N/A,TRUE,"Gas Assumptions";#N/A,#N/A,TRUE,"DCF";#N/A,#N/A,TRUE,"Depreciation Matrix";#N/A,#N/A,TRUE,"Matrix";#N/A,#N/A,TRUE,"Matrix_Perpetuity"}</definedName>
    <definedName name="wrn.Full._.Report._2" localSheetId="15" hidden="1">{#N/A,#N/A,TRUE,"Income Statement";#N/A,#N/A,TRUE,"Gas Assumptions";#N/A,#N/A,TRUE,"DCF";#N/A,#N/A,TRUE,"Depreciation Matrix";#N/A,#N/A,TRUE,"Matrix";#N/A,#N/A,TRUE,"Matrix_Perpetuity"}</definedName>
    <definedName name="wrn.Full._.Report._2" hidden="1">{#N/A,#N/A,TRUE,"Income Statement";#N/A,#N/A,TRUE,"Gas Assumptions";#N/A,#N/A,TRUE,"DCF";#N/A,#N/A,TRUE,"Depreciation Matrix";#N/A,#N/A,TRUE,"Matrix";#N/A,#N/A,TRUE,"Matrix_Perpetuity"}</definedName>
    <definedName name="wrn.Full._.Report._3" localSheetId="10" hidden="1">{#N/A,#N/A,TRUE,"Income Statement";#N/A,#N/A,TRUE,"Gas Assumptions";#N/A,#N/A,TRUE,"DCF";#N/A,#N/A,TRUE,"Depreciation Matrix";#N/A,#N/A,TRUE,"Matrix";#N/A,#N/A,TRUE,"Matrix_Perpetuity"}</definedName>
    <definedName name="wrn.Full._.Report._3" localSheetId="15" hidden="1">{#N/A,#N/A,TRUE,"Income Statement";#N/A,#N/A,TRUE,"Gas Assumptions";#N/A,#N/A,TRUE,"DCF";#N/A,#N/A,TRUE,"Depreciation Matrix";#N/A,#N/A,TRUE,"Matrix";#N/A,#N/A,TRUE,"Matrix_Perpetuity"}</definedName>
    <definedName name="wrn.Full._.Report._3" hidden="1">{#N/A,#N/A,TRUE,"Income Statement";#N/A,#N/A,TRUE,"Gas Assumptions";#N/A,#N/A,TRUE,"DCF";#N/A,#N/A,TRUE,"Depreciation Matrix";#N/A,#N/A,TRUE,"Matrix";#N/A,#N/A,TRUE,"Matrix_Perpetuity"}</definedName>
    <definedName name="wrn.Full._.report._4" localSheetId="10" hidden="1">{"multiple",#N/A,FALSE,"client (2)";"margins",#N/A,FALSE,"client (2)";"data",#N/A,FALSE,"client (2)";"multiple",#N/A,FALSE,"client";"margins",#N/A,FALSE,"client";"data",#N/A,FALSE,"client"}</definedName>
    <definedName name="wrn.Full._.report._4" hidden="1">{"multiple",#N/A,FALSE,"client (2)";"margins",#N/A,FALSE,"client (2)";"data",#N/A,FALSE,"client (2)";"multiple",#N/A,FALSE,"client";"margins",#N/A,FALSE,"client";"data",#N/A,FALSE,"client"}</definedName>
    <definedName name="wrn.Full._.report._5" localSheetId="10" hidden="1">{"multiple",#N/A,FALSE,"client (2)";"margins",#N/A,FALSE,"client (2)";"data",#N/A,FALSE,"client (2)";"multiple",#N/A,FALSE,"client";"margins",#N/A,FALSE,"client";"data",#N/A,FALSE,"client"}</definedName>
    <definedName name="wrn.Full._.report._5" hidden="1">{"multiple",#N/A,FALSE,"client (2)";"margins",#N/A,FALSE,"client (2)";"data",#N/A,FALSE,"client (2)";"multiple",#N/A,FALSE,"client";"margins",#N/A,FALSE,"client";"data",#N/A,FALSE,"client"}</definedName>
    <definedName name="wrn.full._.report._from_DBAB"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0"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Workbook._.Report._1" localSheetId="10" hidden="1">{"Balance Sheet Summary",#N/A,TRUE,"Balance Sheet";"Cash Flow Summary",#N/A,TRUE,"Cash Flow";"Capital Plan CA Schedule",#N/A,TRUE,"Capital Plan";"Capital Plan Summary",#N/A,TRUE,"Capital Plan"}</definedName>
    <definedName name="wrn.Full._.Workbook._.Report._1" hidden="1">{"Balance Sheet Summary",#N/A,TRUE,"Balance Sheet";"Cash Flow Summary",#N/A,TRUE,"Cash Flow";"Capital Plan CA Schedule",#N/A,TRUE,"Capital Plan";"Capital Plan Summary",#N/A,TRUE,"Capital Plan"}</definedName>
    <definedName name="wrn.Full._.Workbook._.Report._2" localSheetId="10" hidden="1">{"Balance Sheet Summary",#N/A,TRUE,"Balance Sheet";"Cash Flow Summary",#N/A,TRUE,"Cash Flow";"Capital Plan CA Schedule",#N/A,TRUE,"Capital Plan";"Capital Plan Summary",#N/A,TRUE,"Capital Plan"}</definedName>
    <definedName name="wrn.Full._.Workbook._.Report._2" hidden="1">{"Balance Sheet Summary",#N/A,TRUE,"Balance Sheet";"Cash Flow Summary",#N/A,TRUE,"Cash Flow";"Capital Plan CA Schedule",#N/A,TRUE,"Capital Plan";"Capital Plan Summary",#N/A,TRUE,"Capital Plan"}</definedName>
    <definedName name="wrn.Full._.Workbook._.Report._3" localSheetId="10" hidden="1">{"Balance Sheet Summary",#N/A,TRUE,"Balance Sheet";"Cash Flow Summary",#N/A,TRUE,"Cash Flow";"Capital Plan CA Schedule",#N/A,TRUE,"Capital Plan";"Capital Plan Summary",#N/A,TRUE,"Capital Plan"}</definedName>
    <definedName name="wrn.Full._.Workbook._.Report._3" hidden="1">{"Balance Sheet Summary",#N/A,TRUE,"Balance Sheet";"Cash Flow Summary",#N/A,TRUE,"Cash Flow";"Capital Plan CA Schedule",#N/A,TRUE,"Capital Plan";"Capital Plan Summary",#N/A,TRUE,"Capital Plan"}</definedName>
    <definedName name="wrn.Full._.Workbook._.Report._4" localSheetId="10" hidden="1">{"Balance Sheet Summary",#N/A,TRUE,"Balance Sheet";"Cash Flow Summary",#N/A,TRUE,"Cash Flow";"Capital Plan CA Schedule",#N/A,TRUE,"Capital Plan";"Capital Plan Summary",#N/A,TRUE,"Capital Plan"}</definedName>
    <definedName name="wrn.Full._.Workbook._.Report._4" hidden="1">{"Balance Sheet Summary",#N/A,TRUE,"Balance Sheet";"Cash Flow Summary",#N/A,TRUE,"Cash Flow";"Capital Plan CA Schedule",#N/A,TRUE,"Capital Plan";"Capital Plan Summary",#N/A,TRUE,"Capital Plan"}</definedName>
    <definedName name="wrn.Full._.Workbook._.Report._5" localSheetId="10" hidden="1">{"Balance Sheet Summary",#N/A,TRUE,"Balance Sheet";"Cash Flow Summary",#N/A,TRUE,"Cash Flow";"Capital Plan CA Schedule",#N/A,TRUE,"Capital Plan";"Capital Plan Summary",#N/A,TRUE,"Capital Plan"}</definedName>
    <definedName name="wrn.Full._.Workbook._.Report._5" hidden="1">{"Balance Sheet Summary",#N/A,TRUE,"Balance Sheet";"Cash Flow Summary",#N/A,TRUE,"Cash Flow";"Capital Plan CA Schedule",#N/A,TRUE,"Capital Plan";"Capital Plan Summary",#N/A,TRUE,"Capital Plan"}</definedName>
    <definedName name="wrn.full._1" localSheetId="10" hidden="1">{"vi1",#N/A,FALSE,"Pagcc";"vi2",#N/A,FALSE,"Pagcc";"vi3",#N/A,FALSE,"Pagcc";"vi4",#N/A,FALSE,"Pagcc";"vi5",#N/A,FALSE,"Pagcc";#N/A,#N/A,FALSE,"Contribution"}</definedName>
    <definedName name="wrn.full._1" hidden="1">{"vi1",#N/A,FALSE,"Pagcc";"vi2",#N/A,FALSE,"Pagcc";"vi3",#N/A,FALSE,"Pagcc";"vi4",#N/A,FALSE,"Pagcc";"vi5",#N/A,FALSE,"Pagcc";#N/A,#N/A,FALSE,"Contribution"}</definedName>
    <definedName name="wrn.Fullprint." localSheetId="1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d._.II."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0"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Brd._.June._.2000._1" localSheetId="10" hidden="1">{#N/A,#N/A,TRUE,"FD II Portfolio Summary";#N/A,#N/A,TRUE,"JRI";#N/A,#N/A,TRUE,"NDS";#N/A,#N/A,TRUE,"Weasler";#N/A,#N/A,TRUE,"Stronghaven";#N/A,#N/A,TRUE,"Connor";#N/A,#N/A,TRUE,"Docu";#N/A,#N/A,TRUE,"HWC";#N/A,#N/A,TRUE,"Temple"}</definedName>
    <definedName name="wrn.Fund._.II._.Adv.._.Brd._.June._.2000._1" hidden="1">{#N/A,#N/A,TRUE,"FD II Portfolio Summary";#N/A,#N/A,TRUE,"JRI";#N/A,#N/A,TRUE,"NDS";#N/A,#N/A,TRUE,"Weasler";#N/A,#N/A,TRUE,"Stronghaven";#N/A,#N/A,TRUE,"Connor";#N/A,#N/A,TRUE,"Docu";#N/A,#N/A,TRUE,"HWC";#N/A,#N/A,TRUE,"Temple"}</definedName>
    <definedName name="wrn.Fund._.II._.Adv._.Mtg.."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_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1"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I."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_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_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1"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V._.Adv.._.Brd.._.June._.2000." localSheetId="10"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_.IV._.Adv.._.Brd.._.June._.2000._1" localSheetId="10" hidden="1">{#N/A,#N/A,TRUE,"FD IV Portfolio Summary ";#N/A,#N/A,TRUE,"Western";#N/A,#N/A,TRUE,"Kranson";#N/A,#N/A,TRUE,"ARC";#N/A,#N/A,TRUE,"Precise";#N/A,#N/A,TRUE,"WNA"}</definedName>
    <definedName name="wrn.Fund._.IV._.Adv.._.Brd.._.June._.2000._1" hidden="1">{#N/A,#N/A,TRUE,"FD IV Portfolio Summary ";#N/A,#N/A,TRUE,"Western";#N/A,#N/A,TRUE,"Kranson";#N/A,#N/A,TRUE,"ARC";#N/A,#N/A,TRUE,"Precise";#N/A,#N/A,TRUE,"WNA"}</definedName>
    <definedName name="wrn.Funnel._.Report." localSheetId="10" hidden="1">{#N/A,#N/A,FALSE,"funnel";#N/A,#N/A,FALSE,"AE Summary";#N/A,#N/A,FALSE,"Product Summary"}</definedName>
    <definedName name="wrn.Funnel._.Report." hidden="1">{#N/A,#N/A,FALSE,"funnel";#N/A,#N/A,FALSE,"AE Summary";#N/A,#N/A,FALSE,"Product Summary"}</definedName>
    <definedName name="wrn.fusite." localSheetId="10" hidden="1">{#N/A,#N/A,FALSE,"FUSITE SK";#N/A,#N/A,FALSE,"FUSITE RG"}</definedName>
    <definedName name="wrn.fusite." hidden="1">{#N/A,#N/A,FALSE,"FUSITE SK";#N/A,#N/A,FALSE,"FUSITE RG"}</definedName>
    <definedName name="wrn.FY._.2000." localSheetId="10">{#N/A,#N/A,TRUE,"Cover00";#N/A,#N/A,TRUE,"Contents";#N/A,#N/A,TRUE,"IS00";#N/A,#N/A,TRUE,"BS00";#N/A,#N/A,TRUE,"CF00";#N/A,#N/A,TRUE,"SE00";#N/A,#N/A,TRUE,"COGS00";#N/A,#N/A,TRUE,"SG&amp;A00";#N/A,#N/A,TRUE,"Interest00";#N/A,#N/A,TRUE,"Stats00";#N/A,#N/A,TRUE,"Covenants00"}</definedName>
    <definedName name="wrn.FY._.2000.">{#N/A,#N/A,TRUE,"Cover00";#N/A,#N/A,TRUE,"Contents";#N/A,#N/A,TRUE,"IS00";#N/A,#N/A,TRUE,"BS00";#N/A,#N/A,TRUE,"CF00";#N/A,#N/A,TRUE,"SE00";#N/A,#N/A,TRUE,"COGS00";#N/A,#N/A,TRUE,"SG&amp;A00";#N/A,#N/A,TRUE,"Interest00";#N/A,#N/A,TRUE,"Stats00";#N/A,#N/A,TRUE,"Covenants00"}</definedName>
    <definedName name="wrn.FY._.2001." localSheetId="10">{#N/A,#N/A,TRUE,"Cover01";#N/A,#N/A,TRUE,"Contents";#N/A,#N/A,TRUE,"IS01";#N/A,#N/A,TRUE,"BS01";#N/A,#N/A,TRUE,"CF01";#N/A,#N/A,TRUE,"SE01";#N/A,#N/A,TRUE,"COGS01";#N/A,#N/A,TRUE,"SG&amp;A01";#N/A,#N/A,TRUE,"Interest01";#N/A,#N/A,TRUE,"Stats01";#N/A,#N/A,TRUE,"Covenants01"}</definedName>
    <definedName name="wrn.FY._.2001.">{#N/A,#N/A,TRUE,"Cover01";#N/A,#N/A,TRUE,"Contents";#N/A,#N/A,TRUE,"IS01";#N/A,#N/A,TRUE,"BS01";#N/A,#N/A,TRUE,"CF01";#N/A,#N/A,TRUE,"SE01";#N/A,#N/A,TRUE,"COGS01";#N/A,#N/A,TRUE,"SG&amp;A01";#N/A,#N/A,TRUE,"Interest01";#N/A,#N/A,TRUE,"Stats01";#N/A,#N/A,TRUE,"Covenants01"}</definedName>
    <definedName name="wrn.FY._.2001._.Budget." localSheetId="10"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1._.Budget."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2." localSheetId="10">{#N/A,#N/A,TRUE,"Cover02";"Fiscal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10">{"FY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 localSheetId="10" hidden="1">{"FY00",#N/A,FALSE,"Sheet1"}</definedName>
    <definedName name="wrn.FY00._.Summary." hidden="1">{"FY00",#N/A,FALSE,"Sheet1"}</definedName>
    <definedName name="wrn.FY01._.Target." localSheetId="10" hidden="1">{"FY01 TARGET",#N/A,FALSE,"Sheet1"}</definedName>
    <definedName name="wrn.FY01._.Target." hidden="1">{"FY01 TARGET",#N/A,FALSE,"Sheet1"}</definedName>
    <definedName name="wrn.FY01_Fin_Stmts." localSheetId="10" hidden="1">{"FY01_Assets",#N/A,FALSE,"Fin Stmt Budget";"FY01_Liabilities",#N/A,FALSE,"Fin Stmt Budget";"FY01_Inc_Stmt",#N/A,FALSE,"Fin Stmt Budget";"FY01_SOCF",#N/A,FALSE,"Fin Stmt Budget"}</definedName>
    <definedName name="wrn.FY01_Fin_Stmts." localSheetId="15" hidden="1">{"FY01_Assets",#N/A,FALSE,"Fin Stmt Budget";"FY01_Liabilities",#N/A,FALSE,"Fin Stmt Budget";"FY01_Inc_Stmt",#N/A,FALSE,"Fin Stmt Budget";"FY01_SOCF",#N/A,FALSE,"Fin Stmt Budget"}</definedName>
    <definedName name="wrn.FY01_Fin_Stmts." hidden="1">{"FY01_Assets",#N/A,FALSE,"Fin Stmt Budget";"FY01_Liabilities",#N/A,FALSE,"Fin Stmt Budget";"FY01_Inc_Stmt",#N/A,FALSE,"Fin Stmt Budget";"FY01_SOCF",#N/A,FALSE,"Fin Stmt Budget"}</definedName>
    <definedName name="wrn.FY02_Fin_Stmts." localSheetId="10" hidden="1">{"FY02_Assets",#N/A,FALSE,"Fin Stmt Budget";"FY02_Liabilities",#N/A,FALSE,"Fin Stmt Budget";"FY02_Inc_Stmt",#N/A,FALSE,"Fin Stmt Budget";"FY02_SOCF",#N/A,FALSE,"Fin Stmt Budget"}</definedName>
    <definedName name="wrn.FY02_Fin_Stmts." localSheetId="15" hidden="1">{"FY02_Assets",#N/A,FALSE,"Fin Stmt Budget";"FY02_Liabilities",#N/A,FALSE,"Fin Stmt Budget";"FY02_Inc_Stmt",#N/A,FALSE,"Fin Stmt Budget";"FY02_SOCF",#N/A,FALSE,"Fin Stmt Budget"}</definedName>
    <definedName name="wrn.FY02_Fin_Stmts." hidden="1">{"FY02_Assets",#N/A,FALSE,"Fin Stmt Budget";"FY02_Liabilities",#N/A,FALSE,"Fin Stmt Budget";"FY02_Inc_Stmt",#N/A,FALSE,"Fin Stmt Budget";"FY02_SOCF",#N/A,FALSE,"Fin Stmt Budget"}</definedName>
    <definedName name="wrn.FY03_Fin_Stmts." localSheetId="10" hidden="1">{"FY03_Assets",#N/A,FALSE,"Fin Stmt Budget";"FY03_Liabilities",#N/A,FALSE,"Fin Stmt Budget";"FY03_Inc_Stmt",#N/A,FALSE,"Fin Stmt Budget";"FY03_SOCF",#N/A,FALSE,"Fin Stmt Budget"}</definedName>
    <definedName name="wrn.FY03_Fin_Stmts." localSheetId="15" hidden="1">{"FY03_Assets",#N/A,FALSE,"Fin Stmt Budget";"FY03_Liabilities",#N/A,FALSE,"Fin Stmt Budget";"FY03_Inc_Stmt",#N/A,FALSE,"Fin Stmt Budget";"FY03_SOCF",#N/A,FALSE,"Fin Stmt Budget"}</definedName>
    <definedName name="wrn.FY03_Fin_Stmts." hidden="1">{"FY03_Assets",#N/A,FALSE,"Fin Stmt Budget";"FY03_Liabilities",#N/A,FALSE,"Fin Stmt Budget";"FY03_Inc_Stmt",#N/A,FALSE,"Fin Stmt Budget";"FY03_SOCF",#N/A,FALSE,"Fin Stmt Budget"}</definedName>
    <definedName name="wrn.FY04_Fin._.Stmts." localSheetId="10" hidden="1">{"FY04_Assets",#N/A,FALSE,"Fin Stmt Budget";"FY04_Liabilities",#N/A,FALSE,"Fin Stmt Budget";"FY04_Inc_Stmt",#N/A,FALSE,"Fin Stmt Budget";"FY04_SOCF",#N/A,FALSE,"Fin Stmt Budget"}</definedName>
    <definedName name="wrn.FY04_Fin._.Stmts." localSheetId="15" hidden="1">{"FY04_Assets",#N/A,FALSE,"Fin Stmt Budget";"FY04_Liabilities",#N/A,FALSE,"Fin Stmt Budget";"FY04_Inc_Stmt",#N/A,FALSE,"Fin Stmt Budget";"FY04_SOCF",#N/A,FALSE,"Fin Stmt Budget"}</definedName>
    <definedName name="wrn.FY04_Fin._.Stmts." hidden="1">{"FY04_Assets",#N/A,FALSE,"Fin Stmt Budget";"FY04_Liabilities",#N/A,FALSE,"Fin Stmt Budget";"FY04_Inc_Stmt",#N/A,FALSE,"Fin Stmt Budget";"FY04_SOCF",#N/A,FALSE,"Fin Stmt Budget"}</definedName>
    <definedName name="wrn.FY06" localSheetId="10" hidden="1">{"FY04_Assets",#N/A,FALSE,"Fin Stmt Budget";"FY04_Liabilities",#N/A,FALSE,"Fin Stmt Budget";"FY04_Inc_Stmt",#N/A,FALSE,"Fin Stmt Budget";"FY04_SOCF",#N/A,FALSE,"Fin Stmt Budget"}</definedName>
    <definedName name="wrn.FY06" localSheetId="15"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localSheetId="10" hidden="1">{"FY01_Assets",#N/A,FALSE,"Fin Stmt Budget";"FY01_Liabilities",#N/A,FALSE,"Fin Stmt Budget";"FY01_Inc_Stmt",#N/A,FALSE,"Fin Stmt Budget";"FY01_SOCF",#N/A,FALSE,"Fin Stmt Budget"}</definedName>
    <definedName name="wrn.FY07" localSheetId="15" hidden="1">{"FY01_Assets",#N/A,FALSE,"Fin Stmt Budget";"FY01_Liabilities",#N/A,FALSE,"Fin Stmt Budget";"FY01_Inc_Stmt",#N/A,FALSE,"Fin Stmt Budget";"FY01_SOCF",#N/A,FALSE,"Fin Stmt Budget"}</definedName>
    <definedName name="wrn.FY07" hidden="1">{"FY01_Assets",#N/A,FALSE,"Fin Stmt Budget";"FY01_Liabilities",#N/A,FALSE,"Fin Stmt Budget";"FY01_Inc_Stmt",#N/A,FALSE,"Fin Stmt Budget";"FY01_SOCF",#N/A,FALSE,"Fin Stmt Budget"}</definedName>
    <definedName name="wrn.FY07_fin" localSheetId="10" hidden="1">{"FY04_Assets",#N/A,FALSE,"Fin Stmt Budget";"FY04_Liabilities",#N/A,FALSE,"Fin Stmt Budget";"FY04_Inc_Stmt",#N/A,FALSE,"Fin Stmt Budget";"FY04_SOCF",#N/A,FALSE,"Fin Stmt Budget"}</definedName>
    <definedName name="wrn.FY07_fin" localSheetId="15" hidden="1">{"FY04_Assets",#N/A,FALSE,"Fin Stmt Budget";"FY04_Liabilities",#N/A,FALSE,"Fin Stmt Budget";"FY04_Inc_Stmt",#N/A,FALSE,"Fin Stmt Budget";"FY04_SOCF",#N/A,FALSE,"Fin Stmt Budget"}</definedName>
    <definedName name="wrn.FY07_fin" hidden="1">{"FY04_Assets",#N/A,FALSE,"Fin Stmt Budget";"FY04_Liabilities",#N/A,FALSE,"Fin Stmt Budget";"FY04_Inc_Stmt",#N/A,FALSE,"Fin Stmt Budget";"FY04_SOCF",#N/A,FALSE,"Fin Stmt Budget"}</definedName>
    <definedName name="wrn.FY9596OpStats.Periodly." localSheetId="10" hidden="1">{"FY9596OpStats.Periodly",#N/A,TRUE,"Operations";"FY9596CndIncStats.Periodly",#N/A,TRUE,"P&amp;L"}</definedName>
    <definedName name="wrn.FY9596OpStats.Periodly." hidden="1">{"FY9596OpStats.Periodly",#N/A,TRUE,"Operations";"FY9596CndIncStats.Periodly",#N/A,TRUE,"P&amp;L"}</definedName>
    <definedName name="wrn.FY96sbp99" localSheetId="10" hidden="1">{#N/A,#N/A,FALSE,"FY97";#N/A,#N/A,FALSE,"FY98";#N/A,#N/A,FALSE,"FY99";#N/A,#N/A,FALSE,"FY00";#N/A,#N/A,FALSE,"FY01"}</definedName>
    <definedName name="wrn.FY96sbp99" localSheetId="15" hidden="1">{#N/A,#N/A,FALSE,"FY97";#N/A,#N/A,FALSE,"FY98";#N/A,#N/A,FALSE,"FY99";#N/A,#N/A,FALSE,"FY00";#N/A,#N/A,FALSE,"FY01"}</definedName>
    <definedName name="wrn.FY96sbp99" hidden="1">{#N/A,#N/A,FALSE,"FY97";#N/A,#N/A,FALSE,"FY98";#N/A,#N/A,FALSE,"FY99";#N/A,#N/A,FALSE,"FY00";#N/A,#N/A,FALSE,"FY01"}</definedName>
    <definedName name="wrn.FY97SBP." localSheetId="10" hidden="1">{#N/A,#N/A,FALSE,"FY97";#N/A,#N/A,FALSE,"FY98";#N/A,#N/A,FALSE,"FY99";#N/A,#N/A,FALSE,"FY00";#N/A,#N/A,FALSE,"FY01"}</definedName>
    <definedName name="wrn.FY97SBP." localSheetId="15" hidden="1">{#N/A,#N/A,FALSE,"FY97";#N/A,#N/A,FALSE,"FY98";#N/A,#N/A,FALSE,"FY99";#N/A,#N/A,FALSE,"FY00";#N/A,#N/A,FALSE,"FY01"}</definedName>
    <definedName name="wrn.FY97SBP." hidden="1">{#N/A,#N/A,FALSE,"FY97";#N/A,#N/A,FALSE,"FY98";#N/A,#N/A,FALSE,"FY99";#N/A,#N/A,FALSE,"FY00";#N/A,#N/A,FALSE,"FY01"}</definedName>
    <definedName name="wrn.FY97SBP.1" localSheetId="10" hidden="1">{#N/A,#N/A,FALSE,"FY97";#N/A,#N/A,FALSE,"FY98";#N/A,#N/A,FALSE,"FY99";#N/A,#N/A,FALSE,"FY00";#N/A,#N/A,FALSE,"FY01"}</definedName>
    <definedName name="wrn.FY97SBP.1" hidden="1">{#N/A,#N/A,FALSE,"FY97";#N/A,#N/A,FALSE,"FY98";#N/A,#N/A,FALSE,"FY99";#N/A,#N/A,FALSE,"FY00";#N/A,#N/A,FALSE,"FY01"}</definedName>
    <definedName name="wrn.FY97SBP2" localSheetId="10" hidden="1">{#N/A,#N/A,FALSE,"FY97";#N/A,#N/A,FALSE,"FY98";#N/A,#N/A,FALSE,"FY99";#N/A,#N/A,FALSE,"FY00";#N/A,#N/A,FALSE,"FY01"}</definedName>
    <definedName name="wrn.FY97SBP2" localSheetId="15" hidden="1">{#N/A,#N/A,FALSE,"FY97";#N/A,#N/A,FALSE,"FY98";#N/A,#N/A,FALSE,"FY99";#N/A,#N/A,FALSE,"FY00";#N/A,#N/A,FALSE,"FY01"}</definedName>
    <definedName name="wrn.FY97SBP2" hidden="1">{#N/A,#N/A,FALSE,"FY97";#N/A,#N/A,FALSE,"FY98";#N/A,#N/A,FALSE,"FY99";#N/A,#N/A,FALSE,"FY00";#N/A,#N/A,FALSE,"FY01"}</definedName>
    <definedName name="wrn.GB._.99." localSheetId="10" hidden="1">{#N/A,#N/A,FALSE,"Umsatz 99";#N/A,#N/A,FALSE,"ER 99 "}</definedName>
    <definedName name="wrn.GB._.99." hidden="1">{#N/A,#N/A,FALSE,"Umsatz 99";#N/A,#N/A,FALSE,"ER 99 "}</definedName>
    <definedName name="wrn.GB._.CH." localSheetId="10"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10"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10"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10"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10"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10"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localSheetId="10" hidden="1">{"gcicash",#N/A,FALSE,"GCIINC";"gciinc",#N/A,FALSE,"GCIINC";"gciexclusa",#N/A,FALSE,"GCIINC";"usatdy",#N/A,FALSE,"GCIINC"}</definedName>
    <definedName name="wrn.GCIall." localSheetId="15" hidden="1">{"gcicash",#N/A,FALSE,"GCIINC";"gciinc",#N/A,FALSE,"GCIINC";"gciexclusa",#N/A,FALSE,"GCIINC";"usatdy",#N/A,FALSE,"GCIINC"}</definedName>
    <definedName name="wrn.GCIall." hidden="1">{"gcicash",#N/A,FALSE,"GCIINC";"gciinc",#N/A,FALSE,"GCIINC";"gciexclusa",#N/A,FALSE,"GCIINC";"usatdy",#N/A,FALSE,"GCIINC"}</definedName>
    <definedName name="wrn.GEER_report." localSheetId="10" hidden="1">{#N/A,#N/A,FALSE,"Table_Ass.";#N/A,#N/A,FALSE,"# of cust";#N/A,#N/A,FALSE,"Res_Report";#N/A,#N/A,FALSE,"Income Statement";"Qtr Cust",#N/A,FALSE,"Qtrly Proj"}</definedName>
    <definedName name="wrn.GEER_report." localSheetId="15"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neral._.OTC." localSheetId="10">{#N/A,#N/A,FALSE,"Title Page (3)";#N/A,#N/A,FALSE,"YTD - OTC";#N/A,#N/A,FALSE,"MTH - OTC"}</definedName>
    <definedName name="wrn.General._.OTC.">{#N/A,#N/A,FALSE,"Title Page (3)";#N/A,#N/A,FALSE,"YTD - OTC";#N/A,#N/A,FALSE,"MTH - OTC"}</definedName>
    <definedName name="wrn.General._.Pharm." localSheetId="10">{#N/A,#N/A,FALSE,"Title Page (2)";#N/A,#N/A,FALSE,"YTD - Pharm";#N/A,#N/A,FALSE,"MTH - Pharm"}</definedName>
    <definedName name="wrn.General._.Pharm.">{#N/A,#N/A,FALSE,"Title Page (2)";#N/A,#N/A,FALSE,"YTD - Pharm";#N/A,#N/A,FALSE,"MTH - Pharm"}</definedName>
    <definedName name="wrn.General._.Total." localSheetId="10">{#N/A,#N/A,FALSE,"Title Page (4)";#N/A,#N/A,FALSE,"YTD - Total";#N/A,#N/A,FALSE,"MTH - Total"}</definedName>
    <definedName name="wrn.General._.Total.">{#N/A,#N/A,FALSE,"Title Page (4)";#N/A,#N/A,FALSE,"YTD - Total";#N/A,#N/A,FALSE,"MTH - Total"}</definedName>
    <definedName name="wrn.Geographic._.Trends." localSheetId="10" hidden="1">{"Geographic P1",#N/A,FALSE,"Division &amp; Geog"}</definedName>
    <definedName name="wrn.Geographic._.Trends." localSheetId="15" hidden="1">{"Geographic P1",#N/A,FALSE,"Division &amp; Geog"}</definedName>
    <definedName name="wrn.Geographic._.Trends." hidden="1">{"Geographic P1",#N/A,FALSE,"Division &amp; Geog"}</definedName>
    <definedName name="wrn.GIS." localSheetId="10" hidden="1">{#N/A,#N/A,FALSE,"GIS"}</definedName>
    <definedName name="wrn.GIS." hidden="1">{#N/A,#N/A,FALSE,"GIS"}</definedName>
    <definedName name="wrn.GMtest." localSheetId="10" hidden="1">{#N/A,#N/A,FALSE,"GMtest"}</definedName>
    <definedName name="wrn.GMtest." hidden="1">{#N/A,#N/A,FALSE,"GMtest"}</definedName>
    <definedName name="wrn.Grainger." localSheetId="10" hidden="1">{"Income Statement",#N/A,FALSE,"Annual";"Balance Sheet",#N/A,FALSE,"Annual";"Cash Flow Statement",#N/A,FALSE,"Annual";"ROIC",#N/A,FALSE,"Annual"}</definedName>
    <definedName name="wrn.Grainger." hidden="1">{"Income Statement",#N/A,FALSE,"Annual";"Balance Sheet",#N/A,FALSE,"Annual";"Cash Flow Statement",#N/A,FALSE,"Annual";"ROIC",#N/A,FALSE,"Annual"}</definedName>
    <definedName name="wrn.GRAPHS." localSheetId="10" hidden="1">{#N/A,#N/A,FALSE,"ACQ_GRAPHS";#N/A,#N/A,FALSE,"T_1 GRAPHS";#N/A,#N/A,FALSE,"T_2 GRAPHS";#N/A,#N/A,FALSE,"COMB_GRAPHS"}</definedName>
    <definedName name="wrn.GRAPHS." localSheetId="15" hidden="1">{#N/A,#N/A,FALSE,"ACQ_GRAPHS";#N/A,#N/A,FALSE,"T_1 GRAPHS";#N/A,#N/A,FALSE,"T_2 GRAPHS";#N/A,#N/A,FALSE,"COMB_GRAPHS"}</definedName>
    <definedName name="wrn.GRAPHS." hidden="1">{#N/A,#N/A,FALSE,"ACQ_GRAPHS";#N/A,#N/A,FALSE,"T_1 GRAPHS";#N/A,#N/A,FALSE,"T_2 GRAPHS";#N/A,#N/A,FALSE,"COMB_GRAPHS"}</definedName>
    <definedName name="wrn.Graphs._.Page." localSheetId="10" hidden="1">{"Graphs page",#N/A,FALSE,"Summary"}</definedName>
    <definedName name="wrn.Graphs._.Page." localSheetId="15" hidden="1">{"Graphs page",#N/A,FALSE,"Summary"}</definedName>
    <definedName name="wrn.Graphs._.Page." hidden="1">{"Graphs page",#N/A,FALSE,"Summary"}</definedName>
    <definedName name="wrn.Graphs._.Page._1" localSheetId="10" hidden="1">{"Graphs page",#N/A,FALSE,"Summary"}</definedName>
    <definedName name="wrn.Graphs._.Page._1" localSheetId="15" hidden="1">{"Graphs page",#N/A,FALSE,"Summary"}</definedName>
    <definedName name="wrn.Graphs._.Page._1" hidden="1">{"Graphs page",#N/A,FALSE,"Summary"}</definedName>
    <definedName name="wrn.Gross._.Profit._.Report." localSheetId="10" hidden="1">{"Monthly",#N/A,FALSE,"Phosphate Gross Profit";"Quarterly",#N/A,FALSE,"Phosphate Gross Profit"}</definedName>
    <definedName name="wrn.Gross._.Profit._.Report." hidden="1">{"Monthly",#N/A,FALSE,"Phosphate Gross Profit";"Quarterly",#N/A,FALSE,"Phosphate Gross Profit"}</definedName>
    <definedName name="wrn.Group." localSheetId="10">{#N/A,#N/A,FALSE,"Summary";#N/A,#N/A,FALSE,"Projections";#N/A,#N/A,FALSE,"Debt Schedule";#N/A,#N/A,FALSE,"Mayline Sales Group";#N/A,#N/A,FALSE,"Sales Groups";#N/A,#N/A,FALSE,"Operating Expenses";#N/A,#N/A,FALSE,"Depreciation";#N/A,#N/A,FALSE,"Balance Sheet";#N/A,#N/A,FALSE,"Working Capital";#N/A,#N/A,FALSE,"Addbacks"}</definedName>
    <definedName name="wrn.Group.">{#N/A,#N/A,FALSE,"Summary";#N/A,#N/A,FALSE,"Projections";#N/A,#N/A,FALSE,"Debt Schedule";#N/A,#N/A,FALSE,"Mayline Sales Group";#N/A,#N/A,FALSE,"Sales Groups";#N/A,#N/A,FALSE,"Operating Expenses";#N/A,#N/A,FALSE,"Depreciation";#N/A,#N/A,FALSE,"Balance Sheet";#N/A,#N/A,FALSE,"Working Capital";#N/A,#N/A,FALSE,"Addbacks"}</definedName>
    <definedName name="wrn.Growth." localSheetId="10" hidden="1">{#N/A,#N/A,FALSE,"Rev Grwth";#N/A,#N/A,FALSE,"Op Inc Grwth";#N/A,#N/A,FALSE,"Net Grwth";#N/A,#N/A,FALSE,"EPS Growth"}</definedName>
    <definedName name="wrn.Growth." hidden="1">{#N/A,#N/A,FALSE,"Rev Grwth";#N/A,#N/A,FALSE,"Op Inc Grwth";#N/A,#N/A,FALSE,"Net Grwth";#N/A,#N/A,FALSE,"EPS Growth"}</definedName>
    <definedName name="wrn.gth." localSheetId="10" hidden="1">{#N/A,#N/A,FALSE,"Title Page";#N/A,#N/A,FALSE,"Summary Sheet"}</definedName>
    <definedName name="wrn.gth." localSheetId="15" hidden="1">{#N/A,#N/A,FALSE,"Title Page";#N/A,#N/A,FALSE,"Summary Sheet"}</definedName>
    <definedName name="wrn.gth." hidden="1">{#N/A,#N/A,FALSE,"Title Page";#N/A,#N/A,FALSE,"Summary Sheet"}</definedName>
    <definedName name="wrn.gti._.qtrly._.stats." localSheetId="10" hidden="1">{"GTI monthly IS",#N/A,FALSE,"gti";#N/A,#N/A,FALSE,"gti"}</definedName>
    <definedName name="wrn.gti._.qtrly._.stats." hidden="1">{"GTI monthly IS",#N/A,FALSE,"gti";#N/A,#N/A,FALSE,"gti"}</definedName>
    <definedName name="wrn.GuV." localSheetId="10" hidden="1">{#N/A,#N/A,FALSE,"Layout GuV"}</definedName>
    <definedName name="wrn.GuV." localSheetId="15" hidden="1">{#N/A,#N/A,FALSE,"Layout GuV"}</definedName>
    <definedName name="wrn.GuV." hidden="1">{#N/A,#N/A,FALSE,"Layout GuV"}</definedName>
    <definedName name="wrn.HAMMOND."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0" hidden="1">{#N/A,#N/A,FALSE,"income st";#N/A,#N/A,FALSE,"cash flow";#N/A,#N/A,FALSE,"bal sheet";#N/A,#N/A,FALSE,"inc. print";#N/A,#N/A,FALSE,"segments"}</definedName>
    <definedName name="wrn.handout." hidden="1">{#N/A,#N/A,FALSE,"income st";#N/A,#N/A,FALSE,"cash flow";#N/A,#N/A,FALSE,"bal sheet";#N/A,#N/A,FALSE,"inc. print";#N/A,#N/A,FALSE,"segments"}</definedName>
    <definedName name="wrn.Headcount._.Worksheet." localSheetId="10" hidden="1">{"Headcount Worksheet",#N/A,FALSE,"HEADCOUNT"}</definedName>
    <definedName name="wrn.Headcount._.Worksheet." hidden="1">{"Headcount Worksheet",#N/A,FALSE,"HEADCOUNT"}</definedName>
    <definedName name="wrn.Heads_96." localSheetId="10" hidden="1">{"heads_96",#N/A,FALSE,"proforma"}</definedName>
    <definedName name="wrn.Heads_96." hidden="1">{"heads_96",#N/A,FALSE,"proforma"}</definedName>
    <definedName name="wrn.heads_97." localSheetId="10" hidden="1">{"heads_97",#N/A,FALSE,"proforma"}</definedName>
    <definedName name="wrn.heads_97." hidden="1">{"heads_97",#N/A,FALSE,"proforma"}</definedName>
    <definedName name="wrn.HEAT." localSheetId="10" hidden="1">{#N/A,#N/A,FALSE,"Heat";#N/A,#N/A,FALSE,"DCF";#N/A,#N/A,FALSE,"LBO";#N/A,#N/A,FALSE,"A";#N/A,#N/A,FALSE,"C";#N/A,#N/A,FALSE,"impd";#N/A,#N/A,FALSE,"Accr-Dilu"}</definedName>
    <definedName name="wrn.HEAT." localSheetId="15" hidden="1">{#N/A,#N/A,FALSE,"Heat";#N/A,#N/A,FALSE,"DCF";#N/A,#N/A,FALSE,"LBO";#N/A,#N/A,FALSE,"A";#N/A,#N/A,FALSE,"C";#N/A,#N/A,FALSE,"impd";#N/A,#N/A,FALSE,"Accr-Dilu"}</definedName>
    <definedName name="wrn.HEAT." hidden="1">{#N/A,#N/A,FALSE,"Heat";#N/A,#N/A,FALSE,"DCF";#N/A,#N/A,FALSE,"LBO";#N/A,#N/A,FALSE,"A";#N/A,#N/A,FALSE,"C";#N/A,#N/A,FALSE,"impd";#N/A,#N/A,FALSE,"Accr-Dilu"}</definedName>
    <definedName name="wrn.HEAT._1" localSheetId="10" hidden="1">{#N/A,#N/A,FALSE,"Heat";#N/A,#N/A,FALSE,"DCF";#N/A,#N/A,FALSE,"LBO";#N/A,#N/A,FALSE,"A";#N/A,#N/A,FALSE,"C";#N/A,#N/A,FALSE,"impd";#N/A,#N/A,FALSE,"Accr-Dilu"}</definedName>
    <definedName name="wrn.HEAT._1" hidden="1">{#N/A,#N/A,FALSE,"Heat";#N/A,#N/A,FALSE,"DCF";#N/A,#N/A,FALSE,"LBO";#N/A,#N/A,FALSE,"A";#N/A,#N/A,FALSE,"C";#N/A,#N/A,FALSE,"impd";#N/A,#N/A,FALSE,"Accr-Dilu"}</definedName>
    <definedName name="wrn.HELIUM._.PRICING." localSheetId="10" hidden="1">{"HELIUM PRICING",#N/A,FALSE,"HELIUM"}</definedName>
    <definedName name="wrn.HELIUM._.PRICING." hidden="1">{"HELIUM PRICING",#N/A,FALSE,"HELIUM"}</definedName>
    <definedName name="wrn.HELIUM._.REVENUE." localSheetId="10" hidden="1">{"HELIUM REVENUE",#N/A,FALSE,"HELIUM"}</definedName>
    <definedName name="wrn.HELIUM._.REVENUE." hidden="1">{"HELIUM REVENUE",#N/A,FALSE,"HELIUM"}</definedName>
    <definedName name="wrn.HELIUM._.VOLUME." localSheetId="10" hidden="1">{"HELIUM VOLUME",#N/A,FALSE,"HELIUM"}</definedName>
    <definedName name="wrn.HELIUM._.VOLUME." hidden="1">{"HELIUM VOLUME",#N/A,FALSE,"HELIUM"}</definedName>
    <definedName name="wrn.historical." localSheetId="10">{"historical_is_annual",#N/A,FALSE,"historical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rev._.backup." localSheetId="10">{"rev_history_revenueDetail",#N/A,FALSE,"historical rev us";"rev_history_minutesDetail",#N/A,FALSE,"historical rev us"}</definedName>
    <definedName name="wrn.historical._.rev._.backup.">{"rev_history_revenueDetail",#N/A,FALSE,"historical rev us";"rev_history_minutesDetail",#N/A,FALSE,"historical rev us"}</definedName>
    <definedName name="wrn.HNZ." localSheetId="10" hidden="1">{#N/A,#N/A,FALSE,"HNZ"}</definedName>
    <definedName name="wrn.HNZ." hidden="1">{#N/A,#N/A,FALSE,"HNZ"}</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Hydraulic2." localSheetId="15"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Hydraulic2._1" localSheetId="10"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I_1._.thru._.I_6._.workpapers." localSheetId="10"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1._.thru._.I_6._.workpapers."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 localSheetId="10"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_7._.thru._.I_21._.workpapers."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CD." localSheetId="10" hidden="1">{"ICD Details",#N/A,FALSE,"Current Yr";"ICD Details",#N/A,FALSE,"Budget";"ICD Details",#N/A,FALSE,"Prior Year"}</definedName>
    <definedName name="wrn.ICD." hidden="1">{"ICD Details",#N/A,FALSE,"Current Yr";"ICD Details",#N/A,FALSE,"Budget";"ICD Details",#N/A,FALSE,"Prior Year"}</definedName>
    <definedName name="wrn.ICD._.Balance._.Sheet." localSheetId="10"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localSheetId="10"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I._.PortRev33102." localSheetId="10"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I._.PortRev33102._1" localSheetId="10" hidden="1">{#N/A,#N/A,TRUE,"Port Summary II";#N/A,#N/A,TRUE,"BV Valuation";#N/A,#N/A,TRUE,"FV Valuation";#N/A,#N/A,TRUE,"JRI";#N/A,#N/A,TRUE,"Weasler";#N/A,#N/A,TRUE,"Stronghaven";#N/A,#N/A,TRUE,"Connor";#N/A,#N/A,TRUE,"HWC";#N/A,#N/A,TRUE,"Temple"}</definedName>
    <definedName name="wrn.II._.PortRev33102._1" hidden="1">{#N/A,#N/A,TRUE,"Port Summary II";#N/A,#N/A,TRUE,"BV Valuation";#N/A,#N/A,TRUE,"FV Valuation";#N/A,#N/A,TRUE,"JRI";#N/A,#N/A,TRUE,"Weasler";#N/A,#N/A,TRUE,"Stronghaven";#N/A,#N/A,TRUE,"Connor";#N/A,#N/A,TRUE,"HWC";#N/A,#N/A,TRUE,"Temple"}</definedName>
    <definedName name="wrn.Ilijan._.Print." localSheetId="10">{#N/A,#N/A,TRUE,"CoverLetter";#N/A,#N/A,TRUE,"Scope";#N/A,#N/A,TRUE,"Table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ression_ss." localSheetId="10"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im."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_.TOUT." localSheetId="10"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ncome." localSheetId="10">{#N/A,#N/A,TRUE,"Income";#N/A,#N/A,TRUE,"IncomeDetail";#N/A,#N/A,TRUE,"Balance";#N/A,#N/A,TRUE,"BalDetail"}</definedName>
    <definedName name="wrn.Income.">{#N/A,#N/A,TRUE,"Income";#N/A,#N/A,TRUE,"IncomeDetail";#N/A,#N/A,TRUE,"Balance";#N/A,#N/A,TRUE,"BalDetail"}</definedName>
    <definedName name="wrn.Income._.Statement." localSheetId="10" hidden="1">{"Income Statement",#N/A,FALSE,"Income Statement"}</definedName>
    <definedName name="wrn.Income._.Statement." localSheetId="15" hidden="1">{"Income Statement",#N/A,FALSE,"Income Statement"}</definedName>
    <definedName name="wrn.Income._.Statement." hidden="1">{"Income Statement",#N/A,FALSE,"Income Statement"}</definedName>
    <definedName name="wrn.Income._.Statement._1" localSheetId="10" hidden="1">{#N/A,#N/A,FALSE,"Income Statement"}</definedName>
    <definedName name="wrn.Income._.Statement._1" hidden="1">{#N/A,#N/A,FALSE,"Income Statement"}</definedName>
    <definedName name="wrn.Income._.Statement._2" localSheetId="10" hidden="1">{#N/A,#N/A,FALSE,"Income Statement"}</definedName>
    <definedName name="wrn.Income._.Statement._2" hidden="1">{#N/A,#N/A,FALSE,"Income Statement"}</definedName>
    <definedName name="wrn.Income._.Statement._3" localSheetId="10" hidden="1">{#N/A,#N/A,FALSE,"Income Statement"}</definedName>
    <definedName name="wrn.Income._.Statement._3" hidden="1">{#N/A,#N/A,FALSE,"Income Statement"}</definedName>
    <definedName name="wrn.Income._.Statement._4" localSheetId="10" hidden="1">{#N/A,#N/A,FALSE,"Income Statement"}</definedName>
    <definedName name="wrn.Income._.Statement._4" hidden="1">{#N/A,#N/A,FALSE,"Income Statement"}</definedName>
    <definedName name="wrn.Income._.Statement._5" localSheetId="10" hidden="1">{#N/A,#N/A,FALSE,"Income Statement"}</definedName>
    <definedName name="wrn.Income._.Statement._5" hidden="1">{#N/A,#N/A,FALSE,"Income Statement"}</definedName>
    <definedName name="wrn.Income._1" localSheetId="10" hidden="1">{"Income",#N/A,FALSE,"Recap IS"}</definedName>
    <definedName name="wrn.Income._1" hidden="1">{"Income",#N/A,FALSE,"Recap IS"}</definedName>
    <definedName name="wrn.Income._1_1" localSheetId="10" hidden="1">{"Income",#N/A,FALSE,"Recap IS"}</definedName>
    <definedName name="wrn.Income._1_1" hidden="1">{"Income",#N/A,FALSE,"Recap IS"}</definedName>
    <definedName name="wrn.Income._2" localSheetId="10" hidden="1">{"Income",#N/A,FALSE,"Recap IS"}</definedName>
    <definedName name="wrn.Income._2" hidden="1">{"Income",#N/A,FALSE,"Recap IS"}</definedName>
    <definedName name="wrn.incomestmt." localSheetId="10"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Stmt." localSheetId="10" hidden="1">{"IncStmt",#N/A,FALSE,"P&amp;L"}</definedName>
    <definedName name="wrn.IncStmt." localSheetId="15" hidden="1">{"IncStmt",#N/A,FALSE,"P&amp;L"}</definedName>
    <definedName name="wrn.IncStmt." hidden="1">{"IncStmt",#N/A,FALSE,"P&amp;L"}</definedName>
    <definedName name="wrn.INDEPS." localSheetId="1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EPS._1" localSheetId="10" hidden="1">{"page1",#N/A,FALSE,"TIND_CC1";"page2",#N/A,FALSE,"TIND_CC1";"page3",#N/A,FALSE,"TIND_CC1";"page4",#N/A,FALSE,"TIND_CC1";"page5",#N/A,FALSE,"TIND_CC1"}</definedName>
    <definedName name="wrn.INDEPS._1" hidden="1">{"page1",#N/A,FALSE,"TIND_CC1";"page2",#N/A,FALSE,"TIND_CC1";"page3",#N/A,FALSE,"TIND_CC1";"page4",#N/A,FALSE,"TIND_CC1";"page5",#N/A,FALSE,"TIND_CC1"}</definedName>
    <definedName name="wrn.Infectious._.Diseases." localSheetId="10">{#N/A,#N/A,FALSE,"Anti";#N/A,#N/A,FALSE,"Cefa";#N/A,#N/A,FALSE,"Ceph";#N/A,#N/A,FALSE,"Cefp";#N/A,#N/A,FALSE,"Cefe";#N/A,#N/A,FALSE,"Pens";#N/A,#N/A,FALSE,"Ampi";#N/A,#N/A,FALSE,"Amox";#N/A,#N/A,FALSE,"Isox";#N/A,#N/A,FALSE,"Aztr";#N/A,#N/A,FALSE,"Videx";#N/A,#N/A,FALSE,"Zerit"}</definedName>
    <definedName name="wrn.Infectious._.Diseases.">{#N/A,#N/A,FALSE,"Anti";#N/A,#N/A,FALSE,"Cefa";#N/A,#N/A,FALSE,"Ceph";#N/A,#N/A,FALSE,"Cefp";#N/A,#N/A,FALSE,"Cefe";#N/A,#N/A,FALSE,"Pens";#N/A,#N/A,FALSE,"Ampi";#N/A,#N/A,FALSE,"Amox";#N/A,#N/A,FALSE,"Isox";#N/A,#N/A,FALSE,"Aztr";#N/A,#N/A,FALSE,"Videx";#N/A,#N/A,FALSE,"Zerit"}</definedName>
    <definedName name="wrn.info." localSheetId="10">{#N/A,#N/A,FALSE,"IT_Summary";#N/A,#N/A,FALSE,"Renaissance";#N/A,#N/A,FALSE,"Intermetrics";#N/A,#N/A,FALSE,"Systems";#N/A,#N/A,FALSE,"IMI";#N/A,#N/A,FALSE,"Landmark";#N/A,#N/A,FALSE,"Rational";#N/A,#N/A,FALSE,"AGS";#N/A,#N/A,FALSE,"GE"}</definedName>
    <definedName name="wrn.info.">{#N/A,#N/A,FALSE,"IT_Summary";#N/A,#N/A,FALSE,"Renaissance";#N/A,#N/A,FALSE,"Intermetrics";#N/A,#N/A,FALSE,"Systems";#N/A,#N/A,FALSE,"IMI";#N/A,#N/A,FALSE,"Landmark";#N/A,#N/A,FALSE,"Rational";#N/A,#N/A,FALSE,"AGS";#N/A,#N/A,FALSE,"GE"}</definedName>
    <definedName name="wrn.Info.Package."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localSheetId="10"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localSheetId="15" hidden="1">{#N/A,#N/A,TRUE,"Summary";#N/A,#N/A,TRUE,"Sensitivity";#N/A,#N/A,TRUE,"Assumptions";#N/A,#N/A,TRUE,"Uses &amp; Sources";#N/A,#N/A,TRUE,"Debt Schedule";#N/A,#N/A,TRUE,"Income Statement";#N/A,#N/A,TRUE,"Cash Flow";#N/A,#N/A,TRUE,"Balance Sheet";#N/A,#N/A,TRUE,"Taxes";#N/A,#N/A,TRUE,"Fixed Assets end 1998";#N/A,#N/A,TRUE,"DeprAcc";#N/A,#N/A,TRUE,"DeprTax"}</definedName>
    <definedName name="wrn.Info.Package._1" hidden="1">{#N/A,#N/A,TRUE,"Summary";#N/A,#N/A,TRUE,"Sensitivity";#N/A,#N/A,TRUE,"Assumptions";#N/A,#N/A,TRUE,"Uses &amp; Sources";#N/A,#N/A,TRUE,"Debt Schedule";#N/A,#N/A,TRUE,"Income Statement";#N/A,#N/A,TRUE,"Cash Flow";#N/A,#N/A,TRUE,"Balance Sheet";#N/A,#N/A,TRUE,"Taxes";#N/A,#N/A,TRUE,"Fixed Assets end 1998";#N/A,#N/A,TRUE,"DeprAcc";#N/A,#N/A,TRUE,"DeprTax"}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0">{#N/A,#N/A,FALSE,"inputs";#N/A,#N/A,FALSE,"inputs"}</definedName>
    <definedName name="wrn.Input._.Print._.Area.">{#N/A,#N/A,FALSE,"inputs";#N/A,#N/A,FALSE,"inputs"}</definedName>
    <definedName name="wrn.Input._.Print._.Area._1" localSheetId="10" hidden="1">{#N/A,#N/A,FALSE,"inputs";#N/A,#N/A,FALSE,"inputs"}</definedName>
    <definedName name="wrn.Input._.Print._.Area._1" hidden="1">{#N/A,#N/A,FALSE,"inputs";#N/A,#N/A,FALSE,"inputs"}</definedName>
    <definedName name="wrn.Input._.Print._.Area._1_1" localSheetId="10" hidden="1">{#N/A,#N/A,FALSE,"inputs";#N/A,#N/A,FALSE,"inputs"}</definedName>
    <definedName name="wrn.Input._.Print._.Area._1_1" hidden="1">{#N/A,#N/A,FALSE,"inputs";#N/A,#N/A,FALSE,"inputs"}</definedName>
    <definedName name="wrn.Input._.Print._.Area._2" localSheetId="10" hidden="1">{#N/A,#N/A,FALSE,"inputs";#N/A,#N/A,FALSE,"inputs"}</definedName>
    <definedName name="wrn.Input._.Print._.Area._2" hidden="1">{#N/A,#N/A,FALSE,"inputs";#N/A,#N/A,FALSE,"inputs"}</definedName>
    <definedName name="wrn.Inputsheet_ProjectInput." localSheetId="10" hidden="1">{"ProjectInput",#N/A,FALSE,"INPUT-AREA"}</definedName>
    <definedName name="wrn.Inputsheet_ProjectInput." hidden="1">{"ProjectInput",#N/A,FALSE,"INPUT-AREA"}</definedName>
    <definedName name="wrn.INTANGIBLES." localSheetId="10" hidden="1">{#N/A,#N/A,FALSE,"T-1 Intangibles"}</definedName>
    <definedName name="wrn.INTANGIBLES." hidden="1">{#N/A,#N/A,FALSE,"T-1 Intangibles"}</definedName>
    <definedName name="wrn.INTEREST." localSheetId="10" hidden="1">{#N/A,#N/A,FALSE,"0700 Interest Expense";#N/A,#N/A,FALSE,"0700-1 Summary of Interest Earn"}</definedName>
    <definedName name="wrn.INTEREST." hidden="1">{#N/A,#N/A,FALSE,"0700 Interest Expense";#N/A,#N/A,FALSE,"0700-1 Summary of Interest Earn"}</definedName>
    <definedName name="wrn.Internal." localSheetId="1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 localSheetId="15"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is." localSheetId="10" hidden="1">{"internal is",#N/A,FALSE,"Model"}</definedName>
    <definedName name="wrn.Internal._.is." localSheetId="15" hidden="1">{"internal is",#N/A,FALSE,"Model"}</definedName>
    <definedName name="wrn.Internal._.is." hidden="1">{"internal is",#N/A,FALSE,"Model"}</definedName>
    <definedName name="wrn.Internal._.Report._.for._.Martha." localSheetId="1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localSheetId="1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Plan." localSheetId="10" hidden="1">{#N/A,#N/A,TRUE,"Input prnt";#N/A,#N/A,TRUE,"P&amp;L BusPl";"CF BusPlan",#N/A,TRUE,"FCashflow";"BS short",#N/A,TRUE,"BS Qu";#N/A,#N/A,TRUE,"BusPlan Info"}</definedName>
    <definedName name="wrn.InternalPlan." hidden="1">{#N/A,#N/A,TRUE,"Input prnt";#N/A,#N/A,TRUE,"P&amp;L BusPl";"CF BusPlan",#N/A,TRUE,"FCashflow";"BS short",#N/A,TRUE,"BS Qu";#N/A,#N/A,TRUE,"BusPlan Info"}</definedName>
    <definedName name="wrn.InternalPlan._1" localSheetId="10" hidden="1">{#N/A,#N/A,TRUE,"Input prnt";#N/A,#N/A,TRUE,"P&amp;L BusPl";"CF BusPlan",#N/A,TRUE,"FCashflow";"BS short",#N/A,TRUE,"BS Qu";#N/A,#N/A,TRUE,"BusPlan Info"}</definedName>
    <definedName name="wrn.InternalPlan._1" hidden="1">{#N/A,#N/A,TRUE,"Input prnt";#N/A,#N/A,TRUE,"P&amp;L BusPl";"CF BusPlan",#N/A,TRUE,"FCashflow";"BS short",#N/A,TRUE,"BS Qu";#N/A,#N/A,TRUE,"BusPlan Info"}</definedName>
    <definedName name="wrn.InternalPlan._2" localSheetId="10" hidden="1">{#N/A,#N/A,TRUE,"Input prnt";#N/A,#N/A,TRUE,"P&amp;L BusPl";"CF BusPlan",#N/A,TRUE,"FCashflow";"BS short",#N/A,TRUE,"BS Qu";#N/A,#N/A,TRUE,"BusPlan Info"}</definedName>
    <definedName name="wrn.InternalPlan._2" hidden="1">{#N/A,#N/A,TRUE,"Input prnt";#N/A,#N/A,TRUE,"P&amp;L BusPl";"CF BusPlan",#N/A,TRUE,"FCashflow";"BS short",#N/A,TRUE,"BS Qu";#N/A,#N/A,TRUE,"BusPlan Info"}</definedName>
    <definedName name="wrn.InternalPlan._3" localSheetId="10" hidden="1">{#N/A,#N/A,TRUE,"Input prnt";#N/A,#N/A,TRUE,"P&amp;L BusPl";"CF BusPlan",#N/A,TRUE,"FCashflow";"BS short",#N/A,TRUE,"BS Qu";#N/A,#N/A,TRUE,"BusPlan Info"}</definedName>
    <definedName name="wrn.InternalPlan._3" hidden="1">{#N/A,#N/A,TRUE,"Input prnt";#N/A,#N/A,TRUE,"P&amp;L BusPl";"CF BusPlan",#N/A,TRUE,"FCashflow";"BS short",#N/A,TRUE,"BS Qu";#N/A,#N/A,TRUE,"BusPlan Info"}</definedName>
    <definedName name="wrn.InternalPlan._4" localSheetId="10" hidden="1">{#N/A,#N/A,TRUE,"Input prnt";#N/A,#N/A,TRUE,"P&amp;L BusPl";"CF BusPlan",#N/A,TRUE,"FCashflow";"BS short",#N/A,TRUE,"BS Qu";#N/A,#N/A,TRUE,"BusPlan Info"}</definedName>
    <definedName name="wrn.InternalPlan._4" hidden="1">{#N/A,#N/A,TRUE,"Input prnt";#N/A,#N/A,TRUE,"P&amp;L BusPl";"CF BusPlan",#N/A,TRUE,"FCashflow";"BS short",#N/A,TRUE,"BS Qu";#N/A,#N/A,TRUE,"BusPlan Info"}</definedName>
    <definedName name="wrn.InternalPlan._5" localSheetId="10" hidden="1">{#N/A,#N/A,TRUE,"Input prnt";#N/A,#N/A,TRUE,"P&amp;L BusPl";"CF BusPlan",#N/A,TRUE,"FCashflow";"BS short",#N/A,TRUE,"BS Qu";#N/A,#N/A,TRUE,"BusPlan Info"}</definedName>
    <definedName name="wrn.InternalPlan._5" hidden="1">{#N/A,#N/A,TRUE,"Input prnt";#N/A,#N/A,TRUE,"P&amp;L BusPl";"CF BusPlan",#N/A,TRUE,"FCashflow";"BS short",#N/A,TRUE,"BS Qu";#N/A,#N/A,TRUE,"BusPlan Info"}</definedName>
    <definedName name="wrn.International._.Totals." localSheetId="10" hidden="1">{"International Total",#N/A,FALSE,"Sheet1";"Mexico (5)",#N/A,FALSE,"Sheet1";"Mexico (37)",#N/A,FALSE,"Sheet1";"Puerto Rico (10)",#N/A,FALSE,"Sheet1"}</definedName>
    <definedName name="wrn.International._.Totals." hidden="1">{"International Total",#N/A,FALSE,"Sheet1";"Mexico (5)",#N/A,FALSE,"Sheet1";"Mexico (37)",#N/A,FALSE,"Sheet1";"Puerto Rico (10)",#N/A,FALSE,"Sheet1"}</definedName>
    <definedName name="wrn.INTL._.GROUP." localSheetId="10" hidden="1">{"INTLGROUP",#N/A,FALSE,"INTL GROUP"}</definedName>
    <definedName name="wrn.INTL._.GROUP." hidden="1">{"INTLGROUP",#N/A,FALSE,"INTL GROUP"}</definedName>
    <definedName name="wrn.INVcharacteristics." localSheetId="10" hidden="1">{#N/A,#N/A,FALSE,"INVchar"}</definedName>
    <definedName name="wrn.INVcharacteristics." hidden="1">{#N/A,#N/A,FALSE,"INVchar"}</definedName>
    <definedName name="wrn.INVcomparative." localSheetId="10" hidden="1">{#N/A,#N/A,FALSE,"INVcomp"}</definedName>
    <definedName name="wrn.INVcomparative." hidden="1">{#N/A,#N/A,FALSE,"INVcomp"}</definedName>
    <definedName name="wrn.INVENTORY." localSheetId="10" hidden="1">{#N/A,#N/A,FALSE,"F-1 Inventory Price Test-RM";#N/A,#N/A,FALSE,"F-2 Inventory-Test Count"}</definedName>
    <definedName name="wrn.INVENTORY." hidden="1">{#N/A,#N/A,FALSE,"F-1 Inventory Price Test-RM";#N/A,#N/A,FALSE,"F-2 Inventory-Test Count"}</definedName>
    <definedName name="wrn.INVESTMENT." localSheetId="10" hidden="1">{#N/A,#N/A,FALSE,"SCHEDULE OF INVESTMENTS";#N/A,#N/A,FALSE,"INVESTMENT INCOME CASH FLOW";#N/A,#N/A,FALSE,"INTEREST INCOME BY MONTH"}</definedName>
    <definedName name="wrn.INVESTMENT." hidden="1">{#N/A,#N/A,FALSE,"SCHEDULE OF INVESTMENTS";#N/A,#N/A,FALSE,"INVESTMENT INCOME CASH FLOW";#N/A,#N/A,FALSE,"INTEREST INCOME BY MONTH"}</definedName>
    <definedName name="wrn.Investment._.Core._.Report." localSheetId="10" hidden="1">{#N/A,#N/A,FALSE,"Print Tab"}</definedName>
    <definedName name="wrn.Investment._.Core._.Report." hidden="1">{#N/A,#N/A,FALSE,"Print Tab"}</definedName>
    <definedName name="wrn.INVESTMENT._.REVIEW." localSheetId="10" hidden="1">{#N/A,#N/A,FALSE,"MONTHLY INVESTMENT REPORT";#N/A,#N/A,FALSE,"MONTHLY INVESTMENT ANALYSIS"}</definedName>
    <definedName name="wrn.INVESTMENT._.REVIEW." hidden="1">{#N/A,#N/A,FALSE,"MONTHLY INVESTMENT REPORT";#N/A,#N/A,FALSE,"MONTHLY INVESTMENT ANALYSIS"}</definedName>
    <definedName name="wrn.Investor._.Cash._.Flows." localSheetId="10" hidden="1">{"CV_2",#N/A,TRUE,"Investor Cash Flows"}</definedName>
    <definedName name="wrn.Investor._.Cash._.Flows." hidden="1">{"CV_2",#N/A,TRUE,"Investor Cash Flows"}</definedName>
    <definedName name="wrn.Investors." localSheetId="10"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locations." localSheetId="10" hidden="1">{#N/A,#N/A,FALSE,"Locations"}</definedName>
    <definedName name="wrn.INVlocations." hidden="1">{#N/A,#N/A,FALSE,"Locations"}</definedName>
    <definedName name="wrn.INVreconciliation." localSheetId="10" hidden="1">{#N/A,#N/A,FALSE,"INVrecon"}</definedName>
    <definedName name="wrn.INVreconciliation." hidden="1">{#N/A,#N/A,FALSE,"INVrecon"}</definedName>
    <definedName name="wrn.INVstratification." localSheetId="10" hidden="1">{#N/A,#N/A,FALSE,"INVStrat"}</definedName>
    <definedName name="wrn.INVstratification." hidden="1">{#N/A,#N/A,FALSE,"INVStrat"}</definedName>
    <definedName name="wrn.INVturnover." localSheetId="10" hidden="1">{#N/A,#N/A,FALSE,"INVto"}</definedName>
    <definedName name="wrn.INVturnover." hidden="1">{#N/A,#N/A,FALSE,"INVto"}</definedName>
    <definedName name="wrn.IPIX." localSheetId="10" hidden="1">{#N/A,#N/A,FALSE,"Report Print"}</definedName>
    <definedName name="wrn.IPIX." localSheetId="15" hidden="1">{#N/A,#N/A,FALSE,"Report Print"}</definedName>
    <definedName name="wrn.IPIX." hidden="1">{#N/A,#N/A,FALSE,"Report Print"}</definedName>
    <definedName name="wrn.IPO." localSheetId="10"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10" hidden="1">{#N/A,#N/A,FALSE,"Summary";#N/A,#N/A,FALSE,"Pending";#N/A,#N/A,FALSE,"Jan'98";#N/A,#N/A,FALSE,"Feb'98";#N/A,#N/A,FALSE,"Mar'98";#N/A,#N/A,FALSE,"Apr'98";#N/A,#N/A,FALSE,"May'98";#N/A,#N/A,FALSE,"June'98";#N/A,#N/A,FALSE,"July'98"}</definedName>
    <definedName name="wrn.IPO._.1998." hidden="1">{#N/A,#N/A,FALSE,"Summary";#N/A,#N/A,FALSE,"Pending";#N/A,#N/A,FALSE,"Jan'98";#N/A,#N/A,FALSE,"Feb'98";#N/A,#N/A,FALSE,"Mar'98";#N/A,#N/A,FALSE,"Apr'98";#N/A,#N/A,FALSE,"May'98";#N/A,#N/A,FALSE,"June'98";#N/A,#N/A,FALSE,"July'98"}</definedName>
    <definedName name="wrn.IPO._.Analysis." localSheetId="10"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value." localSheetId="10" hidden="1">{#N/A,#N/A,FALSE,"puboff";#N/A,#N/A,FALSE,"valuation";#N/A,#N/A,FALSE,"finanalsis";#N/A,#N/A,FALSE,"split";#N/A,#N/A,FALSE,"ownership"}</definedName>
    <definedName name="wrn.ipovalue." localSheetId="15" hidden="1">{#N/A,#N/A,FALSE,"puboff";#N/A,#N/A,FALSE,"valuation";#N/A,#N/A,FALSE,"finanalsis";#N/A,#N/A,FALSE,"split";#N/A,#N/A,FALSE,"ownership"}</definedName>
    <definedName name="wrn.ipovalue." hidden="1">{#N/A,#N/A,FALSE,"puboff";#N/A,#N/A,FALSE,"valuation";#N/A,#N/A,FALSE,"finanalsis";#N/A,#N/A,FALSE,"split";#N/A,#N/A,FALSE,"ownership"}</definedName>
    <definedName name="wrn.ipovalue._1" localSheetId="10" hidden="1">{#N/A,#N/A,FALSE,"puboff";#N/A,#N/A,FALSE,"valuation";#N/A,#N/A,FALSE,"finanalsis";#N/A,#N/A,FALSE,"split";#N/A,#N/A,FALSE,"ownership"}</definedName>
    <definedName name="wrn.ipovalue._1" hidden="1">{#N/A,#N/A,FALSE,"puboff";#N/A,#N/A,FALSE,"valuation";#N/A,#N/A,FALSE,"finanalsis";#N/A,#N/A,FALSE,"split";#N/A,#N/A,FALSE,"ownership"}</definedName>
    <definedName name="wrn.irving._.report." localSheetId="10">{#N/A,#N/A,FALSE,"Summary";#N/A,#N/A,FALSE,"Total Project Economics"}</definedName>
    <definedName name="wrn.irving._.report.">{#N/A,#N/A,FALSE,"Summary";#N/A,#N/A,FALSE,"Total Project Economics"}</definedName>
    <definedName name="wrn.ISAnnualModel." localSheetId="10" hidden="1">{"AnnModel",#N/A,FALSE,"IS"}</definedName>
    <definedName name="wrn.ISAnnualModel." hidden="1">{"AnnModel",#N/A,FALSE,"IS"}</definedName>
    <definedName name="wrn.ISAnnualModel._1" localSheetId="10" hidden="1">{"AnnModel",#N/A,FALSE,"IS"}</definedName>
    <definedName name="wrn.ISAnnualModel._1" hidden="1">{"AnnModel",#N/A,FALSE,"IS"}</definedName>
    <definedName name="wrn.ISCG._.model." localSheetId="10" hidden="1">{#N/A,#N/A,FALSE,"Second";#N/A,#N/A,FALSE,"ownership";#N/A,#N/A,FALSE,"Valuation";#N/A,#N/A,FALSE,"Eqiv";#N/A,#N/A,FALSE,"Mults";#N/A,#N/A,FALSE,"ISCG Graphics"}</definedName>
    <definedName name="wrn.ISCG._.model." localSheetId="15"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CG._.model._1" localSheetId="10"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QtrModel." localSheetId="10" hidden="1">{"QtrModel",#N/A,FALSE,"IS"}</definedName>
    <definedName name="wrn.ISQtrModel." hidden="1">{"QtrModel",#N/A,FALSE,"IS"}</definedName>
    <definedName name="wrn.ISQtrModel._1" localSheetId="10" hidden="1">{"QtrModel",#N/A,FALSE,"IS"}</definedName>
    <definedName name="wrn.ISQtrModel._1" hidden="1">{"QtrModel",#N/A,FALSE,"IS"}</definedName>
    <definedName name="wrn.ISRAEL." localSheetId="10" hidden="1">{#N/A,#N/A,FALSE,"TECH CENTRE RXDU66";#N/A,#N/A,FALSE,"ASU VAAX66";#N/A,#N/A,FALSE,"TCM VAKX66"}</definedName>
    <definedName name="wrn.ISRAEL." hidden="1">{#N/A,#N/A,FALSE,"TECH CENTRE RXDU66";#N/A,#N/A,FALSE,"ASU VAAX66";#N/A,#N/A,FALSE,"TCM VAKX66"}</definedName>
    <definedName name="wrn.IVTI_Rep." localSheetId="10" hidden="1">{#N/A,#N/A,FALSE,"Title Page";#N/A,#N/A,FALSE,"Summary Sheet";#N/A,#N/A,FALSE,"Fiscal Year Income Statement";#N/A,#N/A,FALSE,"Valuation Summary";#N/A,#N/A,FALSE,"Comps with IVT";#N/A,#N/A,FALSE,"Comps without IVT"}</definedName>
    <definedName name="wrn.IVTI_Rep." localSheetId="15"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NI._.REBATES." localSheetId="10" hidden="1">{"TOTAL",#N/A,FALSE,"A";"FISCAL94",#N/A,FALSE,"A";"FISCAL95",#N/A,FALSE,"A";"FISCAL96",#N/A,FALSE,"A";"misc page",#N/A,FALSE,"A"}</definedName>
    <definedName name="wrn.JANI._.REBATES." localSheetId="15" hidden="1">{"TOTAL",#N/A,FALSE,"A";"FISCAL94",#N/A,FALSE,"A";"FISCAL95",#N/A,FALSE,"A";"FISCAL96",#N/A,FALSE,"A";"misc page",#N/A,FALSE,"A"}</definedName>
    <definedName name="wrn.JANI._.REBATES." hidden="1">{"TOTAL",#N/A,FALSE,"A";"FISCAL94",#N/A,FALSE,"A";"FISCAL95",#N/A,FALSE,"A";"FISCAL96",#N/A,FALSE,"A";"misc page",#N/A,FALSE,"A"}</definedName>
    <definedName name="wrn.JANUARY." localSheetId="10"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apan_Capers_Ed._.Pub." localSheetId="10" hidden="1">{"Japan_Capers_Ed_Pub",#N/A,FALSE,"DI 2 YEAR MASTER SCHEDULE"}</definedName>
    <definedName name="wrn.Japan_Capers_Ed._.Pub." localSheetId="15" hidden="1">{"Japan_Capers_Ed_Pub",#N/A,FALSE,"DI 2 YEAR MASTER SCHEDULE"}</definedName>
    <definedName name="wrn.Japan_Capers_Ed._.Pub." hidden="1">{"Japan_Capers_Ed_Pub",#N/A,FALSE,"DI 2 YEAR MASTER SCHEDULE"}</definedName>
    <definedName name="wrn.jerrys_copy." localSheetId="10">{#N/A,#N/A,FALSE,"Cover_Page";#N/A,#N/A,FALSE,"Balance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ULY." localSheetId="10"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ne." localSheetId="10"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st._.Sorts." localSheetId="10" hidden="1">{#N/A,#N/A,FALSE,"Hi";#N/A,#N/A,FALSE,"Lo";#N/A,#N/A,FALSE,"Mkt. Cap";#N/A,#N/A,FALSE,"Alpha"}</definedName>
    <definedName name="wrn.Just._.Sorts." hidden="1">{#N/A,#N/A,FALSE,"Hi";#N/A,#N/A,FALSE,"Lo";#N/A,#N/A,FALSE,"Mkt. Cap";#N/A,#N/A,FALSE,"Alpha"}</definedName>
    <definedName name="wrn.k" localSheetId="10">{#N/A,#N/A,FALSE,"AD_Purchase";#N/A,#N/A,FALSE,"Credit";#N/A,#N/A,FALSE,"PF Acquisition";#N/A,#N/A,FALSE,"PF Offering"}</definedName>
    <definedName name="wrn.k">{#N/A,#N/A,FALSE,"AD_Purchase";#N/A,#N/A,FALSE,"Credit";#N/A,#N/A,FALSE,"PF Acquisition";#N/A,#N/A,FALSE,"PF Offering"}</definedName>
    <definedName name="wrn.K." localSheetId="10" hidden="1">{#N/A,#N/A,FALSE,"K"}</definedName>
    <definedName name="wrn.K." hidden="1">{#N/A,#N/A,FALSE,"K"}</definedName>
    <definedName name="wrn.K3._.Annual." localSheetId="10" hidden="1">{"K3Cash",#N/A,FALSE,"Ann";"K3Income",#N/A,FALSE,"Ann";"K3Educ",#N/A,FALSE,"Ann";"K3media",#N/A,FALSE,"Ann";"K3Info",#N/A,FALSE,"Ann";"K3Valuation",#N/A,FALSE,"Ann"}</definedName>
    <definedName name="wrn.K3._.Annual." localSheetId="15"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10" hidden="1">{"K3 first",#N/A,FALSE,"Qtr.";"K3 second",#N/A,FALSE,"Qtr.";"K3 Third",#N/A,FALSE,"Qtr.";"K3 Fourth",#N/A,FALSE,"Qtr.";"K3 Full",#N/A,FALSE,"Qtr."}</definedName>
    <definedName name="wrn.K3._.Quarterly." localSheetId="15" hidden="1">{"K3 first",#N/A,FALSE,"Qtr.";"K3 second",#N/A,FALSE,"Qtr.";"K3 Third",#N/A,FALSE,"Qtr.";"K3 Fourth",#N/A,FALSE,"Qtr.";"K3 Full",#N/A,FALSE,"Qtr."}</definedName>
    <definedName name="wrn.K3._.Quarterly." hidden="1">{"K3 first",#N/A,FALSE,"Qtr.";"K3 second",#N/A,FALSE,"Qtr.";"K3 Third",#N/A,FALSE,"Qtr.";"K3 Fourth",#N/A,FALSE,"Qtr.";"K3 Full",#N/A,FALSE,"Qtr."}</definedName>
    <definedName name="wrn.KATE." localSheetId="10" hidden="1">{"BALANCE SHEET",#N/A,FALSE,"FINANCIALS";"INCOME",#N/A,FALSE,"FINANCIALS";"RETAINED EARNINGS",#N/A,FALSE,"FINANCIALS";"SOCFP",#N/A,FALSE,"FINANCIALS";"TRIAL BALANCE",#N/A,FALSE,"FINANCIALS"}</definedName>
    <definedName name="wrn.KATE." localSheetId="15" hidden="1">{"BALANCE SHEET",#N/A,FALSE,"FINANCIALS";"INCOME",#N/A,FALSE,"FINANCIALS";"RETAINED EARNINGS",#N/A,FALSE,"FINANCIALS";"SOCFP",#N/A,FALSE,"FINANCIALS";"TRIAL BALANCE",#N/A,FALSE,"FINANCIALS"}</definedName>
    <definedName name="wrn.KATE." hidden="1">{"BALANCE SHEET",#N/A,FALSE,"FINANCIALS";"INCOME",#N/A,FALSE,"FINANCIALS";"RETAINED EARNINGS",#N/A,FALSE,"FINANCIALS";"SOCFP",#N/A,FALSE,"FINANCIALS";"TRIAL BALANCE",#N/A,FALSE,"FINANCIALS"}</definedName>
    <definedName name="wrn.Komplettausdruck." localSheetId="10" hidden="1">{#N/A,#N/A,FALSE,"Layout Aktiva";#N/A,#N/A,FALSE,"Layout Passiva";#N/A,#N/A,FALSE,"Layout GuV";#N/A,#N/A,FALSE,"Layout Cash Flow";#N/A,#N/A,FALSE,"Mittelherkunft";#N/A,#N/A,FALSE,"Mittelverwendung";#N/A,#N/A,FALSE,"Finanzbedarfsrechnung"}</definedName>
    <definedName name="wrn.Komplettausdruck." localSheetId="15"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riall." localSheetId="10" hidden="1">{"kricash",#N/A,FALSE,"INC";"kriinc",#N/A,FALSE,"INC";"krimiami",#N/A,FALSE,"INC";"kriother",#N/A,FALSE,"INC";"kripapers",#N/A,FALSE,"INC"}</definedName>
    <definedName name="wrn.kriall." localSheetId="15" hidden="1">{"kricash",#N/A,FALSE,"INC";"kriinc",#N/A,FALSE,"INC";"krimiami",#N/A,FALSE,"INC";"kriother",#N/A,FALSE,"INC";"kripapers",#N/A,FALSE,"INC"}</definedName>
    <definedName name="wrn.kriall." hidden="1">{"kricash",#N/A,FALSE,"INC";"kriinc",#N/A,FALSE,"INC";"krimiami",#N/A,FALSE,"INC";"kriother",#N/A,FALSE,"INC";"kripapers",#N/A,FALSE,"INC"}</definedName>
    <definedName name="wrn.LA._.SA." localSheetId="10"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aborstandardsdetail." localSheetId="10" hidden="1">{"line1detail",#N/A,FALSE,"Line 1";"line2detail",#N/A,FALSE,"Line 2";"line3detail",#N/A,FALSE,"Line 3";"line4detail",#N/A,FALSE,"Line 4"}</definedName>
    <definedName name="wrn.laborstandardsdetail." hidden="1">{"line1detail",#N/A,FALSE,"Line 1";"line2detail",#N/A,FALSE,"Line 2";"line3detail",#N/A,FALSE,"Line 3";"line4detail",#N/A,FALSE,"Line 4"}</definedName>
    <definedName name="wrn.laborstdssummary." localSheetId="10" hidden="1">{"line1summary",#N/A,FALSE,"Line 1";"line2summary",#N/A,FALSE,"Line 2";"line3summary",#N/A,FALSE,"Line 3";"line4summary",#N/A,FALSE,"Line 4"}</definedName>
    <definedName name="wrn.laborstdssummary." hidden="1">{"line1summary",#N/A,FALSE,"Line 1";"line2summary",#N/A,FALSE,"Line 2";"line3summary",#N/A,FALSE,"Line 3";"line4summary",#N/A,FALSE,"Line 4"}</definedName>
    <definedName name="wrn.landscape._.template." localSheetId="10" hidden="1">{#N/A,#N/A,FALSE,"Sheet1"}</definedName>
    <definedName name="wrn.landscape._.template." hidden="1">{#N/A,#N/A,FALSE,"Sheet1"}</definedName>
    <definedName name="wrn.Large._.and._.Small._.on._.One._.Page." localSheetId="10" hidden="1">{"Large and Small on One Page",#N/A,FALSE,"Comparable companies"}</definedName>
    <definedName name="wrn.Large._.and._.Small._.on._.One._.Page." hidden="1">{"Large and Small on One Page",#N/A,FALSE,"Comparable companies"}</definedName>
    <definedName name="wrn.LAURIER." localSheetId="10" hidden="1">{"LAURIER US",#N/A,FALSE,"laurier us$";"LAURIER CDN",#N/A,FALSE,"laurier cdn $"}</definedName>
    <definedName name="wrn.LAURIER." hidden="1">{"LAURIER US",#N/A,FALSE,"laurier us$";"LAURIER CDN",#N/A,FALSE,"laurier cdn $"}</definedName>
    <definedName name="wrn.LBO._.Summary." localSheetId="10" hidden="1">{"LBO Summary",#N/A,FALSE,"Summary"}</definedName>
    <definedName name="wrn.LBO._.Summary." hidden="1">{"LBO Summary",#N/A,FALSE,"Summary"}</definedName>
    <definedName name="wrn.Lead._.Sheet." localSheetId="10" hidden="1">{"PrintView",#N/A,FALSE,"Cash &amp; Equiv";"PrintView",#N/A,FALSE,"Investments";"Other Assets Print View",#N/A,FALSE,"Other Assets"}</definedName>
    <definedName name="wrn.Lead._.Sheet." localSheetId="15"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0" hidden="1">{"PrintView",#N/A,FALSE,"Cash &amp; Equiv";"PrintView",#N/A,FALSE,"Investments";"Other Assets Print View",#N/A,FALSE,"Other Assets"}</definedName>
    <definedName name="wrn.Lead._.Sheet._1" localSheetId="15"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1." localSheetId="10" hidden="1">{"PrintView",#N/A,FALSE,"Cash &amp; Equiv";"PrintView",#N/A,FALSE,"Investments";"Other Assets Print View",#N/A,FALSE,"Other Assets"}</definedName>
    <definedName name="wrn.lead._.sheet1." localSheetId="15"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10" hidden="1">{"PrintView",#N/A,FALSE,"Cash &amp; Equiv";"PrintView",#N/A,FALSE,"Investments";"Other Assets Print View",#N/A,FALSE,"Other Assets"}</definedName>
    <definedName name="wrn.lead._.sheet1._1" localSheetId="15"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 localSheetId="10" hidden="1">{"PrintView",#N/A,FALSE,"Cash &amp; Equiv";"PrintView",#N/A,FALSE,"Investments";"Other Assets Print View",#N/A,FALSE,"Other Assets"}</definedName>
    <definedName name="wrn.Lead._Sheet." localSheetId="15"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0" hidden="1">{"PrintView",#N/A,FALSE,"Cash &amp; Equiv";"PrintView",#N/A,FALSE,"Investments";"Other Assets Print View",#N/A,FALSE,"Other Assets"}</definedName>
    <definedName name="wrn.Lead._Sheet._1" localSheetId="15"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s." localSheetId="10" hidden="1">{"PrintView",#N/A,FALSE,"Cash &amp; Equiv";"PrintView",#N/A,FALSE,"Investments";"Other Assets Print View",#N/A,FALSE,"Other Assets"}</definedName>
    <definedName name="wrn.Lead._Sheets." localSheetId="15"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10" hidden="1">{"PrintView",#N/A,FALSE,"Cash &amp; Equiv";"PrintView",#N/A,FALSE,"Investments";"Other Assets Print View",#N/A,FALSE,"Other Assets"}</definedName>
    <definedName name="wrn.Lead._Sheets._1" localSheetId="15"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se_Deli." localSheetId="10" hidden="1">{#N/A,#N/A,FALSE,"COVER";#N/A,#N/A,FALSE,"Index";#N/A,#N/A,FALSE,"Non-Earning";#N/A,#N/A,FALSE,"Non-Earning-Recovery";#N/A,#N/A,FALSE,"Leasing_Equipo";#N/A,#N/A,FALSE,"Leasing_Auto";#N/A,#N/A,FALSE,"Leasing_Legal"}</definedName>
    <definedName name="wrn.Lease_Deli." localSheetId="15"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gal." localSheetId="10" hidden="1">{#N/A,#N/A,TRUE}</definedName>
    <definedName name="wrn.legal." hidden="1">{#N/A,#N/A,TRUE}</definedName>
    <definedName name="wrn.letter." localSheetId="10" hidden="1">{#N/A,#N/A,FALSE}</definedName>
    <definedName name="wrn.letter." hidden="1">{#N/A,#N/A,FALSE}</definedName>
    <definedName name="wrn.liab." localSheetId="10" hidden="1">{#N/A,#N/A,FALSE,"BSCON894"}</definedName>
    <definedName name="wrn.liab." hidden="1">{#N/A,#N/A,FALSE,"BSCON894"}</definedName>
    <definedName name="wrn.LIFE._.INS.._.LOANS." localSheetId="10" hidden="1">{#N/A,#N/A,FALSE,"TT-1 Officers' Life Insurance"}</definedName>
    <definedName name="wrn.LIFE._.INS.._.LOANS." hidden="1">{#N/A,#N/A,FALSE,"TT-1 Officers' Life Insurance"}</definedName>
    <definedName name="wrn.Limited._.March." localSheetId="10">{#N/A,#N/A,TRUE,"Condensed IS";#N/A,#N/A,TRUE,"Condensed BS";#N/A,#N/A,TRUE,"Outlook";#N/A,#N/A,TRUE,"Condensed CF";#N/A,#N/A,TRUE,"Condensed CF - qtr"}</definedName>
    <definedName name="wrn.Limited._.March.">{#N/A,#N/A,TRUE,"Condensed IS";#N/A,#N/A,TRUE,"Condensed BS";#N/A,#N/A,TRUE,"Outlook";#N/A,#N/A,TRUE,"Condensed CF";#N/A,#N/A,TRUE,"Condensed CF - qtr"}</definedName>
    <definedName name="WRN.LIMITED._APR" localSheetId="10">{#N/A,#N/A,TRUE,"Condensed IS";#N/A,#N/A,TRUE,"Condensed BS";#N/A,#N/A,TRUE,"Outlook";#N/A,#N/A,TRUE,"Condensed CF";#N/A,#N/A,TRUE,"Condensed CF - qtr"}</definedName>
    <definedName name="WRN.LIMITED._APR">{#N/A,#N/A,TRUE,"Condensed IS";#N/A,#N/A,TRUE,"Condensed BS";#N/A,#N/A,TRUE,"Outlook";#N/A,#N/A,TRUE,"Condensed CF";#N/A,#N/A,TRUE,"Condensed CF - qtr"}</definedName>
    <definedName name="wrn.Line._.of._.Credit." localSheetId="10" hidden="1">{#N/A,#N/A,FALSE,"LINEofCR"}</definedName>
    <definedName name="wrn.Line._.of._.Credit." hidden="1">{#N/A,#N/A,FALSE,"LINEofCR"}</definedName>
    <definedName name="wrn.LJD._.Review._.1." localSheetId="10" hidden="1">{"LJD 1",#N/A,FALSE,"Master";"LJD 2",#N/A,FALSE,"Sheet2";"LJD 3",#N/A,FALSE,"Sheet1";"LJD 4",#N/A,FALSE,"Sheet3";"LJD 5",#N/A,FALSE,"Sheet4"}</definedName>
    <definedName name="wrn.LJD._.Review._.1." hidden="1">{"LJD 1",#N/A,FALSE,"Master";"LJD 2",#N/A,FALSE,"Sheet2";"LJD 3",#N/A,FALSE,"Sheet1";"LJD 4",#N/A,FALSE,"Sheet3";"LJD 5",#N/A,FALSE,"Sheet4"}</definedName>
    <definedName name="wrn.Loan._.status." localSheetId="10" hidden="1">{#N/A,#N/A,FALSE,"LoanStatus"}</definedName>
    <definedName name="wrn.Loan._.status." hidden="1">{#N/A,#N/A,FALSE,"LoanStatus"}</definedName>
    <definedName name="wrn.LONG._.TERM._.DEBT." localSheetId="10" hidden="1">{#N/A,#N/A,FALSE,"MM-1 Long Term Debt"}</definedName>
    <definedName name="wrn.LONG._.TERM._.DEBT." hidden="1">{#N/A,#N/A,FALSE,"MM-1 Long Term Debt"}</definedName>
    <definedName name="wrn.LP._.Committee._.Book."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_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_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localSheetId="10"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_cash." localSheetId="10" hidden="1">{"cash_marc",#N/A,FALSE,"dec95cr.xls"}</definedName>
    <definedName name="wrn.m_cash." localSheetId="15" hidden="1">{"cash_marc",#N/A,FALSE,"dec95cr.xls"}</definedName>
    <definedName name="wrn.m_cash." hidden="1">{"cash_marc",#N/A,FALSE,"dec95cr.xls"}</definedName>
    <definedName name="wrn.Maine." localSheetId="10" hidden="1">{"Assumptions",#N/A,TRUE,"Assumptions";"Income",#N/A,TRUE,"Income";"Balance",#N/A,TRUE,"Balance"}</definedName>
    <definedName name="wrn.Maine." localSheetId="15" hidden="1">{"Assumptions",#N/A,TRUE,"Assumptions";"Income",#N/A,TRUE,"Income";"Balance",#N/A,TRUE,"Balance"}</definedName>
    <definedName name="wrn.Maine." hidden="1">{"Assumptions",#N/A,TRUE,"Assumptions";"Income",#N/A,TRUE,"Income";"Balance",#N/A,TRUE,"Balance"}</definedName>
    <definedName name="wrn.Maine._1" localSheetId="10" hidden="1">{"Assumptions",#N/A,TRUE,"Assumptions";"Income",#N/A,TRUE,"Income";"Balance",#N/A,TRUE,"Balance"}</definedName>
    <definedName name="wrn.Maine._1"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ACCOUNTS." localSheetId="10" hidden="1">{#N/A,#N/A,FALSE,"I";#N/A,#N/A,FALSE,"J";#N/A,#N/A,FALSE,"K";#N/A,#N/A,FALSE,"L";#N/A,#N/A,FALSE,"M";#N/A,#N/A,FALSE,"N";#N/A,#N/A,FALSE,"O"}</definedName>
    <definedName name="wrn.MANAGEMENT._.ACCOUNTS." hidden="1">{#N/A,#N/A,FALSE,"I";#N/A,#N/A,FALSE,"J";#N/A,#N/A,FALSE,"K";#N/A,#N/A,FALSE,"L";#N/A,#N/A,FALSE,"M";#N/A,#N/A,FALSE,"N";#N/A,#N/A,FALSE,"O"}</definedName>
    <definedName name="wrn.Management._.Adjustment." localSheetId="10" hidden="1">{"MGMT_Adj_Excl_Mktg_1",#N/A,TRUE,"Mgmt. Adj.";"MGMT_Adj_Excl_Mktg_2",#N/A,TRUE,"Mgmt. Adj.";"MGMT_ADJ_Incl_Mktg_1",#N/A,TRUE,"Mgmt. Adj.";"MGMT_Adj_Incl_Mktg_2",#N/A,TRUE,"Mgmt. Adj."}</definedName>
    <definedName name="wrn.Management._.Adjustment." localSheetId="15" hidden="1">{"MGMT_Adj_Excl_Mktg_1",#N/A,TRUE,"Mgmt. Adj.";"MGMT_Adj_Excl_Mktg_2",#N/A,TRUE,"Mgmt. Adj.";"MGMT_ADJ_Incl_Mktg_1",#N/A,TRUE,"Mgmt. Adj.";"MGMT_Adj_Incl_Mktg_2",#N/A,TRUE,"Mgmt. Adj."}</definedName>
    <definedName name="wrn.Management._.Adjustment." hidden="1">{"MGMT_Adj_Excl_Mktg_1",#N/A,TRUE,"Mgmt. Adj.";"MGMT_Adj_Excl_Mktg_2",#N/A,TRUE,"Mgmt. Adj.";"MGMT_ADJ_Incl_Mktg_1",#N/A,TRUE,"Mgmt. Adj.";"MGMT_Adj_Incl_Mktg_2",#N/A,TRUE,"Mgmt. Adj."}</definedName>
    <definedName name="wrn.MANAGEMENT._.COSTS." localSheetId="10" hidden="1">{"MANAGEMENT COSTS",#N/A,FALSE,"C.CENTRE"}</definedName>
    <definedName name="wrn.MANAGEMENT._.COSTS." hidden="1">{"MANAGEMENT COSTS",#N/A,FALSE,"C.CENTRE"}</definedName>
    <definedName name="wrn.Management._.Report." localSheetId="10"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npower." localSheetId="10" hidden="1">{"manpower",#N/A,FALSE,"MANPOWER_PAYROLL"}</definedName>
    <definedName name="wrn.manpower." hidden="1">{"manpower",#N/A,FALSE,"MANPOWER_PAYROLL"}</definedName>
    <definedName name="wrn.March." localSheetId="10"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s." localSheetId="10" hidden="1">{"Statement of Income",#N/A,TRUE,"Mar99";"Balance Sheet",#N/A,TRUE,"Mar99"}</definedName>
    <definedName name="wrn.March._.Financials." localSheetId="15" hidden="1">{"Statement of Income",#N/A,TRUE,"Mar99";"Balance Sheet",#N/A,TRUE,"Mar99"}</definedName>
    <definedName name="wrn.March._.Financials." hidden="1">{"Statement of Income",#N/A,TRUE,"Mar99";"Balance Sheet",#N/A,TRUE,"Mar99"}</definedName>
    <definedName name="wrn.MARGE._.TEST." localSheetId="10" hidden="1">{"MARGIN",#N/A,FALSE,"Margin"}</definedName>
    <definedName name="wrn.MARGE._.TEST." hidden="1">{"MARGIN",#N/A,FALSE,"Margin"}</definedName>
    <definedName name="wrn.MARGE._.TEST1." localSheetId="10" hidden="1">{#N/A,#N/A,FALSE,"Margin"}</definedName>
    <definedName name="wrn.MARGE._.TEST1." hidden="1">{#N/A,#N/A,FALSE,"Margin"}</definedName>
    <definedName name="wrn.MARGIN." localSheetId="10" hidden="1">{#N/A,#N/A,TRUE,"MAR";#N/A,#N/A,TRUE,"MAR_2"}</definedName>
    <definedName name="wrn.MARGIN." localSheetId="15" hidden="1">{#N/A,#N/A,TRUE,"MAR";#N/A,#N/A,TRUE,"MAR_2"}</definedName>
    <definedName name="wrn.MARGIN." hidden="1">{#N/A,#N/A,TRUE,"MAR";#N/A,#N/A,TRUE,"MAR_2"}</definedName>
    <definedName name="wrn.Margins." localSheetId="10" hidden="1">{#N/A,#N/A,FALSE,"Margins - GrossR&amp;D";#N/A,#N/A,FALSE,"Margins - sg&amp;a";#N/A,#N/A,FALSE,"Margins - Oper-net"}</definedName>
    <definedName name="wrn.Margins." hidden="1">{#N/A,#N/A,FALSE,"Margins - GrossR&amp;D";#N/A,#N/A,FALSE,"Margins - sg&amp;a";#N/A,#N/A,FALSE,"Margins - Oper-net"}</definedName>
    <definedName name="wrn.market._.share." localSheetId="1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ABLE._.SEC.." localSheetId="10" hidden="1">{#N/A,#N/A,FALSE,"B-1 Mkt. Sec. - Int.";#N/A,#N/A,FALSE,"B-2 Mkt. Sec. - Val.";#N/A,#N/A,FALSE,"B-3 Mkt. Sec. - Gain (Loss)"}</definedName>
    <definedName name="wrn.MARKETABLE._.SEC.." hidden="1">{#N/A,#N/A,FALSE,"B-1 Mkt. Sec. - Int.";#N/A,#N/A,FALSE,"B-2 Mkt. Sec. - Val.";#N/A,#N/A,FALSE,"B-3 Mkt. Sec. - Gain (Loss)"}</definedName>
    <definedName name="wrn.Mason._.Deliverables." localSheetId="10"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assim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localSheetId="15"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localSheetId="10" hidden="1">{#N/A,#N/A,FALSE,"SUMMARY";#N/A,#N/A,FALSE,"mcsh";#N/A,#N/A,FALSE,"vol&amp;rev";#N/A,#N/A,FALSE,"wkgcap";#N/A,#N/A,FALSE,"DEPR&amp;DT";#N/A,#N/A,FALSE,"ASSETS";#N/A,#N/A,FALSE,"NI&amp;OTH&amp;DIV";#N/A,#N/A,FALSE,"CASHFLOW";#N/A,#N/A,FALSE,"CAPEMPL";#N/A,#N/A,FALSE,"ROCE"}</definedName>
    <definedName name="wrn.master." localSheetId="15" hidden="1">{#N/A,#N/A,FALSE,"SUMMARY";#N/A,#N/A,FALSE,"mcsh";#N/A,#N/A,FALSE,"vol&amp;rev";#N/A,#N/A,FALSE,"wkgcap";#N/A,#N/A,FALSE,"DEPR&amp;DT";#N/A,#N/A,FALSE,"ASSETS";#N/A,#N/A,FALSE,"NI&amp;OTH&amp;DIV";#N/A,#N/A,FALSE,"CASHFLOW";#N/A,#N/A,FALSE,"CAPEMPL";#N/A,#N/A,FALSE,"ROCE"}</definedName>
    <definedName name="wrn.master." hidden="1">{#N/A,#N/A,FALSE,"SUMMARY";#N/A,#N/A,FALSE,"mcsh";#N/A,#N/A,FALSE,"vol&amp;rev";#N/A,#N/A,FALSE,"wkgcap";#N/A,#N/A,FALSE,"DEPR&amp;DT";#N/A,#N/A,FALSE,"ASSETS";#N/A,#N/A,FALSE,"NI&amp;OTH&amp;DIV";#N/A,#N/A,FALSE,"CASHFLOW";#N/A,#N/A,FALSE,"CAPEMPL";#N/A,#N/A,FALSE,"ROCE"}</definedName>
    <definedName name="wrn.Master_Income." localSheetId="10" hidden="1">{"Annual_Income",#N/A,FALSE,"Master Model";"Quarterly_Income",#N/A,FALSE,"Master Model"}</definedName>
    <definedName name="wrn.Master_Income." localSheetId="15" hidden="1">{"Annual_Income",#N/A,FALSE,"Master Model";"Quarterly_Income",#N/A,FALSE,"Master Model"}</definedName>
    <definedName name="wrn.Master_Income." hidden="1">{"Annual_Income",#N/A,FALSE,"Master Model";"Quarterly_Income",#N/A,FALSE,"Master Model"}</definedName>
    <definedName name="wrn.MAY." localSheetId="10"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CCRK." localSheetId="10" hidden="1">{#N/A,#N/A,FALSE,"MCCRK"}</definedName>
    <definedName name="wrn.MCCRK." hidden="1">{#N/A,#N/A,FALSE,"MCCRK"}</definedName>
    <definedName name="wrn.MDA._.Tables." localSheetId="10" hidden="1">{#N/A,#N/A,TRUE,"Sel Fn Data QTD";#N/A,#N/A,TRUE,"TABLE_1 SPREAD ANALYSIS";#N/A,#N/A,TRUE,"Tables 2 to 3 PL";#N/A,#N/A,TRUE,"Tables 4 and 5 ALLL";#N/A,#N/A,TRUE,"Tables 6 to 8 ALLL NPA";#N/A,#N/A,TRUE,"Table 9 to 10 - Balance Sheet";#N/A,#N/A,TRUE,"Table 11 to 12 - Equity"}</definedName>
    <definedName name="wrn.MDA._.Tables." localSheetId="15"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10" hidden="1">{#N/A,#N/A,FALSE,"Table 1 QTD";#N/A,#N/A,FALSE,"Table 1 YTD";#N/A,#N/A,FALSE,"Tables 2 to 4 PL";#N/A,#N/A,FALSE,"Tables 5 to 9 ALLL";#N/A,#N/A,FALSE,"Table 10 to 13 - Balance Sheet"}</definedName>
    <definedName name="wrn.MDA._.TABLES._.10Q." localSheetId="15"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1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localSheetId="15"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0" hidden="1">{#N/A,#N/A,TRUE,"Sel Fn Data QTD";#N/A,#N/A,TRUE,"Table 1 YTD";#N/A,#N/A,TRUE,"Table 1 QTD";#N/A,#N/A,TRUE,"Tables 2 to 3 PL";#N/A,#N/A,TRUE,"Tables 4 and 5ALLL";#N/A,#N/A,TRUE,"Tables 6 to 8 ALLL ";#N/A,#N/A,TRUE,"Table 9 to 12 - Balance Sheet"}</definedName>
    <definedName name="wrn.MDA_TABLES._.10Q." localSheetId="15"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10" hidden="1">{#N/A,#N/A,TRUE,"Sel Fn Data QTD";#N/A,#N/A,TRUE,"Table 1 YTD";#N/A,#N/A,TRUE,"Tables 2 to 4 PL";#N/A,#N/A,TRUE,"Tables 5 to 9 ALLL";#N/A,#N/A,TRUE,"Table 10 to 13 - Balance Sheet"}</definedName>
    <definedName name="wrn.MDA_TABLES._.10Q._.SEPT." localSheetId="15"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rrapp." localSheetId="10">{#N/A,#N/A,FALSE,"mdr.XLS";"db",#N/A,FALSE,"mdr.XLS";#N/A,#N/A,FALSE,"Forside ";#N/A,#N/A,FALSE,"INVEST.XLS"}</definedName>
    <definedName name="wrn.mdrrapp.">{#N/A,#N/A,FALSE,"mdr.XLS";"db",#N/A,FALSE,"mdr.XLS";#N/A,#N/A,FALSE,"Forside ";#N/A,#N/A,FALSE,"INVEST.XLS"}</definedName>
    <definedName name="wrn.Medical._.Ratio.">#REF!</definedName>
    <definedName name="wrn.merge." localSheetId="10" hidden="1">{#N/A,#N/A,FALSE,"IPO";#N/A,#N/A,FALSE,"DCF";#N/A,#N/A,FALSE,"LBO";#N/A,#N/A,FALSE,"MULT_VAL";#N/A,#N/A,FALSE,"Status Quo";#N/A,#N/A,FALSE,"Recap"}</definedName>
    <definedName name="wrn.merge." localSheetId="15" hidden="1">{#N/A,#N/A,FALSE,"IPO";#N/A,#N/A,FALSE,"DCF";#N/A,#N/A,FALSE,"LBO";#N/A,#N/A,FALSE,"MULT_VAL";#N/A,#N/A,FALSE,"Status Quo";#N/A,#N/A,FALSE,"Recap"}</definedName>
    <definedName name="wrn.merge." hidden="1">{#N/A,#N/A,FALSE,"IPO";#N/A,#N/A,FALSE,"DCF";#N/A,#N/A,FALSE,"LBO";#N/A,#N/A,FALSE,"MULT_VAL";#N/A,#N/A,FALSE,"Status Quo";#N/A,#N/A,FALSE,"Recap"}</definedName>
    <definedName name="wrn.merge._1" localSheetId="10" hidden="1">{#N/A,#N/A,FALSE,"IPO";#N/A,#N/A,FALSE,"DCF";#N/A,#N/A,FALSE,"LBO";#N/A,#N/A,FALSE,"MULT_VAL";#N/A,#N/A,FALSE,"Status Quo";#N/A,#N/A,FALSE,"Recap"}</definedName>
    <definedName name="wrn.merge._1" hidden="1">{#N/A,#N/A,FALSE,"IPO";#N/A,#N/A,FALSE,"DCF";#N/A,#N/A,FALSE,"LBO";#N/A,#N/A,FALSE,"MULT_VAL";#N/A,#N/A,FALSE,"Status Quo";#N/A,#N/A,FALSE,"Recap"}</definedName>
    <definedName name="wrn.merge.1" localSheetId="10">{#N/A,#N/A,FALSE,"IPO";#N/A,#N/A,FALSE,"DCF";#N/A,#N/A,FALSE,"LBO";#N/A,#N/A,FALSE,"MULT_VAL";#N/A,#N/A,FALSE,"Status Quo";#N/A,#N/A,FALSE,"Recap"}</definedName>
    <definedName name="wrn.merge.1">{#N/A,#N/A,FALSE,"IPO";#N/A,#N/A,FALSE,"DCF";#N/A,#N/A,FALSE,"LBO";#N/A,#N/A,FALSE,"MULT_VAL";#N/A,#N/A,FALSE,"Status Quo";#N/A,#N/A,FALSE,"Recap"}</definedName>
    <definedName name="wrn.Merger." localSheetId="10" hidden="1">{#N/A,#N/A,FALSE,"Overview";#N/A,#N/A,FALSE,"Summary";#N/A,#N/A,FALSE,"Unph Hist";#N/A,#N/A,FALSE,"Combination";#N/A,#N/A,FALSE,"IOC Proj Base";#N/A,#N/A,FALSE,"Bal";#N/A,#N/A,FALSE,"IOC Bal";#N/A,#N/A,FALSE,"IOC CF";#N/A,#N/A,FALSE,"UNPH Proj"}</definedName>
    <definedName name="wrn.Merger." hidden="1">{#N/A,#N/A,FALSE,"Overview";#N/A,#N/A,FALSE,"Summary";#N/A,#N/A,FALSE,"Unph Hist";#N/A,#N/A,FALSE,"Combination";#N/A,#N/A,FALSE,"IOC Proj Base";#N/A,#N/A,FALSE,"Bal";#N/A,#N/A,FALSE,"IOC Bal";#N/A,#N/A,FALSE,"IOC CF";#N/A,#N/A,FALSE,"UNPH Proj"}</definedName>
    <definedName name="wrn.MergerModel." localSheetId="10">{"Deal",#N/A,FALSE,"Deal";"acquiror",#N/A,FALSE,"Acquiror";"Target",#N/A,FALSE,"Target"}</definedName>
    <definedName name="wrn.MergerModel.">{"Deal",#N/A,FALSE,"Deal";"acquiror",#N/A,FALSE,"Acquiror";"Target",#N/A,FALSE,"Target"}</definedName>
    <definedName name="wrn.MF._.commentary._.on._.variance." localSheetId="10" hidden="1">{"Commentary",#N/A,FALSE,"May"}</definedName>
    <definedName name="wrn.MF._.commentary._.on._.variance." hidden="1">{"Commentary",#N/A,FALSE,"May"}</definedName>
    <definedName name="wrn.MF._.with._.BA._.detail." localSheetId="10" hidden="1">{"BA detail",#N/A,FALSE,"Q3YTD "}</definedName>
    <definedName name="wrn.MF._.with._.BA._.detail." hidden="1">{"BA detail",#N/A,FALSE,"Q3YTD "}</definedName>
    <definedName name="wrn.mhpall." localSheetId="10" hidden="1">{"mhpcash",#N/A,FALSE,"MHPNEWX";"mhpinc",#N/A,FALSE,"MHPNEWX";"mhptax",#N/A,FALSE,"MHPNEWX";"mhpbroad",#N/A,FALSE,"MHPNEWX";"mhpeduc",#N/A,FALSE,"MHPNEWX";"mhpfin",#N/A,FALSE,"MHPNEWX";"mhpinfo",#N/A,FALSE,"MHPNEWX"}</definedName>
    <definedName name="wrn.mhpall." localSheetId="15"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igration." localSheetId="10" hidden="1">{"migration",#N/A,FALSE,"Credit Migration"}</definedName>
    <definedName name="wrn.migration." localSheetId="15" hidden="1">{"migration",#N/A,FALSE,"Credit Migration"}</definedName>
    <definedName name="wrn.migration." hidden="1">{"migration",#N/A,FALSE,"Credit Migration"}</definedName>
    <definedName name="wrn.migration._1" localSheetId="10" hidden="1">{"migration",#N/A,FALSE,"Credit Migration"}</definedName>
    <definedName name="wrn.migration._1" localSheetId="15" hidden="1">{"migration",#N/A,FALSE,"Credit Migration"}</definedName>
    <definedName name="wrn.migration._1" hidden="1">{"migration",#N/A,FALSE,"Credit Migration"}</definedName>
    <definedName name="wrn.Mike._.Report." localSheetId="10" hidden="1">{#N/A,#N/A,FALSE,"Chart 5";#N/A,#N/A,FALSE,"Chart 6";#N/A,#N/A,FALSE,"Chart 5A"}</definedName>
    <definedName name="wrn.Mike._.Report." localSheetId="15" hidden="1">{#N/A,#N/A,FALSE,"Chart 5";#N/A,#N/A,FALSE,"Chart 6";#N/A,#N/A,FALSE,"Chart 5A"}</definedName>
    <definedName name="wrn.Mike._.Report." hidden="1">{#N/A,#N/A,FALSE,"Chart 5";#N/A,#N/A,FALSE,"Chart 6";#N/A,#N/A,FALSE,"Chart 5A"}</definedName>
    <definedName name="wrn.mikes_copy." localSheetId="10">{#N/A,#N/A,FALSE,"Cover_Page";#N/A,#N/A,FALSE,"Balance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sc." localSheetId="10" hidden="1">{#N/A,#N/A,FALSE,"Sheet10"}</definedName>
    <definedName name="wrn.misc." hidden="1">{#N/A,#N/A,FALSE,"Sheet10"}</definedName>
    <definedName name="wrn.model." localSheetId="10" hidden="1">{"page1",#N/A,FALSE,"GIRLBO";"page2",#N/A,FALSE,"GIRLBO";"page3",#N/A,FALSE,"GIRLBO";"page4",#N/A,FALSE,"GIRLBO";"page5",#N/A,FALSE,"GIRLBO"}</definedName>
    <definedName name="wrn.model." localSheetId="15" hidden="1">{"page1",#N/A,FALSE,"GIRLBO";"page2",#N/A,FALSE,"GIRLBO";"page3",#N/A,FALSE,"GIRLBO";"page4",#N/A,FALSE,"GIRLBO";"page5",#N/A,FALSE,"GIRLBO"}</definedName>
    <definedName name="wrn.model." hidden="1">{"page1",#N/A,FALSE,"GIRLBO";"page2",#N/A,FALSE,"GIRLBO";"page3",#N/A,FALSE,"GIRLBO";"page4",#N/A,FALSE,"GIRLBO";"page5",#N/A,FALSE,"GIRLBO"}</definedName>
    <definedName name="wrn.model._.all._.pages.">#REF!</definedName>
    <definedName name="wrn.model._1" localSheetId="10" hidden="1">{"page1",#N/A,FALSE,"GIRLBO";"page2",#N/A,FALSE,"GIRLBO";"page3",#N/A,FALSE,"GIRLBO";"page4",#N/A,FALSE,"GIRLBO";"page5",#N/A,FALSE,"GIRLBO"}</definedName>
    <definedName name="wrn.model._1" hidden="1">{"page1",#N/A,FALSE,"GIRLBO";"page2",#N/A,FALSE,"GIRLBO";"page3",#N/A,FALSE,"GIRLBO";"page4",#N/A,FALSE,"GIRLBO";"page5",#N/A,FALSE,"GIRLBO"}</definedName>
    <definedName name="wrn.Model2" localSheetId="10" hidden="1">{"AnnInc",#N/A,TRUE,"Inc";"QtrInc1",#N/A,TRUE,"Inc";"Balance",#N/A,TRUE,"Bal";"Cflow",#N/A,TRUE,"Cash"}</definedName>
    <definedName name="wrn.Model2" hidden="1">{"AnnInc",#N/A,TRUE,"Inc";"QtrInc1",#N/A,TRUE,"Inc";"Balance",#N/A,TRUE,"Bal";"Cflow",#N/A,TRUE,"Cash"}</definedName>
    <definedName name="wrn.model3" localSheetId="10" hidden="1">{"AnnInc",#N/A,TRUE,"Inc";"QtrInc1",#N/A,TRUE,"Inc";"Balance",#N/A,TRUE,"Bal";"Cflow",#N/A,TRUE,"Cash"}</definedName>
    <definedName name="wrn.model3" hidden="1">{"AnnInc",#N/A,TRUE,"Inc";"QtrInc1",#N/A,TRUE,"Inc";"Balance",#N/A,TRUE,"Bal";"Cflow",#N/A,TRUE,"Cash"}</definedName>
    <definedName name="wrn.model8" localSheetId="10" hidden="1">{"AnnInc",#N/A,TRUE,"Inc";"QtrInc1",#N/A,TRUE,"Inc";"Balance",#N/A,TRUE,"Bal";"Cflow",#N/A,TRUE,"Cash"}</definedName>
    <definedName name="wrn.model8" hidden="1">{"AnnInc",#N/A,TRUE,"Inc";"QtrInc1",#N/A,TRUE,"Inc";"Balance",#N/A,TRUE,"Bal";"Cflow",#N/A,TRUE,"Cash"}</definedName>
    <definedName name="wrn.models" localSheetId="10">{#N/A,#N/A,FALSE,"Summary";#N/A,#N/A,FALSE,"Projections";#N/A,#N/A,FALSE,"Mkt Mults";#N/A,#N/A,FALSE,"DCF";#N/A,#N/A,FALSE,"Accr Dil";#N/A,#N/A,FALSE,"PIC LBO";#N/A,#N/A,FALSE,"MULT10_4";#N/A,#N/A,FALSE,"CBI LBO"}</definedName>
    <definedName name="wrn.models">{#N/A,#N/A,FALSE,"Summary";#N/A,#N/A,FALSE,"Projections";#N/A,#N/A,FALSE,"Mkt Mults";#N/A,#N/A,FALSE,"DCF";#N/A,#N/A,FALSE,"Accr Dil";#N/A,#N/A,FALSE,"PIC LBO";#N/A,#N/A,FALSE,"MULT10_4";#N/A,#N/A,FALSE,"CBI LBO"}</definedName>
    <definedName name="wrn.Monica." localSheetId="10">{#N/A,#N/A,FALSE,"Revolver";#N/A,#N/A,FALSE,"Term Loan";#N/A,#N/A,FALSE,"Unused Line Fee Term";#N/A,#N/A,FALSE,"Unused Line Fee Revolver"}</definedName>
    <definedName name="wrn.Monica.">{#N/A,#N/A,FALSE,"Revolver";#N/A,#N/A,FALSE,"Term Loan";#N/A,#N/A,FALSE,"Unused Line Fee Term";#N/A,#N/A,FALSE,"Unused Line Fee Revolver"}</definedName>
    <definedName name="wrn.Month." localSheetId="10" hidden="1">{#N/A,#N/A,FALSE,"Bsheet";#N/A,#N/A,FALSE,"Worcap";#N/A,#N/A,FALSE,"CFlow";#N/A,#N/A,FALSE,"P&amp;L"}</definedName>
    <definedName name="wrn.Month." hidden="1">{#N/A,#N/A,FALSE,"Bsheet";#N/A,#N/A,FALSE,"Worcap";#N/A,#N/A,FALSE,"CFlow";#N/A,#N/A,FALSE,"P&amp;L"}</definedName>
    <definedName name="wrn.Month._1" localSheetId="10" hidden="1">{#N/A,#N/A,FALSE,"Bsheet";#N/A,#N/A,FALSE,"Worcap";#N/A,#N/A,FALSE,"CFlow";#N/A,#N/A,FALSE,"P&amp;L"}</definedName>
    <definedName name="wrn.Month._1" hidden="1">{#N/A,#N/A,FALSE,"Bsheet";#N/A,#N/A,FALSE,"Worcap";#N/A,#N/A,FALSE,"CFlow";#N/A,#N/A,FALSE,"P&amp;L"}</definedName>
    <definedName name="wrn.Month._1_1" localSheetId="10" hidden="1">{#N/A,#N/A,FALSE,"Bsheet";#N/A,#N/A,FALSE,"Worcap";#N/A,#N/A,FALSE,"CFlow";#N/A,#N/A,FALSE,"P&amp;L"}</definedName>
    <definedName name="wrn.Month._1_1" hidden="1">{#N/A,#N/A,FALSE,"Bsheet";#N/A,#N/A,FALSE,"Worcap";#N/A,#N/A,FALSE,"CFlow";#N/A,#N/A,FALSE,"P&amp;L"}</definedName>
    <definedName name="wrn.Month._2" localSheetId="10" hidden="1">{#N/A,#N/A,FALSE,"Bsheet";#N/A,#N/A,FALSE,"Worcap";#N/A,#N/A,FALSE,"CFlow";#N/A,#N/A,FALSE,"P&amp;L"}</definedName>
    <definedName name="wrn.Month._2" hidden="1">{#N/A,#N/A,FALSE,"Bsheet";#N/A,#N/A,FALSE,"Worcap";#N/A,#N/A,FALSE,"CFlow";#N/A,#N/A,FALSE,"P&amp;L"}</definedName>
    <definedName name="wrn.MONTH_REPORT." localSheetId="10" hidden="1">{#N/A,#N/A,TRUE,"ALLL";#N/A,#N/A,TRUE,"DEL";#N/A,#N/A,TRUE,"Reserve Analysis";#N/A,#N/A,TRUE,"C_OFF HISTORY";#N/A,#N/A,TRUE,"ALLL_QTR";#N/A,#N/A,TRUE,"HEA_M";#N/A,#N/A,TRUE,"BL_DET";#N/A,#N/A,TRUE,"3YRS+";#N/A,#N/A,TRUE,"CONSTR_DET"}</definedName>
    <definedName name="wrn.MONTH_REPORT." localSheetId="15"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10" hidden="1">{#N/A,#N/A,FALSE,"HEA_M";#N/A,#N/A,FALSE,"ALLL";#N/A,#N/A,FALSE,"DEL";#N/A,#N/A,FALSE,"Reserve Analysis";#N/A,#N/A,FALSE,"C_OFF HISTORY";#N/A,#N/A,FALSE,"ALLL_QTR"}</definedName>
    <definedName name="wrn.MONTH_REPORT_BOD." localSheetId="15"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1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localSheetId="15"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localSheetId="10" hidden="1">{"1999MONTHLY",#N/A,FALSE,"MONTHLY";"2000MONTHLY",#N/A,FALSE,"MONTHLY";"2001MONTHLY",#N/A,FALSE,"MONTHLY"}</definedName>
    <definedName name="wrn.MONTHLY." localSheetId="15" hidden="1">{"1999MONTHLY",#N/A,FALSE,"MONTHLY";"2000MONTHLY",#N/A,FALSE,"MONTHLY";"2001MONTHLY",#N/A,FALSE,"MONTHLY"}</definedName>
    <definedName name="wrn.MONTHLY." hidden="1">{"1999MONTHLY",#N/A,FALSE,"MONTHLY";"2000MONTHLY",#N/A,FALSE,"MONTHLY";"2001MONTHLY",#N/A,FALSE,"MONTHLY"}</definedName>
    <definedName name="wrn.Monthly._.and._.Quarterly." localSheetId="10"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Cash._.Flow." localSheetId="10">{#N/A,#N/A,FALSE,"E&amp;Y Cash Flow"}</definedName>
    <definedName name="wrn.Monthly._.Cash._.Flow.">{#N/A,#N/A,FALSE,"E&amp;Y Cash Flow"}</definedName>
    <definedName name="wrn.Monthly._.financial._.package." localSheetId="10" hidden="1">{#N/A,#N/A,TRUE,"Trend";#N/A,#N/A,TRUE,"Trend volume only";#N/A,#N/A,TRUE,"Trend non-volume";#N/A,#N/A,TRUE,"Projection"}</definedName>
    <definedName name="wrn.Monthly._.financial._.package." hidden="1">{#N/A,#N/A,TRUE,"Trend";#N/A,#N/A,TRUE,"Trend volume only";#N/A,#N/A,TRUE,"Trend non-volume";#N/A,#N/A,TRUE,"Projection"}</definedName>
    <definedName name="wrn.Monthly._.MIFA._.Sheets."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1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10">{#N/A,#N/A,FALSE,"Summary Page";#N/A,#N/A,FALSE,"Collections Listing";#N/A,#N/A,FALSE,"Lessee 60 days past due";#N/A,#N/A,FALSE,"Revenues--Lend Base JP Morgan";#N/A,#N/A,FALSE,"JP Morgan Debt Amort Schedule";#N/A,#N/A,FALSE,"Covenant Analysis"}</definedName>
    <definedName name="wrn.Monthly._.Report.">{#N/A,#N/A,FALSE,"Summary Page";#N/A,#N/A,FALSE,"Collections Listing";#N/A,#N/A,FALSE,"Lessee 60 days past due";#N/A,#N/A,FALSE,"Revenues--Lend Base JP Morgan";#N/A,#N/A,FALSE,"JP Morgan Debt Amort Schedule";#N/A,#N/A,FALSE,"Covenant Analysis"}</definedName>
    <definedName name="wrn.Monthly._.Schedules._.to._.Heller." localSheetId="10">{#N/A,#N/A,FALSE,"Summary";#N/A,#N/A,FALSE,"Stockholders Equity";#N/A,#N/A,FALSE,"Indebtedness";#N/A,#N/A,FALSE,"Totl Indebt to OCF";#N/A,#N/A,FALSE,"Monthly EBIDAT"}</definedName>
    <definedName name="wrn.Monthly._.Schedules._.to._.Heller.">{#N/A,#N/A,FALSE,"Summary";#N/A,#N/A,FALSE,"Stockholders Equity";#N/A,#N/A,FALSE,"Indebtedness";#N/A,#N/A,FALSE,"Totl Indebt to OCF";#N/A,#N/A,FALSE,"Monthly EBIDAT"}</definedName>
    <definedName name="wrn.Monthly._1" localSheetId="10" hidden="1">{#N/A,#N/A,FALSE,"Inc Month";#N/A,#N/A,FALSE,"Inc YTD";#N/A,#N/A,FALSE,"Bal Sheet";#N/A,#N/A,FALSE,"Base Cert";#N/A,#N/A,FALSE,"AR-Detail";#N/A,#N/A,FALSE,"PAC Bal";#N/A,#N/A,FALSE,"PAC Cash";#N/A,#N/A,FALSE,"Equity";#N/A,#N/A,FALSE,"PEI Bal";#N/A,#N/A,FALSE,"PEI Cash"}</definedName>
    <definedName name="wrn.Monthly._1" hidden="1">{#N/A,#N/A,FALSE,"Inc Month";#N/A,#N/A,FALSE,"Inc YTD";#N/A,#N/A,FALSE,"Bal Sheet";#N/A,#N/A,FALSE,"Base Cert";#N/A,#N/A,FALSE,"AR-Detail";#N/A,#N/A,FALSE,"PAC Bal";#N/A,#N/A,FALSE,"PAC Cash";#N/A,#N/A,FALSE,"Equity";#N/A,#N/A,FALSE,"PEI Bal";#N/A,#N/A,FALSE,"PEI Cash"}</definedName>
    <definedName name="wrn.Monthlys." localSheetId="10">{"BalSht_Report",#N/A,FALSE,"Legal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lys.">{"BalSht_Report",#N/A,FALSE,"Legal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nths." localSheetId="10"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 localSheetId="15"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s._.1999." localSheetId="10" hidden="1">{"Monthly 1999 Stats",#N/A,FALSE,"Months";"Monthly 1999 IS",#N/A,FALSE,"Months"}</definedName>
    <definedName name="wrn.Months._.1999." hidden="1">{"Monthly 1999 Stats",#N/A,FALSE,"Months";"Monthly 1999 IS",#N/A,FALSE,"Months"}</definedName>
    <definedName name="wrn.Months._.2000." localSheetId="10" hidden="1">{"Monthly 2000 Stats",#N/A,FALSE,"Months";"Monthly 2000 IS",#N/A,FALSE,"Months"}</definedName>
    <definedName name="wrn.Months._.2000." hidden="1">{"Monthly 2000 Stats",#N/A,FALSE,"Months";"Monthly 2000 IS",#N/A,FALSE,"Months"}</definedName>
    <definedName name="wrn.Months._.2001." localSheetId="10" hidden="1">{"Monthly 2001 Stats",#N/A,FALSE,"Months";"Monthly 2001 IS",#N/A,FALSE,"Months"}</definedName>
    <definedName name="wrn.Months._.2001." hidden="1">{"Monthly 2001 Stats",#N/A,FALSE,"Months";"Monthly 2001 IS",#N/A,FALSE,"Months"}</definedName>
    <definedName name="wrn.Months._.2002." localSheetId="10" hidden="1">{"Monthly 2002 Stats",#N/A,FALSE,"Months";"Monthly 2002 IS",#N/A,FALSE,"Months"}</definedName>
    <definedName name="wrn.Months._.2002." hidden="1">{"Monthly 2002 Stats",#N/A,FALSE,"Months";"Monthly 2002 IS",#N/A,FALSE,"Months"}</definedName>
    <definedName name="wrn.Months._.2003." localSheetId="10" hidden="1">{"Monthly 2003 Stats",#N/A,FALSE,"Months";"Monthly 2003 IS",#N/A,FALSE,"Months"}</definedName>
    <definedName name="wrn.Months._.2003." hidden="1">{"Monthly 2003 Stats",#N/A,FALSE,"Months";"Monthly 2003 IS",#N/A,FALSE,"Months"}</definedName>
    <definedName name="wrn.Mortgage." localSheetId="10" hidden="1">{#N/A,#N/A,FALSE,"COVER";#N/A,#N/A,FALSE,"Index";#N/A,#N/A,FALSE,"Non-Earning";#N/A,#N/A,FALSE,"Mortgage_Legal";#N/A,#N/A,FALSE,"Mortgages"}</definedName>
    <definedName name="wrn.Mortgage." localSheetId="15" hidden="1">{#N/A,#N/A,FALSE,"COVER";#N/A,#N/A,FALSE,"Index";#N/A,#N/A,FALSE,"Non-Earning";#N/A,#N/A,FALSE,"Mortgage_Legal";#N/A,#N/A,FALSE,"Mortgages"}</definedName>
    <definedName name="wrn.Mortgage." hidden="1">{#N/A,#N/A,FALSE,"COVER";#N/A,#N/A,FALSE,"Index";#N/A,#N/A,FALSE,"Non-Earning";#N/A,#N/A,FALSE,"Mortgage_Legal";#N/A,#N/A,FALSE,"Mortgages"}</definedName>
    <definedName name="wrn.MTD._.CON._.VS._.BUDG." localSheetId="10"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10"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10"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10"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10"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10"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THLYGP." localSheetId="10"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10"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10"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NA." localSheetId="10" hidden="1">{#N/A,#N/A,FALSE,"NA"}</definedName>
    <definedName name="wrn.NA." hidden="1">{#N/A,#N/A,FALSE,"NA"}</definedName>
    <definedName name="wrn.NCPC." localSheetId="10" hidden="1">{"_811",#N/A,FALSE,"NCPC Expenses";"_813",#N/A,FALSE,"NCPC Expenses";"_814",#N/A,FALSE,"NCPC Expenses"}</definedName>
    <definedName name="wrn.NCPC." localSheetId="15" hidden="1">{"_811",#N/A,FALSE,"NCPC Expenses";"_813",#N/A,FALSE,"NCPC Expenses";"_814",#N/A,FALSE,"NCPC Expenses"}</definedName>
    <definedName name="wrn.NCPC." hidden="1">{"_811",#N/A,FALSE,"NCPC Expenses";"_813",#N/A,FALSE,"NCPC Expenses";"_814",#N/A,FALSE,"NCPC Expenses"}</definedName>
    <definedName name="wrn.nema." localSheetId="10" hidden="1">{#N/A,#N/A,FALSE,"Distbn Ntwrk";#N/A,#N/A,FALSE,"Workforce";#N/A,#N/A,FALSE,"cur-prod1";#N/A,#N/A,FALSE,"in-proc"}</definedName>
    <definedName name="wrn.nema." hidden="1">{#N/A,#N/A,FALSE,"Distbn Ntwrk";#N/A,#N/A,FALSE,"Workforce";#N/A,#N/A,FALSE,"cur-prod1";#N/A,#N/A,FALSE,"in-proc"}</definedName>
    <definedName name="wrn.New." localSheetId="10" hidden="1">{"Con. New Accts",#N/A,FALSE,"NEW ACCOUNTS BUDGET";"Zel. New Accts",#N/A,FALSE,"NEW ACCOUNTS BUDGET";"Bay New Accts",#N/A,FALSE,"NEW ACCOUNTS BUDGET"}</definedName>
    <definedName name="wrn.New." localSheetId="15" hidden="1">{"Con. New Accts",#N/A,FALSE,"NEW ACCOUNTS BUDGET";"Zel. New Accts",#N/A,FALSE,"NEW ACCOUNTS BUDGET";"Bay New Accts",#N/A,FALSE,"NEW ACCOUNTS BUDGET"}</definedName>
    <definedName name="wrn.New." hidden="1">{"Con. New Accts",#N/A,FALSE,"NEW ACCOUNTS BUDGET";"Zel. New Accts",#N/A,FALSE,"NEW ACCOUNTS BUDGET";"Bay New Accts",#N/A,FALSE,"NEW ACCOUNTS BUDGET"}</definedName>
    <definedName name="wrn.New._.business." localSheetId="1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1" localSheetId="10" hidden="1">{"new1",#N/A,FALSE,"FLEXPAC2";"new2",#N/A,FALSE,"FLEXPAC2"}</definedName>
    <definedName name="wrn.new._1" hidden="1">{"new1",#N/A,FALSE,"FLEXPAC2";"new2",#N/A,FALSE,"FLEXPAC2"}</definedName>
    <definedName name="wrn.new._1_1" localSheetId="10" hidden="1">{#N/A,#N/A,FALSE,"Impl";#N/A,#N/A,FALSE,"sum";#N/A,#N/A,FALSE,"cat";#N/A,#N/A,FALSE,"cum";#N/A,#N/A,FALSE,"varity";#N/A,#N/A,FALSE,"ddc";#N/A,#N/A,FALSE,"man";#N/A,#N/A,FALSE,"metra";#N/A,#N/A,FALSE,"volvo"}</definedName>
    <definedName name="wrn.new._1_1" hidden="1">{#N/A,#N/A,FALSE,"Impl";#N/A,#N/A,FALSE,"sum";#N/A,#N/A,FALSE,"cat";#N/A,#N/A,FALSE,"cum";#N/A,#N/A,FALSE,"varity";#N/A,#N/A,FALSE,"ddc";#N/A,#N/A,FALSE,"man";#N/A,#N/A,FALSE,"metra";#N/A,#N/A,FALSE,"volvo"}</definedName>
    <definedName name="wrn.new._2" localSheetId="10" hidden="1">{#N/A,#N/A,FALSE,"Impl";#N/A,#N/A,FALSE,"sum";#N/A,#N/A,FALSE,"cat";#N/A,#N/A,FALSE,"cum";#N/A,#N/A,FALSE,"varity";#N/A,#N/A,FALSE,"ddc";#N/A,#N/A,FALSE,"man";#N/A,#N/A,FALSE,"metra";#N/A,#N/A,FALSE,"volvo"}</definedName>
    <definedName name="wrn.new._2" hidden="1">{#N/A,#N/A,FALSE,"Impl";#N/A,#N/A,FALSE,"sum";#N/A,#N/A,FALSE,"cat";#N/A,#N/A,FALSE,"cum";#N/A,#N/A,FALSE,"varity";#N/A,#N/A,FALSE,"ddc";#N/A,#N/A,FALSE,"man";#N/A,#N/A,FALSE,"metra";#N/A,#N/A,FALSE,"volvo"}</definedName>
    <definedName name="wrn.newest." localSheetId="10" hidden="1">{#N/A,#N/A,TRUE,"TS";#N/A,#N/A,TRUE,"Combo";#N/A,#N/A,TRUE,"FAIR";#N/A,#N/A,TRUE,"RBC";#N/A,#N/A,TRUE,"xxxx"}</definedName>
    <definedName name="wrn.newest." localSheetId="15" hidden="1">{#N/A,#N/A,TRUE,"TS";#N/A,#N/A,TRUE,"Combo";#N/A,#N/A,TRUE,"FAIR";#N/A,#N/A,TRUE,"RBC";#N/A,#N/A,TRUE,"xxxx"}</definedName>
    <definedName name="wrn.newest." hidden="1">{#N/A,#N/A,TRUE,"TS";#N/A,#N/A,TRUE,"Combo";#N/A,#N/A,TRUE,"FAIR";#N/A,#N/A,TRUE,"RBC";#N/A,#N/A,TRUE,"xxxx"}</definedName>
    <definedName name="wrn.newest._1" localSheetId="10" hidden="1">{#N/A,#N/A,TRUE,"TS";#N/A,#N/A,TRUE,"Combo";#N/A,#N/A,TRUE,"FAIR";#N/A,#N/A,TRUE,"RBC";#N/A,#N/A,TRUE,"xxxx"}</definedName>
    <definedName name="wrn.newest._1" hidden="1">{#N/A,#N/A,TRUE,"TS";#N/A,#N/A,TRUE,"Combo";#N/A,#N/A,TRUE,"FAIR";#N/A,#N/A,TRUE,"RBC";#N/A,#N/A,TRUE,"xxxx"}</definedName>
    <definedName name="wrn.NewRept.xls." localSheetId="10"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10">{#N/A,#N/A,TRUE,"Cover";#N/A,#N/A,TRUE,"Transaction Summary";#N/A,#N/A,TRUE,"Earnings Impact";#N/A,#N/A,TRUE,"accretion dilution"}</definedName>
    <definedName name="wrn.Nico.">{#N/A,#N/A,TRUE,"Cover";#N/A,#N/A,TRUE,"Transaction Summary";#N/A,#N/A,TRUE,"Earnings Impact";#N/A,#N/A,TRUE,"accretion dilution"}</definedName>
    <definedName name="wrn.Nico._1" localSheetId="10" hidden="1">{#N/A,#N/A,TRUE,"Cover";#N/A,#N/A,TRUE,"Transaction Summary";#N/A,#N/A,TRUE,"Earnings Impact";#N/A,#N/A,TRUE,"accretion dilution"}</definedName>
    <definedName name="wrn.Nico._1" hidden="1">{#N/A,#N/A,TRUE,"Cover";#N/A,#N/A,TRUE,"Transaction Summary";#N/A,#N/A,TRUE,"Earnings Impact";#N/A,#N/A,TRUE,"accretion dilution"}</definedName>
    <definedName name="wrn.Nico._1_1" localSheetId="10" hidden="1">{#N/A,#N/A,TRUE,"Cover";#N/A,#N/A,TRUE,"Transaction Summary";#N/A,#N/A,TRUE,"Earnings Impact";#N/A,#N/A,TRUE,"accretion dilution"}</definedName>
    <definedName name="wrn.Nico._1_1" hidden="1">{#N/A,#N/A,TRUE,"Cover";#N/A,#N/A,TRUE,"Transaction Summary";#N/A,#N/A,TRUE,"Earnings Impact";#N/A,#N/A,TRUE,"accretion dilution"}</definedName>
    <definedName name="wrn.Nico._2" localSheetId="10" hidden="1">{#N/A,#N/A,TRUE,"Cover";#N/A,#N/A,TRUE,"Transaction Summary";#N/A,#N/A,TRUE,"Earnings Impact";#N/A,#N/A,TRUE,"accretion dilution"}</definedName>
    <definedName name="wrn.Nico._2" hidden="1">{#N/A,#N/A,TRUE,"Cover";#N/A,#N/A,TRUE,"Transaction Summary";#N/A,#N/A,TRUE,"Earnings Impact";#N/A,#N/A,TRUE,"accretion dilution"}</definedName>
    <definedName name="wrn.Non._.Current._.Assets." localSheetId="10" hidden="1">{"month roll",#N/A,FALSE,"cost";"ytd summary",#N/A,FALSE,"cost"}</definedName>
    <definedName name="wrn.Non._.Current._.Assets." hidden="1">{"month roll",#N/A,FALSE,"cost";"ytd summary",#N/A,FALSE,"cost"}</definedName>
    <definedName name="wrn.Non._.Current._.Assets._1" localSheetId="10" hidden="1">{"month roll",#N/A,FALSE,"cost";"ytd summary",#N/A,FALSE,"cost"}</definedName>
    <definedName name="wrn.Non._.Current._.Assets._1" hidden="1">{"month roll",#N/A,FALSE,"cost";"ytd summary",#N/A,FALSE,"cost"}</definedName>
    <definedName name="wrn.Non._.Div._.Balance._.Sheet." localSheetId="10" hidden="1">{#N/A,"NONDV",FALSE,"BSHIST.XLS"}</definedName>
    <definedName name="wrn.Non._.Div._.Balance._.Sheet." hidden="1">{#N/A,"NONDV",FALSE,"BSHIST.XLS"}</definedName>
    <definedName name="wrn.North._.America." localSheetId="10"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OTES._.REC.." localSheetId="10" hidden="1">{#N/A,#N/A,FALSE,"H-1 Notes Receivable"}</definedName>
    <definedName name="wrn.NOTES._.REC.." hidden="1">{#N/A,#N/A,FALSE,"H-1 Notes Receivable"}</definedName>
    <definedName name="wrn.November." localSheetId="10"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Psch." localSheetId="10" hidden="1">{#N/A,#N/A,FALSE,"NPsch"}</definedName>
    <definedName name="wrn.NPsch." hidden="1">{#N/A,#N/A,FALSE,"NPsch"}</definedName>
    <definedName name="wrn.ntfinance." localSheetId="10" hidden="1">{"Rate",#N/A,TRUE,"SUMMARY";"Ratios",#N/A,TRUE,"Ratios";"BUDGETREVENUE",#N/A,TRUE,"Revenue";"TOTALS",#N/A,TRUE,"DETAIL"}</definedName>
    <definedName name="wrn.ntfinance." localSheetId="15" hidden="1">{"Rate",#N/A,TRUE,"SUMMARY";"Ratios",#N/A,TRUE,"Ratios";"BUDGETREVENUE",#N/A,TRUE,"Revenue";"TOTALS",#N/A,TRUE,"DETAIL"}</definedName>
    <definedName name="wrn.ntfinance." hidden="1">{"Rate",#N/A,TRUE,"SUMMARY";"Ratios",#N/A,TRUE,"Ratios";"BUDGETREVENUE",#N/A,TRUE,"Revenue";"TOTALS",#N/A,TRUE,"DETAIL"}</definedName>
    <definedName name="wrn.NUMNSF." localSheetId="10" hidden="1">{"GO",#N/A,FALSE,"GO";"HM",#N/A,FALSE,"HM";"KR",#N/A,FALSE,"KR";"LO",#N/A,FALSE,"LO";"OT",#N/A,FALSE,"OT";"TR",#N/A,FALSE,"TR"}</definedName>
    <definedName name="wrn.NUMNSF." hidden="1">{"GO",#N/A,FALSE,"GO";"HM",#N/A,FALSE,"HM";"KR",#N/A,FALSE,"KR";"LO",#N/A,FALSE,"LO";"OT",#N/A,FALSE,"OT";"TR",#N/A,FALSE,"TR"}</definedName>
    <definedName name="wrn.nytaann." localSheetId="10" hidden="1">{"nytacash",#N/A,FALSE,"GLOBEINC";"nytainc",#N/A,FALSE,"GLOBEINC";"nytanyt",#N/A,FALSE,"GLOBEINC";"nytareg",#N/A,FALSE,"GLOBEINC";"nytaglobe",#N/A,FALSE,"GLOBEINC";"nytapprttl",#N/A,FALSE,"GLOBEINC"}</definedName>
    <definedName name="wrn.nytaann." localSheetId="15"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_.and._.M._.and._.Fuel." localSheetId="10">{"Fuel",#N/A,FALSE,"O and M and Fuel Incremental";"O and M",#N/A,FALSE,"O and M and Fuel Incremental"}</definedName>
    <definedName name="wrn.O._.and._.M._.and._.Fuel.">{"Fuel",#N/A,FALSE,"O and M and Fuel Incremental";"O and M",#N/A,FALSE,"O and M and Fuel Incremental"}</definedName>
    <definedName name="wrn.oct_res_comm." localSheetId="10" hidden="1">{"oct_res_comm",#N/A,FALSE,"VarToBud"}</definedName>
    <definedName name="wrn.oct_res_comm." hidden="1">{"oct_res_comm",#N/A,FALSE,"VarToBud"}</definedName>
    <definedName name="wrn.OCTOBER." localSheetId="10"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fficers._.Letter." localSheetId="10" hidden="1">{#N/A,#N/A,FALSE,"ROFFLTR"}</definedName>
    <definedName name="wrn.Officers._.Letter." hidden="1">{#N/A,#N/A,FALSE,"ROFFLTR"}</definedName>
    <definedName name="wrn.Oncology." localSheetId="10">{#N/A,#N/A,FALSE,"Onco";#N/A,#N/A,FALSE,"Taxol";#N/A,#N/A,FALSE,"UFT";#N/A,#N/A,FALSE,"Carb"}</definedName>
    <definedName name="wrn.Oncology.">{#N/A,#N/A,FALSE,"Onco";#N/A,#N/A,FALSE,"Taxol";#N/A,#N/A,FALSE,"UFT";#N/A,#N/A,FALSE,"Carb"}</definedName>
    <definedName name="wrn.one." localSheetId="10">{"page1",#N/A,FALSE,"A";"page2",#N/A,FALSE,"A"}</definedName>
    <definedName name="wrn.one.">{"page1",#N/A,FALSE,"A";"page2",#N/A,FALSE,"A"}</definedName>
    <definedName name="wrn.ONTK." localSheetId="10" hidden="1">{#N/A,#N/A,FALSE,"Title Page";#N/A,#N/A,FALSE,"Summary Sheet";#N/A,#N/A,FALSE,"Quarterly Income Statement";#N/A,#N/A,FALSE,"Proforma QTR Income Statement";#N/A,#N/A,FALSE,"Fiscal Year Income Statement";#N/A,#N/A,FALSE,"Valuation Summary";#N/A,#N/A,FALSE,"Comps Without";#N/A,#N/A,FALSE,"Comps With"}</definedName>
    <definedName name="wrn.ONTK." localSheetId="15"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C." localSheetId="10" hidden="1">{#N/A,#N/A,FALSE,"Duran"}</definedName>
    <definedName name="wrn.OPC." hidden="1">{#N/A,#N/A,FALSE,"Duran"}</definedName>
    <definedName name="wrn.OPERATIONS." localSheetId="10" hidden="1">{#N/A,#N/A,FALSE,"PL-FS";#N/A,#N/A,FALSE,"PL"}</definedName>
    <definedName name="wrn.OPERATIONS." localSheetId="15" hidden="1">{#N/A,#N/A,FALSE,"PL-FS";#N/A,#N/A,FALSE,"PL"}</definedName>
    <definedName name="wrn.OPERATIONS." hidden="1">{#N/A,#N/A,FALSE,"PL-FS";#N/A,#N/A,FALSE,"PL"}</definedName>
    <definedName name="wrn.ops._.costs." localSheetId="10"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rdered._.packet." localSheetId="10"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 localSheetId="10" hidden="1">{#N/A,#N/A,TRUE,"SUMRPT94";#N/A,#N/A,TRUE,"MIX94";#N/A,#N/A,TRUE,"ROLLRPT9"}</definedName>
    <definedName name="wrn.ORG._.Meeting._.Packet." hidden="1">{#N/A,#N/A,TRUE,"SUMRPT94";#N/A,#N/A,TRUE,"MIX94";#N/A,#N/A,TRUE,"ROLLRPT9"}</definedName>
    <definedName name="wrn.OScks." localSheetId="10" hidden="1">{#N/A,#N/A,FALSE,"OScks"}</definedName>
    <definedName name="wrn.OScks." hidden="1">{#N/A,#N/A,FALSE,"OScks"}</definedName>
    <definedName name="wrn.OTC._.Market._.Report." localSheetId="10">{#N/A,#N/A,FALSE,"Sales Graph";#N/A,#N/A,FALSE,"BUC Graph";#N/A,#N/A,FALSE,"P&amp;L - YTD"}</definedName>
    <definedName name="wrn.OTC._.Market._.Report.">{#N/A,#N/A,FALSE,"Sales Graph";#N/A,#N/A,FALSE,"BUC Graph";#N/A,#N/A,FALSE,"P&amp;L - YTD"}</definedName>
    <definedName name="wrn.OTHER._.ADMIN._.COSTS." localSheetId="10" hidden="1">{"OTHER ADMIN COSTS",#N/A,FALSE,"C.CENTRE"}</definedName>
    <definedName name="wrn.OTHER._.ADMIN._.COSTS." hidden="1">{"OTHER ADMIN COSTS",#N/A,FALSE,"C.CENTRE"}</definedName>
    <definedName name="wrn.OTHER._.INCOME." localSheetId="10" hidden="1">{#N/A,#N/A,FALSE,"0600-1 Other Income (Expense)"}</definedName>
    <definedName name="wrn.OTHER._.INCOME." hidden="1">{#N/A,#N/A,FALSE,"0600-1 Other Income (Expense)"}</definedName>
    <definedName name="wrn.Other._.Pharm." localSheetId="10">{#N/A,#N/A,FALSE,"Other";#N/A,#N/A,FALSE,"Ace";#N/A,#N/A,FALSE,"Derm"}</definedName>
    <definedName name="wrn.Other._.Pharm.">{#N/A,#N/A,FALSE,"Other";#N/A,#N/A,FALSE,"Ace";#N/A,#N/A,FALSE,"Derm"}</definedName>
    <definedName name="wrn.OTHER._.REVENUE." localSheetId="10" hidden="1">{"OTHER REVENUE",#N/A,FALSE,"OTHERS"}</definedName>
    <definedName name="wrn.OTHER._.REVENUE." hidden="1">{"OTHER REVENUE",#N/A,FALSE,"OTHERS"}</definedName>
    <definedName name="wrn.OtherAL." localSheetId="10" hidden="1">{#N/A,#N/A,FALSE,"OtherA&amp;L"}</definedName>
    <definedName name="wrn.OtherAL." hidden="1">{#N/A,#N/A,FALSE,"OtherA&amp;L"}</definedName>
    <definedName name="wrn.OU._.06Analysis" localSheetId="10" hidden="1">{"Material",#N/A,TRUE,"Summary";"Mfg",#N/A,TRUE,"Summary";"mfgbymo",#N/A,TRUE,"By Month";"Mtlbymo",#N/A,TRUE,"By Month"}</definedName>
    <definedName name="wrn.OU._.06Analysis" hidden="1">{"Material",#N/A,TRUE,"Summary";"Mfg",#N/A,TRUE,"Summary";"mfgbymo",#N/A,TRUE,"By Month";"Mtlbymo",#N/A,TRUE,"By Month"}</definedName>
    <definedName name="wrn.OU._.06Analysis_1" localSheetId="10" hidden="1">{"Material",#N/A,TRUE,"Summary";"Mfg",#N/A,TRUE,"Summary";"mfgbymo",#N/A,TRUE,"By Month";"Mtlbymo",#N/A,TRUE,"By Month"}</definedName>
    <definedName name="wrn.OU._.06Analysis_1" hidden="1">{"Material",#N/A,TRUE,"Summary";"Mfg",#N/A,TRUE,"Summary";"mfgbymo",#N/A,TRUE,"By Month";"Mtlbymo",#N/A,TRUE,"By Month"}</definedName>
    <definedName name="wrn.OU._.06Analysis_1_1" localSheetId="10" hidden="1">{"Material",#N/A,TRUE,"Summary";"Mfg",#N/A,TRUE,"Summary";"mfgbymo",#N/A,TRUE,"By Month";"Mtlbymo",#N/A,TRUE,"By Month"}</definedName>
    <definedName name="wrn.OU._.06Analysis_1_1" hidden="1">{"Material",#N/A,TRUE,"Summary";"Mfg",#N/A,TRUE,"Summary";"mfgbymo",#N/A,TRUE,"By Month";"Mtlbymo",#N/A,TRUE,"By Month"}</definedName>
    <definedName name="wrn.OU._.06Analysis_2" localSheetId="10" hidden="1">{"Material",#N/A,TRUE,"Summary";"Mfg",#N/A,TRUE,"Summary";"mfgbymo",#N/A,TRUE,"By Month";"Mtlbymo",#N/A,TRUE,"By Month"}</definedName>
    <definedName name="wrn.OU._.06Analysis_2" hidden="1">{"Material",#N/A,TRUE,"Summary";"Mfg",#N/A,TRUE,"Summary";"mfgbymo",#N/A,TRUE,"By Month";"Mtlbymo",#N/A,TRUE,"By Month"}</definedName>
    <definedName name="wrn.OU._.Analysis." localSheetId="10" hidden="1">{"Material",#N/A,TRUE,"Summary";"Mfg",#N/A,TRUE,"Summary";"mfgbymo",#N/A,TRUE,"By Month";"Mtlbymo",#N/A,TRUE,"By Month"}</definedName>
    <definedName name="wrn.OU._.Analysis." hidden="1">{"Material",#N/A,TRUE,"Summary";"Mfg",#N/A,TRUE,"Summary";"mfgbymo",#N/A,TRUE,"By Month";"Mtlbymo",#N/A,TRUE,"By Month"}</definedName>
    <definedName name="wrn.OU._.Analysis._1" localSheetId="10" hidden="1">{"Material",#N/A,TRUE,"Summary";"Mfg",#N/A,TRUE,"Summary";"mfgbymo",#N/A,TRUE,"By Month";"Mtlbymo",#N/A,TRUE,"By Month"}</definedName>
    <definedName name="wrn.OU._.Analysis._1" hidden="1">{"Material",#N/A,TRUE,"Summary";"Mfg",#N/A,TRUE,"Summary";"mfgbymo",#N/A,TRUE,"By Month";"Mtlbymo",#N/A,TRUE,"By Month"}</definedName>
    <definedName name="wrn.OU._.Analysis._1_1" localSheetId="10" hidden="1">{"Material",#N/A,TRUE,"Summary";"Mfg",#N/A,TRUE,"Summary";"mfgbymo",#N/A,TRUE,"By Month";"Mtlbymo",#N/A,TRUE,"By Month"}</definedName>
    <definedName name="wrn.OU._.Analysis._1_1" hidden="1">{"Material",#N/A,TRUE,"Summary";"Mfg",#N/A,TRUE,"Summary";"mfgbymo",#N/A,TRUE,"By Month";"Mtlbymo",#N/A,TRUE,"By Month"}</definedName>
    <definedName name="wrn.OU._.Analysis._2" localSheetId="10" hidden="1">{"Material",#N/A,TRUE,"Summary";"Mfg",#N/A,TRUE,"Summary";"mfgbymo",#N/A,TRUE,"By Month";"Mtlbymo",#N/A,TRUE,"By Month"}</definedName>
    <definedName name="wrn.OU._.Analysis._2" hidden="1">{"Material",#N/A,TRUE,"Summary";"Mfg",#N/A,TRUE,"Summary";"mfgbymo",#N/A,TRUE,"By Month";"Mtlbymo",#N/A,TRUE,"By Month"}</definedName>
    <definedName name="wrn.Output." localSheetId="10" hidden="1">{"calspreads",#N/A,FALSE,"Sheet1";"curves",#N/A,FALSE,"Sheet1";"libor",#N/A,FALSE,"Sheet1"}</definedName>
    <definedName name="wrn.Output." localSheetId="15" hidden="1">{"calspreads",#N/A,FALSE,"Sheet1";"curves",#N/A,FALSE,"Sheet1";"libor",#N/A,FALSE,"Sheet1"}</definedName>
    <definedName name="wrn.Output." hidden="1">{"calspreads",#N/A,FALSE,"Sheet1";"curves",#N/A,FALSE,"Sheet1";"libor",#N/A,FALSE,"Sheet1"}</definedName>
    <definedName name="wrn.OUTPUT._1" localSheetId="10" hidden="1">{"DCF","UPSIDE CASE",FALSE,"Sheet1";"DCF","BASE CASE",FALSE,"Sheet1";"DCF","DOWNSIDE CASE",FALSE,"Sheet1"}</definedName>
    <definedName name="wrn.OUTPUT._1" hidden="1">{"DCF","UPSIDE CASE",FALSE,"Sheet1";"DCF","BASE CASE",FALSE,"Sheet1";"DCF","DOWNSIDE CASE",FALSE,"Sheet1"}</definedName>
    <definedName name="wrn.OUTPUT._from_DBAB" localSheetId="10" hidden="1">{"DCF","UPSIDE CASE",FALSE,"Sheet1";"DCF","BASE CASE",FALSE,"Sheet1";"DCF","DOWNSIDE CASE",FALSE,"Sheet1"}</definedName>
    <definedName name="wrn.OUTPUT._from_DBAB" localSheetId="15" hidden="1">{"DCF","UPSIDE CASE",FALSE,"Sheet1";"DCF","BASE CASE",FALSE,"Sheet1";"DCF","DOWNSIDE CASE",FALSE,"Sheet1"}</definedName>
    <definedName name="wrn.OUTPUT._from_DBAB" hidden="1">{"DCF","UPSIDE CASE",FALSE,"Sheet1";"DCF","BASE CASE",FALSE,"Sheet1";"DCF","DOWNSIDE CASE",FALSE,"Sheet1"}</definedName>
    <definedName name="wrn.OUTPUT._from_DBAB_1" localSheetId="10" hidden="1">{"DCF","UPSIDE CASE",FALSE,"Sheet1";"DCF","BASE CASE",FALSE,"Sheet1";"DCF","DOWNSIDE CASE",FALSE,"Sheet1"}</definedName>
    <definedName name="wrn.OUTPUT._from_DBAB_1" localSheetId="15" hidden="1">{"DCF","UPSIDE CASE",FALSE,"Sheet1";"DCF","BASE CASE",FALSE,"Sheet1";"DCF","DOWNSIDE CASE",FALSE,"Sheet1"}</definedName>
    <definedName name="wrn.OUTPUT._from_DBAB_1" hidden="1">{"DCF","UPSIDE CASE",FALSE,"Sheet1";"DCF","BASE CASE",FALSE,"Sheet1";"DCF","DOWNSIDE CASE",FALSE,"Sheet1"}</definedName>
    <definedName name="wrn.OUTPUT._from_DBAB_1_1" localSheetId="10" hidden="1">{"DCF","UPSIDE CASE",FALSE,"Sheet1";"DCF","BASE CASE",FALSE,"Sheet1";"DCF","DOWNSIDE CASE",FALSE,"Sheet1"}</definedName>
    <definedName name="wrn.OUTPUT._from_DBAB_1_1" localSheetId="15"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10" hidden="1">{"DCF","UPSIDE CASE",FALSE,"Sheet1";"DCF","BASE CASE",FALSE,"Sheet1";"DCF","DOWNSIDE CASE",FALSE,"Sheet1"}</definedName>
    <definedName name="wrn.OUTPUT._from_DBAB_1_1_1" localSheetId="15"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10" hidden="1">{"DCF","UPSIDE CASE",FALSE,"Sheet1";"DCF","BASE CASE",FALSE,"Sheet1";"DCF","DOWNSIDE CASE",FALSE,"Sheet1"}</definedName>
    <definedName name="wrn.OUTPUT._from_DBAB_1_2" localSheetId="15" hidden="1">{"DCF","UPSIDE CASE",FALSE,"Sheet1";"DCF","BASE CASE",FALSE,"Sheet1";"DCF","DOWNSIDE CASE",FALSE,"Sheet1"}</definedName>
    <definedName name="wrn.OUTPUT._from_DBAB_1_2" hidden="1">{"DCF","UPSIDE CASE",FALSE,"Sheet1";"DCF","BASE CASE",FALSE,"Sheet1";"DCF","DOWNSIDE CASE",FALSE,"Sheet1"}</definedName>
    <definedName name="wrn.OUTPUT._from_DBAB_2" localSheetId="10" hidden="1">{"DCF","UPSIDE CASE",FALSE,"Sheet1";"DCF","BASE CASE",FALSE,"Sheet1";"DCF","DOWNSIDE CASE",FALSE,"Sheet1"}</definedName>
    <definedName name="wrn.OUTPUT._from_DBAB_2" localSheetId="15" hidden="1">{"DCF","UPSIDE CASE",FALSE,"Sheet1";"DCF","BASE CASE",FALSE,"Sheet1";"DCF","DOWNSIDE CASE",FALSE,"Sheet1"}</definedName>
    <definedName name="wrn.OUTPUT._from_DBAB_2" hidden="1">{"DCF","UPSIDE CASE",FALSE,"Sheet1";"DCF","BASE CASE",FALSE,"Sheet1";"DCF","DOWNSIDE CASE",FALSE,"Sheet1"}</definedName>
    <definedName name="wrn.OUTPUT._from_DBAB_2_1" localSheetId="10" hidden="1">{"DCF","UPSIDE CASE",FALSE,"Sheet1";"DCF","BASE CASE",FALSE,"Sheet1";"DCF","DOWNSIDE CASE",FALSE,"Sheet1"}</definedName>
    <definedName name="wrn.OUTPUT._from_DBAB_2_1" hidden="1">{"DCF","UPSIDE CASE",FALSE,"Sheet1";"DCF","BASE CASE",FALSE,"Sheet1";"DCF","DOWNSIDE CASE",FALSE,"Sheet1"}</definedName>
    <definedName name="wrn.OUTPUT._from_DBAB_3" localSheetId="10" hidden="1">{"DCF","UPSIDE CASE",FALSE,"Sheet1";"DCF","BASE CASE",FALSE,"Sheet1";"DCF","DOWNSIDE CASE",FALSE,"Sheet1"}</definedName>
    <definedName name="wrn.OUTPUT._from_DBAB_3" localSheetId="15" hidden="1">{"DCF","UPSIDE CASE",FALSE,"Sheet1";"DCF","BASE CASE",FALSE,"Sheet1";"DCF","DOWNSIDE CASE",FALSE,"Sheet1"}</definedName>
    <definedName name="wrn.OUTPUT._from_DBAB_3" hidden="1">{"DCF","UPSIDE CASE",FALSE,"Sheet1";"DCF","BASE CASE",FALSE,"Sheet1";"DCF","DOWNSIDE CASE",FALSE,"Sheet1"}</definedName>
    <definedName name="wrn.OUTPUT._from_DBAB_4" localSheetId="10" hidden="1">{"DCF","UPSIDE CASE",FALSE,"Sheet1";"DCF","BASE CASE",FALSE,"Sheet1";"DCF","DOWNSIDE CASE",FALSE,"Sheet1"}</definedName>
    <definedName name="wrn.OUTPUT._from_DBAB_4" localSheetId="15" hidden="1">{"DCF","UPSIDE CASE",FALSE,"Sheet1";"DCF","BASE CASE",FALSE,"Sheet1";"DCF","DOWNSIDE CASE",FALSE,"Sheet1"}</definedName>
    <definedName name="wrn.OUTPUT._from_DBAB_4" hidden="1">{"DCF","UPSIDE CASE",FALSE,"Sheet1";"DCF","BASE CASE",FALSE,"Sheet1";"DCF","DOWNSIDE CASE",FALSE,"Sheet1"}</definedName>
    <definedName name="wrn.OUTPUT._from_DBAB_5" localSheetId="10" hidden="1">{"DCF","UPSIDE CASE",FALSE,"Sheet1";"DCF","BASE CASE",FALSE,"Sheet1";"DCF","DOWNSIDE CASE",FALSE,"Sheet1"}</definedName>
    <definedName name="wrn.OUTPUT._from_DBAB_5" localSheetId="15" hidden="1">{"DCF","UPSIDE CASE",FALSE,"Sheet1";"DCF","BASE CASE",FALSE,"Sheet1";"DCF","DOWNSIDE CASE",FALSE,"Sheet1"}</definedName>
    <definedName name="wrn.OUTPUT._from_DBAB_5" hidden="1">{"DCF","UPSIDE CASE",FALSE,"Sheet1";"DCF","BASE CASE",FALSE,"Sheet1";"DCF","DOWNSIDE CASE",FALSE,"Sheet1"}</definedName>
    <definedName name="wrn.Overview." localSheetId="10" hidden="1">{"Input short",#N/A,TRUE,"Input";"CapTable normal",#N/A,TRUE,"Cap Table";"P&amp;L Yrly normal",#N/A,TRUE,"P&amp;L Yrly";"CF short",#N/A,TRUE,"FCashflow";"BS short",#N/A,TRUE,"BS Qu"}</definedName>
    <definedName name="wrn.Overview." hidden="1">{"Input short",#N/A,TRUE,"Input";"CapTable normal",#N/A,TRUE,"Cap Table";"P&amp;L Yrly normal",#N/A,TRUE,"P&amp;L Yrly";"CF short",#N/A,TRUE,"FCashflow";"BS short",#N/A,TRUE,"BS Qu"}</definedName>
    <definedName name="wrn.Overview._.12._.months." localSheetId="10" hidden="1">{"P&amp;L Mo",#N/A,TRUE,"P&amp;L mo";"CF Mo",#N/A,TRUE,"FCashflow";"BS Mo",#N/A,TRUE,"BS";"CapEx Mo",#N/A,TRUE,"CapEx";"HC Mo",#N/A,TRUE,"Headcount";"KPI Mo",#N/A,TRUE,"KPI"}</definedName>
    <definedName name="wrn.Overview._.12._.months." hidden="1">{"P&amp;L Mo",#N/A,TRUE,"P&amp;L mo";"CF Mo",#N/A,TRUE,"FCashflow";"BS Mo",#N/A,TRUE,"BS";"CapEx Mo",#N/A,TRUE,"CapEx";"HC Mo",#N/A,TRUE,"Headcount";"KPI Mo",#N/A,TRUE,"KPI"}</definedName>
    <definedName name="wrn.Overview._.12._.months._1" localSheetId="10" hidden="1">{"P&amp;L Mo",#N/A,TRUE,"P&amp;L mo";"CF Mo",#N/A,TRUE,"FCashflow";"BS Mo",#N/A,TRUE,"BS";"CapEx Mo",#N/A,TRUE,"CapEx";"HC Mo",#N/A,TRUE,"Headcount";"KPI Mo",#N/A,TRUE,"KPI"}</definedName>
    <definedName name="wrn.Overview._.12._.months._1" hidden="1">{"P&amp;L Mo",#N/A,TRUE,"P&amp;L mo";"CF Mo",#N/A,TRUE,"FCashflow";"BS Mo",#N/A,TRUE,"BS";"CapEx Mo",#N/A,TRUE,"CapEx";"HC Mo",#N/A,TRUE,"Headcount";"KPI Mo",#N/A,TRUE,"KPI"}</definedName>
    <definedName name="wrn.Overview._.12._.months._2" localSheetId="10" hidden="1">{"P&amp;L Mo",#N/A,TRUE,"P&amp;L mo";"CF Mo",#N/A,TRUE,"FCashflow";"BS Mo",#N/A,TRUE,"BS";"CapEx Mo",#N/A,TRUE,"CapEx";"HC Mo",#N/A,TRUE,"Headcount";"KPI Mo",#N/A,TRUE,"KPI"}</definedName>
    <definedName name="wrn.Overview._.12._.months._2" hidden="1">{"P&amp;L Mo",#N/A,TRUE,"P&amp;L mo";"CF Mo",#N/A,TRUE,"FCashflow";"BS Mo",#N/A,TRUE,"BS";"CapEx Mo",#N/A,TRUE,"CapEx";"HC Mo",#N/A,TRUE,"Headcount";"KPI Mo",#N/A,TRUE,"KPI"}</definedName>
    <definedName name="wrn.Overview._.12._.months._3" localSheetId="10" hidden="1">{"P&amp;L Mo",#N/A,TRUE,"P&amp;L mo";"CF Mo",#N/A,TRUE,"FCashflow";"BS Mo",#N/A,TRUE,"BS";"CapEx Mo",#N/A,TRUE,"CapEx";"HC Mo",#N/A,TRUE,"Headcount";"KPI Mo",#N/A,TRUE,"KPI"}</definedName>
    <definedName name="wrn.Overview._.12._.months._3" hidden="1">{"P&amp;L Mo",#N/A,TRUE,"P&amp;L mo";"CF Mo",#N/A,TRUE,"FCashflow";"BS Mo",#N/A,TRUE,"BS";"CapEx Mo",#N/A,TRUE,"CapEx";"HC Mo",#N/A,TRUE,"Headcount";"KPI Mo",#N/A,TRUE,"KPI"}</definedName>
    <definedName name="wrn.Overview._.12._.months._4" localSheetId="10" hidden="1">{"P&amp;L Mo",#N/A,TRUE,"P&amp;L mo";"CF Mo",#N/A,TRUE,"FCashflow";"BS Mo",#N/A,TRUE,"BS";"CapEx Mo",#N/A,TRUE,"CapEx";"HC Mo",#N/A,TRUE,"Headcount";"KPI Mo",#N/A,TRUE,"KPI"}</definedName>
    <definedName name="wrn.Overview._.12._.months._4" hidden="1">{"P&amp;L Mo",#N/A,TRUE,"P&amp;L mo";"CF Mo",#N/A,TRUE,"FCashflow";"BS Mo",#N/A,TRUE,"BS";"CapEx Mo",#N/A,TRUE,"CapEx";"HC Mo",#N/A,TRUE,"Headcount";"KPI Mo",#N/A,TRUE,"KPI"}</definedName>
    <definedName name="wrn.Overview._.12._.months._5" localSheetId="10" hidden="1">{"P&amp;L Mo",#N/A,TRUE,"P&amp;L mo";"CF Mo",#N/A,TRUE,"FCashflow";"BS Mo",#N/A,TRUE,"BS";"CapEx Mo",#N/A,TRUE,"CapEx";"HC Mo",#N/A,TRUE,"Headcount";"KPI Mo",#N/A,TRUE,"KPI"}</definedName>
    <definedName name="wrn.Overview._.12._.months._5" hidden="1">{"P&amp;L Mo",#N/A,TRUE,"P&amp;L mo";"CF Mo",#N/A,TRUE,"FCashflow";"BS Mo",#N/A,TRUE,"BS";"CapEx Mo",#N/A,TRUE,"CapEx";"HC Mo",#N/A,TRUE,"Headcount";"KPI Mo",#N/A,TRUE,"KPI"}</definedName>
    <definedName name="wrn.Overview._.12._.months1" localSheetId="10"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2._.months1_1" localSheetId="10" hidden="1">{"P&amp;L Mo",#N/A,TRUE,"P&amp;L mo";"CF Mo",#N/A,TRUE,"FCashflow";"BS Mo",#N/A,TRUE,"BS";"CapEx Mo",#N/A,TRUE,"CapEx";"HC Mo",#N/A,TRUE,"Headcount";"KPI Mo",#N/A,TRUE,"KPI"}</definedName>
    <definedName name="wrn.Overview._.12._.months1_1" hidden="1">{"P&amp;L Mo",#N/A,TRUE,"P&amp;L mo";"CF Mo",#N/A,TRUE,"FCashflow";"BS Mo",#N/A,TRUE,"BS";"CapEx Mo",#N/A,TRUE,"CapEx";"HC Mo",#N/A,TRUE,"Headcount";"KPI Mo",#N/A,TRUE,"KPI"}</definedName>
    <definedName name="wrn.Overview._.12._.months1_2" localSheetId="10" hidden="1">{"P&amp;L Mo",#N/A,TRUE,"P&amp;L mo";"CF Mo",#N/A,TRUE,"FCashflow";"BS Mo",#N/A,TRUE,"BS";"CapEx Mo",#N/A,TRUE,"CapEx";"HC Mo",#N/A,TRUE,"Headcount";"KPI Mo",#N/A,TRUE,"KPI"}</definedName>
    <definedName name="wrn.Overview._.12._.months1_2" hidden="1">{"P&amp;L Mo",#N/A,TRUE,"P&amp;L mo";"CF Mo",#N/A,TRUE,"FCashflow";"BS Mo",#N/A,TRUE,"BS";"CapEx Mo",#N/A,TRUE,"CapEx";"HC Mo",#N/A,TRUE,"Headcount";"KPI Mo",#N/A,TRUE,"KPI"}</definedName>
    <definedName name="wrn.Overview._.12._.months1_3" localSheetId="10" hidden="1">{"P&amp;L Mo",#N/A,TRUE,"P&amp;L mo";"CF Mo",#N/A,TRUE,"FCashflow";"BS Mo",#N/A,TRUE,"BS";"CapEx Mo",#N/A,TRUE,"CapEx";"HC Mo",#N/A,TRUE,"Headcount";"KPI Mo",#N/A,TRUE,"KPI"}</definedName>
    <definedName name="wrn.Overview._.12._.months1_3" hidden="1">{"P&amp;L Mo",#N/A,TRUE,"P&amp;L mo";"CF Mo",#N/A,TRUE,"FCashflow";"BS Mo",#N/A,TRUE,"BS";"CapEx Mo",#N/A,TRUE,"CapEx";"HC Mo",#N/A,TRUE,"Headcount";"KPI Mo",#N/A,TRUE,"KPI"}</definedName>
    <definedName name="wrn.Overview._.12._.months1_4" localSheetId="10" hidden="1">{"P&amp;L Mo",#N/A,TRUE,"P&amp;L mo";"CF Mo",#N/A,TRUE,"FCashflow";"BS Mo",#N/A,TRUE,"BS";"CapEx Mo",#N/A,TRUE,"CapEx";"HC Mo",#N/A,TRUE,"Headcount";"KPI Mo",#N/A,TRUE,"KPI"}</definedName>
    <definedName name="wrn.Overview._.12._.months1_4" hidden="1">{"P&amp;L Mo",#N/A,TRUE,"P&amp;L mo";"CF Mo",#N/A,TRUE,"FCashflow";"BS Mo",#N/A,TRUE,"BS";"CapEx Mo",#N/A,TRUE,"CapEx";"HC Mo",#N/A,TRUE,"Headcount";"KPI Mo",#N/A,TRUE,"KPI"}</definedName>
    <definedName name="wrn.Overview._.12._.months1_5" localSheetId="10" hidden="1">{"P&amp;L Mo",#N/A,TRUE,"P&amp;L mo";"CF Mo",#N/A,TRUE,"FCashflow";"BS Mo",#N/A,TRUE,"BS";"CapEx Mo",#N/A,TRUE,"CapEx";"HC Mo",#N/A,TRUE,"Headcount";"KPI Mo",#N/A,TRUE,"KPI"}</definedName>
    <definedName name="wrn.Overview._.12._.months1_5" hidden="1">{"P&amp;L Mo",#N/A,TRUE,"P&amp;L mo";"CF Mo",#N/A,TRUE,"FCashflow";"BS Mo",#N/A,TRUE,"BS";"CapEx Mo",#N/A,TRUE,"CapEx";"HC Mo",#N/A,TRUE,"Headcount";"KPI Mo",#N/A,TRUE,"KPI"}</definedName>
    <definedName name="wrn.Overview._.14._.Quarters." localSheetId="10" hidden="1">{"P&amp;L Qu",#N/A,TRUE,"P&amp;LQu&amp;Yr";"CF Qu",#N/A,TRUE,"FCashflow";"BS Qu",#N/A,TRUE,"BS";"CapEx Qu",#N/A,TRUE,"CapEx";"HC Qu",#N/A,TRUE,"Headcount";"KPI Qu",#N/A,TRUE,"KPI"}</definedName>
    <definedName name="wrn.Overview._.14._.Quarters." hidden="1">{"P&amp;L Qu",#N/A,TRUE,"P&amp;LQu&amp;Yr";"CF Qu",#N/A,TRUE,"FCashflow";"BS Qu",#N/A,TRUE,"BS";"CapEx Qu",#N/A,TRUE,"CapEx";"HC Qu",#N/A,TRUE,"Headcount";"KPI Qu",#N/A,TRUE,"KPI"}</definedName>
    <definedName name="wrn.Overview._.14._.Quarters._1" localSheetId="10" hidden="1">{"P&amp;L Qu",#N/A,TRUE,"P&amp;LQu&amp;Yr";"CF Qu",#N/A,TRUE,"FCashflow";"BS Qu",#N/A,TRUE,"BS";"CapEx Qu",#N/A,TRUE,"CapEx";"HC Qu",#N/A,TRUE,"Headcount";"KPI Qu",#N/A,TRUE,"KPI"}</definedName>
    <definedName name="wrn.Overview._.14._.Quarters._1" hidden="1">{"P&amp;L Qu",#N/A,TRUE,"P&amp;LQu&amp;Yr";"CF Qu",#N/A,TRUE,"FCashflow";"BS Qu",#N/A,TRUE,"BS";"CapEx Qu",#N/A,TRUE,"CapEx";"HC Qu",#N/A,TRUE,"Headcount";"KPI Qu",#N/A,TRUE,"KPI"}</definedName>
    <definedName name="wrn.Overview._.14._.Quarters._2" localSheetId="10" hidden="1">{"P&amp;L Qu",#N/A,TRUE,"P&amp;LQu&amp;Yr";"CF Qu",#N/A,TRUE,"FCashflow";"BS Qu",#N/A,TRUE,"BS";"CapEx Qu",#N/A,TRUE,"CapEx";"HC Qu",#N/A,TRUE,"Headcount";"KPI Qu",#N/A,TRUE,"KPI"}</definedName>
    <definedName name="wrn.Overview._.14._.Quarters._2" hidden="1">{"P&amp;L Qu",#N/A,TRUE,"P&amp;LQu&amp;Yr";"CF Qu",#N/A,TRUE,"FCashflow";"BS Qu",#N/A,TRUE,"BS";"CapEx Qu",#N/A,TRUE,"CapEx";"HC Qu",#N/A,TRUE,"Headcount";"KPI Qu",#N/A,TRUE,"KPI"}</definedName>
    <definedName name="wrn.Overview._.14._.Quarters._3" localSheetId="10" hidden="1">{"P&amp;L Qu",#N/A,TRUE,"P&amp;LQu&amp;Yr";"CF Qu",#N/A,TRUE,"FCashflow";"BS Qu",#N/A,TRUE,"BS";"CapEx Qu",#N/A,TRUE,"CapEx";"HC Qu",#N/A,TRUE,"Headcount";"KPI Qu",#N/A,TRUE,"KPI"}</definedName>
    <definedName name="wrn.Overview._.14._.Quarters._3" hidden="1">{"P&amp;L Qu",#N/A,TRUE,"P&amp;LQu&amp;Yr";"CF Qu",#N/A,TRUE,"FCashflow";"BS Qu",#N/A,TRUE,"BS";"CapEx Qu",#N/A,TRUE,"CapEx";"HC Qu",#N/A,TRUE,"Headcount";"KPI Qu",#N/A,TRUE,"KPI"}</definedName>
    <definedName name="wrn.Overview._.14._.Quarters._4" localSheetId="10" hidden="1">{"P&amp;L Qu",#N/A,TRUE,"P&amp;LQu&amp;Yr";"CF Qu",#N/A,TRUE,"FCashflow";"BS Qu",#N/A,TRUE,"BS";"CapEx Qu",#N/A,TRUE,"CapEx";"HC Qu",#N/A,TRUE,"Headcount";"KPI Qu",#N/A,TRUE,"KPI"}</definedName>
    <definedName name="wrn.Overview._.14._.Quarters._4" hidden="1">{"P&amp;L Qu",#N/A,TRUE,"P&amp;LQu&amp;Yr";"CF Qu",#N/A,TRUE,"FCashflow";"BS Qu",#N/A,TRUE,"BS";"CapEx Qu",#N/A,TRUE,"CapEx";"HC Qu",#N/A,TRUE,"Headcount";"KPI Qu",#N/A,TRUE,"KPI"}</definedName>
    <definedName name="wrn.Overview._.14._.Quarters._5" localSheetId="10" hidden="1">{"P&amp;L Qu",#N/A,TRUE,"P&amp;LQu&amp;Yr";"CF Qu",#N/A,TRUE,"FCashflow";"BS Qu",#N/A,TRUE,"BS";"CapEx Qu",#N/A,TRUE,"CapEx";"HC Qu",#N/A,TRUE,"Headcount";"KPI Qu",#N/A,TRUE,"KPI"}</definedName>
    <definedName name="wrn.Overview._.14._.Quarters._5" hidden="1">{"P&amp;L Qu",#N/A,TRUE,"P&amp;LQu&amp;Yr";"CF Qu",#N/A,TRUE,"FCashflow";"BS Qu",#N/A,TRUE,"BS";"CapEx Qu",#N/A,TRUE,"CapEx";"HC Qu",#N/A,TRUE,"Headcount";"KPI Qu",#N/A,TRUE,"KPI"}</definedName>
    <definedName name="wrn.Overview._.5._.Years." localSheetId="10" hidden="1">{"P&amp;L Yr",#N/A,TRUE,"P&amp;LQu&amp;Yr";"CF Yr",#N/A,TRUE,"FCashflow";"BS Yr",#N/A,TRUE,"BS";"CapEx Yr",#N/A,TRUE,"CapEx";"HC Yr",#N/A,TRUE,"Headcount";"KPI Yr",#N/A,TRUE,"KPI"}</definedName>
    <definedName name="wrn.Overview._.5._.Years." hidden="1">{"P&amp;L Yr",#N/A,TRUE,"P&amp;LQu&amp;Yr";"CF Yr",#N/A,TRUE,"FCashflow";"BS Yr",#N/A,TRUE,"BS";"CapEx Yr",#N/A,TRUE,"CapEx";"HC Yr",#N/A,TRUE,"Headcount";"KPI Yr",#N/A,TRUE,"KPI"}</definedName>
    <definedName name="wrn.Overview._.5._.Years._1" localSheetId="10" hidden="1">{"P&amp;L Yr",#N/A,TRUE,"P&amp;LQu&amp;Yr";"CF Yr",#N/A,TRUE,"FCashflow";"BS Yr",#N/A,TRUE,"BS";"CapEx Yr",#N/A,TRUE,"CapEx";"HC Yr",#N/A,TRUE,"Headcount";"KPI Yr",#N/A,TRUE,"KPI"}</definedName>
    <definedName name="wrn.Overview._.5._.Years._1" hidden="1">{"P&amp;L Yr",#N/A,TRUE,"P&amp;LQu&amp;Yr";"CF Yr",#N/A,TRUE,"FCashflow";"BS Yr",#N/A,TRUE,"BS";"CapEx Yr",#N/A,TRUE,"CapEx";"HC Yr",#N/A,TRUE,"Headcount";"KPI Yr",#N/A,TRUE,"KPI"}</definedName>
    <definedName name="wrn.Overview._.5._.Years._2" localSheetId="10" hidden="1">{"P&amp;L Yr",#N/A,TRUE,"P&amp;LQu&amp;Yr";"CF Yr",#N/A,TRUE,"FCashflow";"BS Yr",#N/A,TRUE,"BS";"CapEx Yr",#N/A,TRUE,"CapEx";"HC Yr",#N/A,TRUE,"Headcount";"KPI Yr",#N/A,TRUE,"KPI"}</definedName>
    <definedName name="wrn.Overview._.5._.Years._2" hidden="1">{"P&amp;L Yr",#N/A,TRUE,"P&amp;LQu&amp;Yr";"CF Yr",#N/A,TRUE,"FCashflow";"BS Yr",#N/A,TRUE,"BS";"CapEx Yr",#N/A,TRUE,"CapEx";"HC Yr",#N/A,TRUE,"Headcount";"KPI Yr",#N/A,TRUE,"KPI"}</definedName>
    <definedName name="wrn.Overview._.5._.Years._3" localSheetId="10" hidden="1">{"P&amp;L Yr",#N/A,TRUE,"P&amp;LQu&amp;Yr";"CF Yr",#N/A,TRUE,"FCashflow";"BS Yr",#N/A,TRUE,"BS";"CapEx Yr",#N/A,TRUE,"CapEx";"HC Yr",#N/A,TRUE,"Headcount";"KPI Yr",#N/A,TRUE,"KPI"}</definedName>
    <definedName name="wrn.Overview._.5._.Years._3" hidden="1">{"P&amp;L Yr",#N/A,TRUE,"P&amp;LQu&amp;Yr";"CF Yr",#N/A,TRUE,"FCashflow";"BS Yr",#N/A,TRUE,"BS";"CapEx Yr",#N/A,TRUE,"CapEx";"HC Yr",#N/A,TRUE,"Headcount";"KPI Yr",#N/A,TRUE,"KPI"}</definedName>
    <definedName name="wrn.Overview._.5._.Years._4" localSheetId="10" hidden="1">{"P&amp;L Yr",#N/A,TRUE,"P&amp;LQu&amp;Yr";"CF Yr",#N/A,TRUE,"FCashflow";"BS Yr",#N/A,TRUE,"BS";"CapEx Yr",#N/A,TRUE,"CapEx";"HC Yr",#N/A,TRUE,"Headcount";"KPI Yr",#N/A,TRUE,"KPI"}</definedName>
    <definedName name="wrn.Overview._.5._.Years._4" hidden="1">{"P&amp;L Yr",#N/A,TRUE,"P&amp;LQu&amp;Yr";"CF Yr",#N/A,TRUE,"FCashflow";"BS Yr",#N/A,TRUE,"BS";"CapEx Yr",#N/A,TRUE,"CapEx";"HC Yr",#N/A,TRUE,"Headcount";"KPI Yr",#N/A,TRUE,"KPI"}</definedName>
    <definedName name="wrn.Overview._.5._.Years._5" localSheetId="10" hidden="1">{"P&amp;L Yr",#N/A,TRUE,"P&amp;LQu&amp;Yr";"CF Yr",#N/A,TRUE,"FCashflow";"BS Yr",#N/A,TRUE,"BS";"CapEx Yr",#N/A,TRUE,"CapEx";"HC Yr",#N/A,TRUE,"Headcount";"KPI Yr",#N/A,TRUE,"KPI"}</definedName>
    <definedName name="wrn.Overview._.5._.Years._5" hidden="1">{"P&amp;L Yr",#N/A,TRUE,"P&amp;LQu&amp;Yr";"CF Yr",#N/A,TRUE,"FCashflow";"BS Yr",#N/A,TRUE,"BS";"CapEx Yr",#N/A,TRUE,"CapEx";"HC Yr",#N/A,TRUE,"Headcount";"KPI Yr",#N/A,TRUE,"KPI"}</definedName>
    <definedName name="wrn.Overview._1" localSheetId="10" hidden="1">{"Input short",#N/A,TRUE,"Input";"CapTable normal",#N/A,TRUE,"Cap Table";"P&amp;L Yrly normal",#N/A,TRUE,"P&amp;L Yrly";"CF short",#N/A,TRUE,"FCashflow";"BS short",#N/A,TRUE,"BS Qu"}</definedName>
    <definedName name="wrn.Overview._1" hidden="1">{"Input short",#N/A,TRUE,"Input";"CapTable normal",#N/A,TRUE,"Cap Table";"P&amp;L Yrly normal",#N/A,TRUE,"P&amp;L Yrly";"CF short",#N/A,TRUE,"FCashflow";"BS short",#N/A,TRUE,"BS Qu"}</definedName>
    <definedName name="wrn.Overview._2" localSheetId="10" hidden="1">{"Input short",#N/A,TRUE,"Input";"CapTable normal",#N/A,TRUE,"Cap Table";"P&amp;L Yrly normal",#N/A,TRUE,"P&amp;L Yrly";"CF short",#N/A,TRUE,"FCashflow";"BS short",#N/A,TRUE,"BS Qu"}</definedName>
    <definedName name="wrn.Overview._2" hidden="1">{"Input short",#N/A,TRUE,"Input";"CapTable normal",#N/A,TRUE,"Cap Table";"P&amp;L Yrly normal",#N/A,TRUE,"P&amp;L Yrly";"CF short",#N/A,TRUE,"FCashflow";"BS short",#N/A,TRUE,"BS Qu"}</definedName>
    <definedName name="wrn.Overview._3" localSheetId="10" hidden="1">{"Input short",#N/A,TRUE,"Input";"CapTable normal",#N/A,TRUE,"Cap Table";"P&amp;L Yrly normal",#N/A,TRUE,"P&amp;L Yrly";"CF short",#N/A,TRUE,"FCashflow";"BS short",#N/A,TRUE,"BS Qu"}</definedName>
    <definedName name="wrn.Overview._3" hidden="1">{"Input short",#N/A,TRUE,"Input";"CapTable normal",#N/A,TRUE,"Cap Table";"P&amp;L Yrly normal",#N/A,TRUE,"P&amp;L Yrly";"CF short",#N/A,TRUE,"FCashflow";"BS short",#N/A,TRUE,"BS Qu"}</definedName>
    <definedName name="wrn.Overview._4" localSheetId="10" hidden="1">{"Input short",#N/A,TRUE,"Input";"CapTable normal",#N/A,TRUE,"Cap Table";"P&amp;L Yrly normal",#N/A,TRUE,"P&amp;L Yrly";"CF short",#N/A,TRUE,"FCashflow";"BS short",#N/A,TRUE,"BS Qu"}</definedName>
    <definedName name="wrn.Overview._4" hidden="1">{"Input short",#N/A,TRUE,"Input";"CapTable normal",#N/A,TRUE,"Cap Table";"P&amp;L Yrly normal",#N/A,TRUE,"P&amp;L Yrly";"CF short",#N/A,TRUE,"FCashflow";"BS short",#N/A,TRUE,"BS Qu"}</definedName>
    <definedName name="wrn.Overview._5" localSheetId="10" hidden="1">{"Input short",#N/A,TRUE,"Input";"CapTable normal",#N/A,TRUE,"Cap Table";"P&amp;L Yrly normal",#N/A,TRUE,"P&amp;L Yrly";"CF short",#N/A,TRUE,"FCashflow";"BS short",#N/A,TRUE,"BS Qu"}</definedName>
    <definedName name="wrn.Overview._5" hidden="1">{"Input short",#N/A,TRUE,"Input";"CapTable normal",#N/A,TRUE,"Cap Table";"P&amp;L Yrly normal",#N/A,TRUE,"P&amp;L Yrly";"CF short",#N/A,TRUE,"FCashflow";"BS short",#N/A,TRUE,"BS Qu"}</definedName>
    <definedName name="wrn.Overview1" localSheetId="10" hidden="1">{"Input short",#N/A,TRUE,"Input";"CapTable normal",#N/A,TRUE,"Cap Table";"P&amp;L Yrly normal",#N/A,TRUE,"P&amp;L Yrly";"CF short",#N/A,TRUE,"FCashflow";"BS short",#N/A,TRUE,"BS Qu"}</definedName>
    <definedName name="wrn.Overview1" hidden="1">{"Input short",#N/A,TRUE,"Input";"CapTable normal",#N/A,TRUE,"Cap Table";"P&amp;L Yrly normal",#N/A,TRUE,"P&amp;L Yrly";"CF short",#N/A,TRUE,"FCashflow";"BS short",#N/A,TRUE,"BS Qu"}</definedName>
    <definedName name="wrn.Overview1_1" localSheetId="10" hidden="1">{"Input short",#N/A,TRUE,"Input";"CapTable normal",#N/A,TRUE,"Cap Table";"P&amp;L Yrly normal",#N/A,TRUE,"P&amp;L Yrly";"CF short",#N/A,TRUE,"FCashflow";"BS short",#N/A,TRUE,"BS Qu"}</definedName>
    <definedName name="wrn.Overview1_1" hidden="1">{"Input short",#N/A,TRUE,"Input";"CapTable normal",#N/A,TRUE,"Cap Table";"P&amp;L Yrly normal",#N/A,TRUE,"P&amp;L Yrly";"CF short",#N/A,TRUE,"FCashflow";"BS short",#N/A,TRUE,"BS Qu"}</definedName>
    <definedName name="wrn.Overview1_2" localSheetId="10" hidden="1">{"Input short",#N/A,TRUE,"Input";"CapTable normal",#N/A,TRUE,"Cap Table";"P&amp;L Yrly normal",#N/A,TRUE,"P&amp;L Yrly";"CF short",#N/A,TRUE,"FCashflow";"BS short",#N/A,TRUE,"BS Qu"}</definedName>
    <definedName name="wrn.Overview1_2" hidden="1">{"Input short",#N/A,TRUE,"Input";"CapTable normal",#N/A,TRUE,"Cap Table";"P&amp;L Yrly normal",#N/A,TRUE,"P&amp;L Yrly";"CF short",#N/A,TRUE,"FCashflow";"BS short",#N/A,TRUE,"BS Qu"}</definedName>
    <definedName name="wrn.Overview1_3" localSheetId="10" hidden="1">{"Input short",#N/A,TRUE,"Input";"CapTable normal",#N/A,TRUE,"Cap Table";"P&amp;L Yrly normal",#N/A,TRUE,"P&amp;L Yrly";"CF short",#N/A,TRUE,"FCashflow";"BS short",#N/A,TRUE,"BS Qu"}</definedName>
    <definedName name="wrn.Overview1_3" hidden="1">{"Input short",#N/A,TRUE,"Input";"CapTable normal",#N/A,TRUE,"Cap Table";"P&amp;L Yrly normal",#N/A,TRUE,"P&amp;L Yrly";"CF short",#N/A,TRUE,"FCashflow";"BS short",#N/A,TRUE,"BS Qu"}</definedName>
    <definedName name="wrn.Overview1_4" localSheetId="10" hidden="1">{"Input short",#N/A,TRUE,"Input";"CapTable normal",#N/A,TRUE,"Cap Table";"P&amp;L Yrly normal",#N/A,TRUE,"P&amp;L Yrly";"CF short",#N/A,TRUE,"FCashflow";"BS short",#N/A,TRUE,"BS Qu"}</definedName>
    <definedName name="wrn.Overview1_4" hidden="1">{"Input short",#N/A,TRUE,"Input";"CapTable normal",#N/A,TRUE,"Cap Table";"P&amp;L Yrly normal",#N/A,TRUE,"P&amp;L Yrly";"CF short",#N/A,TRUE,"FCashflow";"BS short",#N/A,TRUE,"BS Qu"}</definedName>
    <definedName name="wrn.Overview1_5" localSheetId="10" hidden="1">{"Input short",#N/A,TRUE,"Input";"CapTable normal",#N/A,TRUE,"Cap Table";"P&amp;L Yrly normal",#N/A,TRUE,"P&amp;L Yrly";"CF short",#N/A,TRUE,"FCashflow";"BS short",#N/A,TRUE,"BS Qu"}</definedName>
    <definedName name="wrn.Overview1_5" hidden="1">{"Input short",#N/A,TRUE,"Input";"CapTable normal",#N/A,TRUE,"Cap Table";"P&amp;L Yrly normal",#N/A,TRUE,"P&amp;L Yrly";"CF short",#N/A,TRUE,"FCashflow";"BS short",#N/A,TRUE,"BS Qu"}</definedName>
    <definedName name="wrn.p" localSheetId="10">{#N/A,#N/A,FALSE,"1";#N/A,#N/A,FALSE,"2";#N/A,#N/A,FALSE,"16 - 17";#N/A,#N/A,FALSE,"18 - 19";#N/A,#N/A,FALSE,"26";#N/A,#N/A,FALSE,"27";#N/A,#N/A,FALSE,"28"}</definedName>
    <definedName name="wrn.p">{#N/A,#N/A,FALSE,"1";#N/A,#N/A,FALSE,"2";#N/A,#N/A,FALSE,"16 - 17";#N/A,#N/A,FALSE,"18 - 19";#N/A,#N/A,FALSE,"26";#N/A,#N/A,FALSE,"27";#N/A,#N/A,FALSE,"28"}</definedName>
    <definedName name="wrn.P_L_Account." localSheetId="10" hidden="1">{"P_L_Account",#N/A,FALSE,"Proforma cc"}</definedName>
    <definedName name="wrn.P_L_Account." hidden="1">{"P_L_Account",#N/A,FALSE,"Proforma cc"}</definedName>
    <definedName name="wrn.P_L_Account._1" localSheetId="10" hidden="1">{"P_L_Account",#N/A,FALSE,"Proforma cc"}</definedName>
    <definedName name="wrn.P_L_Account._1" hidden="1">{"P_L_Account",#N/A,FALSE,"Proforma cc"}</definedName>
    <definedName name="wrn.P_L_Account._1_1" localSheetId="10" hidden="1">{"P_L_Account",#N/A,FALSE,"Proforma cc"}</definedName>
    <definedName name="wrn.P_L_Account._1_1" hidden="1">{"P_L_Account",#N/A,FALSE,"Proforma cc"}</definedName>
    <definedName name="wrn.P_L_Account._2" localSheetId="10" hidden="1">{"P_L_Account",#N/A,FALSE,"Proforma cc"}</definedName>
    <definedName name="wrn.P_L_Account._2" hidden="1">{"P_L_Account",#N/A,FALSE,"Proforma cc"}</definedName>
    <definedName name="wrn.package." localSheetId="1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localSheetId="15"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O._.PROFITABILITY._.CHARTS." localSheetId="10" hidden="1">{#N/A,#N/A,TRUE,"747 802-1101PACO";#N/A,#N/A,TRUE,"747 1102-1201PACO ";#N/A,#N/A,TRUE,"757 301-600PACO  ";#N/A,#N/A,TRUE,"757 601-800PACO  ";#N/A,#N/A,TRUE,"767 301-600PACO  ";#N/A,#N/A,TRUE,"767 601-700PACO "}</definedName>
    <definedName name="wrn.PACO._.PROFITABILITY._.CHARTS." localSheetId="15" hidden="1">{#N/A,#N/A,TRUE,"747 802-1101PACO";#N/A,#N/A,TRUE,"747 1102-1201PACO ";#N/A,#N/A,TRUE,"757 301-600PACO  ";#N/A,#N/A,TRUE,"757 601-800PACO  ";#N/A,#N/A,TRUE,"767 301-600PACO  ";#N/A,#N/A,TRUE,"767 601-700PACO "}</definedName>
    <definedName name="wrn.PACO._.PROFITABILITY._.CHARTS." hidden="1">{#N/A,#N/A,TRUE,"747 802-1101PACO";#N/A,#N/A,TRUE,"747 1102-1201PACO ";#N/A,#N/A,TRUE,"757 301-600PACO  ";#N/A,#N/A,TRUE,"757 601-800PACO  ";#N/A,#N/A,TRUE,"767 301-600PACO  ";#N/A,#N/A,TRUE,"767 601-700PACO "}</definedName>
    <definedName name="wrn.PAGE._.1." localSheetId="10">{"PAGE 1",#N/A,FALSE,"WEST_OT"}</definedName>
    <definedName name="wrn.PAGE._.1.">{"PAGE 1",#N/A,FALSE,"WEST_OT"}</definedName>
    <definedName name="wrn.PAGE._.2." localSheetId="10">{"PAGE 2",#N/A,FALSE,"WEST_OT"}</definedName>
    <definedName name="wrn.PAGE._.2.">{"PAGE 2",#N/A,FALSE,"WEST_OT"}</definedName>
    <definedName name="wrn.PAGE._.3." localSheetId="10">{"PAGE 2",#N/A,FALSE,"WEST_OT"}</definedName>
    <definedName name="wrn.PAGE._.3.">{"PAGE 2",#N/A,FALSE,"WEST_OT"}</definedName>
    <definedName name="wrn.Paging._.Compco." localSheetId="10" hidden="1">{"financials",#N/A,TRUE,"6_30_96";"footnotes",#N/A,TRUE,"6_30_96";"valuation",#N/A,TRUE,"6_30_96"}</definedName>
    <definedName name="wrn.Paging._.Compco." hidden="1">{"financials",#N/A,TRUE,"6_30_96";"footnotes",#N/A,TRUE,"6_30_96";"valuation",#N/A,TRUE,"6_30_96"}</definedName>
    <definedName name="wrn.Paging._.Compco._1" localSheetId="10" hidden="1">{"financials",#N/A,TRUE,"6_30_96";"footnotes",#N/A,TRUE,"6_30_96";"valuation",#N/A,TRUE,"6_30_96"}</definedName>
    <definedName name="wrn.Paging._.Compco._1" hidden="1">{"financials",#N/A,TRUE,"6_30_96";"footnotes",#N/A,TRUE,"6_30_96";"valuation",#N/A,TRUE,"6_30_96"}</definedName>
    <definedName name="wrn.PandLs." localSheetId="10"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NERS._.CAPITAL._.STMT." localSheetId="10" hidden="1">{"PARTNERS CAPITAL STMT",#N/A,FALSE,"Partners Capital"}</definedName>
    <definedName name="wrn.PARTNERS._.CAPITAL._.STMT." hidden="1">{"PARTNERS CAPITAL STMT",#N/A,FALSE,"Partners Capital"}</definedName>
    <definedName name="wrn.PASSIF." localSheetId="10"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IF."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port._.Financials._.Individual._.Pages." localSheetId="10" hidden="1">{"Large Comps",#N/A,FALSE,"Comparable companies";"Small Comps",#N/A,FALSE,"Comparable companies"}</definedName>
    <definedName name="wrn.Passport._.Financials._.Individual._.Pages." hidden="1">{"Large Comps",#N/A,FALSE,"Comparable companies";"Small Comps",#N/A,FALSE,"Comparable companies"}</definedName>
    <definedName name="wrn.PBIT_DEV." localSheetId="10"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ntair." localSheetId="10" hidden="1">{#N/A,#N/A,FALSE,"IS";#N/A,#N/A,FALSE,"FF";#N/A,#N/A,FALSE,"BS";#N/A,#N/A,FALSE,"DCF";#N/A,#N/A,FALSE,"EVA";#N/A,#N/A,FALSE,"%";#N/A,#N/A,FALSE,"WTF";#N/A,#N/A,FALSE,"Spec";#N/A,#N/A,FALSE,"Gen"}</definedName>
    <definedName name="wrn.Pentair." hidden="1">{#N/A,#N/A,FALSE,"IS";#N/A,#N/A,FALSE,"FF";#N/A,#N/A,FALSE,"BS";#N/A,#N/A,FALSE,"DCF";#N/A,#N/A,FALSE,"EVA";#N/A,#N/A,FALSE,"%";#N/A,#N/A,FALSE,"WTF";#N/A,#N/A,FALSE,"Spec";#N/A,#N/A,FALSE,"Gen"}</definedName>
    <definedName name="wrn.Performance." localSheetId="10"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riod._.1._.Financial._.Statements." localSheetId="10" hidden="1">{"Period 1 Income Statements",#N/A,FALSE,"Income Statement";"Period 1 Balance Sheets",#N/A,FALSE,"Balance Sheet";"Period 1 Cashflow Statements",#N/A,FALSE,"Cashflow Statement";"Period 1 Financial Ratios",#N/A,FALSE,"Financial Ratios"}</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_.Financial._.Statements._1" localSheetId="10" hidden="1">{"Period 1 Income Statements",#N/A,FALSE,"Income Statement";"Period 1 Balance Sheets",#N/A,FALSE,"Balance Sheet";"Period 1 Cashflow Statements",#N/A,FALSE,"Cashflow Statement";"Period 1 Financial Ratios",#N/A,FALSE,"Financial Ratios"}</definedName>
    <definedName name="wrn.Period._.1._.Financial._.Statements._1" hidden="1">{"Period 1 Income Statements",#N/A,FALSE,"Income Statement";"Period 1 Balance Sheets",#N/A,FALSE,"Balance Sheet";"Period 1 Cashflow Statements",#N/A,FALSE,"Cashflow Statement";"Period 1 Financial Ratios",#N/A,FALSE,"Financial Ratios"}</definedName>
    <definedName name="wrn.Period._.10._.Financial._.Statements." localSheetId="10" hidden="1">{"Period 10 Income Statements",#N/A,FALSE,"Income Statement";"Period 10 Balance Sheets",#N/A,FALSE,"Balance Sheet";"Period 10 Cashflow Statements",#N/A,FALSE,"Cashflow Statement";"Period 10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0._.Financial._.Statements._1" localSheetId="10" hidden="1">{"Period 10 Income Statements",#N/A,FALSE,"Income Statement";"Period 10 Balance Sheets",#N/A,FALSE,"Balance Sheet";"Period 10 Cashflow Statements",#N/A,FALSE,"Cashflow Statement";"Period 10 Financial Ratios",#N/A,FALSE,"Financial Ratios"}</definedName>
    <definedName name="wrn.Period._.10._.Financial._.Statements._1" hidden="1">{"Period 10 Income Statements",#N/A,FALSE,"Income Statement";"Period 10 Balance Sheets",#N/A,FALSE,"Balance Sheet";"Period 10 Cashflow Statements",#N/A,FALSE,"Cashflow Statement";"Period 10 Financial Ratios",#N/A,FALSE,"Financial Ratios"}</definedName>
    <definedName name="wrn.Period._.11._.Financial._.Statements." localSheetId="10" hidden="1">{"Period 11 Income Statements",#N/A,FALSE,"Income Statement";"Period 11 Balance Sheets",#N/A,FALSE,"Balance Sheet";"Period 11 Cashflow Statements",#N/A,FALSE,"Cashflow Statement";"Period 11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1._.Financial._.Statements._1" localSheetId="10" hidden="1">{"Period 11 Income Statements",#N/A,FALSE,"Income Statement";"Period 11 Balance Sheets",#N/A,FALSE,"Balance Sheet";"Period 11 Cashflow Statements",#N/A,FALSE,"Cashflow Statement";"Period 11 Financial Ratios",#N/A,FALSE,"Financial Ratios"}</definedName>
    <definedName name="wrn.Period._.11._.Financial._.Statements._1" hidden="1">{"Period 11 Income Statements",#N/A,FALSE,"Income Statement";"Period 11 Balance Sheets",#N/A,FALSE,"Balance Sheet";"Period 11 Cashflow Statements",#N/A,FALSE,"Cashflow Statement";"Period 11 Financial Ratios",#N/A,FALSE,"Financial Ratios"}</definedName>
    <definedName name="wrn.Period._.12._.Financial._.Statements." localSheetId="10" hidden="1">{"Period 12 Income Statements",#N/A,FALSE,"Income Statement";"Period 12 Balance Sheets",#N/A,FALSE,"Balance Sheet";"Period 12 Cashflow Statements",#N/A,FALSE,"Cashflow Statement";"Period 12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12._.Financial._.Statements._1" localSheetId="10" hidden="1">{"Period 12 Income Statements",#N/A,FALSE,"Income Statement";"Period 12 Balance Sheets",#N/A,FALSE,"Balance Sheet";"Period 12 Cashflow Statements",#N/A,FALSE,"Cashflow Statement";"Period 12 Financial Ratios",#N/A,FALSE,"Financial Ratios"}</definedName>
    <definedName name="wrn.Period._.12._.Financial._.Statements._1" hidden="1">{"Period 12 Income Statements",#N/A,FALSE,"Income Statement";"Period 12 Balance Sheets",#N/A,FALSE,"Balance Sheet";"Period 12 Cashflow Statements",#N/A,FALSE,"Cashflow Statement";"Period 12 Financial Ratios",#N/A,FALSE,"Financial Ratios"}</definedName>
    <definedName name="wrn.Period._.2._.Financial._.Statements." localSheetId="10" hidden="1">{"Period 2 Income Statements",#N/A,FALSE,"Income Statement";"Period 2 Balance Sheets",#N/A,FALSE,"Balance Sheet";"Period 2 Cashflow Statements",#N/A,FALSE,"Cashflow Statement";"Period 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2._.Financial._.Statements._1" localSheetId="10" hidden="1">{"Period 2 Income Statements",#N/A,FALSE,"Income Statement";"Period 2 Balance Sheets",#N/A,FALSE,"Balance Sheet";"Period 2 Cashflow Statements",#N/A,FALSE,"Cashflow Statement";"Period 2 Financial Ratios",#N/A,FALSE,"Financial Ratios"}</definedName>
    <definedName name="wrn.Period._.2._.Financial._.Statements._1" hidden="1">{"Period 2 Income Statements",#N/A,FALSE,"Income Statement";"Period 2 Balance Sheets",#N/A,FALSE,"Balance Sheet";"Period 2 Cashflow Statements",#N/A,FALSE,"Cashflow Statement";"Period 2 Financial Ratios",#N/A,FALSE,"Financial Ratios"}</definedName>
    <definedName name="wrn.Period._.3._.Financial._.Statements." localSheetId="10" hidden="1">{"Period 3 Income Statements",#N/A,FALSE,"Income Statement";"Period 3 Balance Sheets",#N/A,FALSE,"Balance Sheet";"Period 3 Cashflow Statements",#N/A,FALSE,"Cashflow Statement";"Period 3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3._.Financial._.Statements._1" localSheetId="10" hidden="1">{"Period 3 Income Statements",#N/A,FALSE,"Income Statement";"Period 3 Balance Sheets",#N/A,FALSE,"Balance Sheet";"Period 3 Cashflow Statements",#N/A,FALSE,"Cashflow Statement";"Period 3 Financial Ratios",#N/A,FALSE,"Financial Ratios"}</definedName>
    <definedName name="wrn.Period._.3._.Financial._.Statements._1" hidden="1">{"Period 3 Income Statements",#N/A,FALSE,"Income Statement";"Period 3 Balance Sheets",#N/A,FALSE,"Balance Sheet";"Period 3 Cashflow Statements",#N/A,FALSE,"Cashflow Statement";"Period 3 Financial Ratios",#N/A,FALSE,"Financial Ratios"}</definedName>
    <definedName name="wrn.Period._.4._.Financial._.Statements." localSheetId="10" hidden="1">{"Period 4 Income Statements",#N/A,FALSE,"Income Statement";"Period 4 Balance Sheets",#N/A,FALSE,"Balance Sheet";"Period 4 Cashflow Statements",#N/A,FALSE,"Cashflow Statement";"Period 4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4._.Financial._.Statements._1" localSheetId="10" hidden="1">{"Period 4 Income Statements",#N/A,FALSE,"Income Statement";"Period 4 Balance Sheets",#N/A,FALSE,"Balance Sheet";"Period 4 Cashflow Statements",#N/A,FALSE,"Cashflow Statement";"Period 4 Financial Ratios",#N/A,FALSE,"Financial Ratios"}</definedName>
    <definedName name="wrn.Period._.4._.Financial._.Statements._1" hidden="1">{"Period 4 Income Statements",#N/A,FALSE,"Income Statement";"Period 4 Balance Sheets",#N/A,FALSE,"Balance Sheet";"Period 4 Cashflow Statements",#N/A,FALSE,"Cashflow Statement";"Period 4 Financial Ratios",#N/A,FALSE,"Financial Ratios"}</definedName>
    <definedName name="wrn.Period._.5._.Financial._.Statements." localSheetId="10" hidden="1">{"Period 5 Income Statements",#N/A,FALSE,"Income Statement";"Period 5 Balance Sheets",#N/A,FALSE,"Balance Sheet";"Period 5 Cashflow Statements",#N/A,FALSE,"Cashflow Statement";"Period 5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5._.Financial._.Statements._1" localSheetId="10" hidden="1">{"Period 5 Income Statements",#N/A,FALSE,"Income Statement";"Period 5 Balance Sheets",#N/A,FALSE,"Balance Sheet";"Period 5 Cashflow Statements",#N/A,FALSE,"Cashflow Statement";"Period 5 Financial Ratios",#N/A,FALSE,"Financial Ratios"}</definedName>
    <definedName name="wrn.Period._.5._.Financial._.Statements._1" hidden="1">{"Period 5 Income Statements",#N/A,FALSE,"Income Statement";"Period 5 Balance Sheets",#N/A,FALSE,"Balance Sheet";"Period 5 Cashflow Statements",#N/A,FALSE,"Cashflow Statement";"Period 5 Financial Ratios",#N/A,FALSE,"Financial Ratios"}</definedName>
    <definedName name="wrn.Period._.6._.Financial._.Statements." localSheetId="10" hidden="1">{"Period 6 Income Statements",#N/A,FALSE,"Income Statement";"Period 6 Balance Sheets",#N/A,FALSE,"Balance Sheet";"Period 6 Cashflow Statements",#N/A,FALSE,"Cashflow Statement";"Period 6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6._.Financial._.Statements._1" localSheetId="10" hidden="1">{"Period 6 Income Statements",#N/A,FALSE,"Income Statement";"Period 6 Balance Sheets",#N/A,FALSE,"Balance Sheet";"Period 6 Cashflow Statements",#N/A,FALSE,"Cashflow Statement";"Period 6 Financial Ratios",#N/A,FALSE,"Financial Ratios"}</definedName>
    <definedName name="wrn.Period._.6._.Financial._.Statements._1" hidden="1">{"Period 6 Income Statements",#N/A,FALSE,"Income Statement";"Period 6 Balance Sheets",#N/A,FALSE,"Balance Sheet";"Period 6 Cashflow Statements",#N/A,FALSE,"Cashflow Statement";"Period 6 Financial Ratios",#N/A,FALSE,"Financial Ratios"}</definedName>
    <definedName name="wrn.Period._.7._.Financial._.Statements." localSheetId="1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localSheetId="1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_1"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localSheetId="10" hidden="1">{"Period 8 Income Statements",#N/A,FALSE,"Income Statement";"Period 8 Balance Sheets",#N/A,FALSE,"Balance Sheet";"Period 8 Cashflow Statements",#N/A,FALSE,"Cashflow Statement";"Period 8 Financial Ratios",#N/A,FALSE,"Financial Ratios"}</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8._.Financial._.Statements._1" localSheetId="10" hidden="1">{"Period 8 Income Statements",#N/A,FALSE,"Income Statement";"Period 8 Balance Sheets",#N/A,FALSE,"Balance Sheet";"Period 8 Cashflow Statements",#N/A,FALSE,"Cashflow Statement";"Period 8 Financial Ratios",#N/A,FALSE,"Financial Ratios"}</definedName>
    <definedName name="wrn.Period._.8._.Financial._.Statements._1" hidden="1">{"Period 8 Income Statements",#N/A,FALSE,"Income Statement";"Period 8 Balance Sheets",#N/A,FALSE,"Balance Sheet";"Period 8 Cashflow Statements",#N/A,FALSE,"Cashflow Statement";"Period 8 Financial Ratios",#N/A,FALSE,"Financial Ratios"}</definedName>
    <definedName name="wrn.Period._.9._.Financial._.Statements." localSheetId="10" hidden="1">{"Period 9 Income Statements",#N/A,FALSE,"Income Statement";"Period 9 Balance Sheets",#N/A,FALSE,"Balance Sheet";"Period 9 Cashflow Statements",#N/A,FALSE,"Cashflow Statement";"Period 9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9._.Financial._.Statements._1" localSheetId="10" hidden="1">{"Period 9 Income Statements",#N/A,FALSE,"Income Statement";"Period 9 Balance Sheets",#N/A,FALSE,"Balance Sheet";"Period 9 Cashflow Statements",#N/A,FALSE,"Cashflow Statement";"Period 9 Financial Ratios",#N/A,FALSE,"Financial Ratios"}</definedName>
    <definedName name="wrn.Period._.9._.Financial._.Statements._1" hidden="1">{"Period 9 Income Statements",#N/A,FALSE,"Income Statement";"Period 9 Balance Sheets",#N/A,FALSE,"Balance Sheet";"Period 9 Cashflow Statements",#N/A,FALSE,"Cashflow Statement";"Period 9 Financial Ratios",#N/A,FALSE,"Financial Ratios"}</definedName>
    <definedName name="wrn.Period._.And._.YTD." localSheetId="10"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Only." localSheetId="10" hidden="1">{#N/A,#N/A,FALSE,"CONSOLIDATED";#N/A,#N/A,FALSE,"LANCE CO";#N/A,#N/A,FALSE,"VISTA"}</definedName>
    <definedName name="wrn.Period._.Only." localSheetId="15" hidden="1">{#N/A,#N/A,FALSE,"CONSOLIDATED";#N/A,#N/A,FALSE,"LANCE CO";#N/A,#N/A,FALSE,"VISTA"}</definedName>
    <definedName name="wrn.Period._.Only." hidden="1">{#N/A,#N/A,FALSE,"CONSOLIDATED";#N/A,#N/A,FALSE,"LANCE CO";#N/A,#N/A,FALSE,"VISTA"}</definedName>
    <definedName name="wrn.Period._.Only._1" localSheetId="10" hidden="1">{#N/A,#N/A,FALSE,"CONSOLIDATED";#N/A,#N/A,FALSE,"LANCE CO";#N/A,#N/A,FALSE,"VISTA"}</definedName>
    <definedName name="wrn.Period._.Only._1" localSheetId="15" hidden="1">{#N/A,#N/A,FALSE,"CONSOLIDATED";#N/A,#N/A,FALSE,"LANCE CO";#N/A,#N/A,FALSE,"VISTA"}</definedName>
    <definedName name="wrn.Period._.Only._1" hidden="1">{#N/A,#N/A,FALSE,"CONSOLIDATED";#N/A,#N/A,FALSE,"LANCE CO";#N/A,#N/A,FALSE,"VISTA"}</definedName>
    <definedName name="wrn.permprint." localSheetId="10" hidden="1">{"permprint",#N/A,FALSE,"INPUT 2"}</definedName>
    <definedName name="wrn.permprint." hidden="1">{"permprint",#N/A,FALSE,"INPUT 2"}</definedName>
    <definedName name="wrn.PFDBalance._.Sheet." localSheetId="10"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10">{#N/A,#N/A,FALSE,"Sales Graph";#N/A,#N/A,FALSE,"PSBM";#N/A,#N/A,FALSE,"BUC Graph";#N/A,#N/A,FALSE,"P&amp;L - YTD"}</definedName>
    <definedName name="wrn.Pharm._.Market._.Report.">{#N/A,#N/A,FALSE,"Sales Graph";#N/A,#N/A,FALSE,"PSBM";#N/A,#N/A,FALSE,"BUC Graph";#N/A,#N/A,FALSE,"P&amp;L - YTD"}</definedName>
    <definedName name="wrn.Pharmaceuticals."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0" hidden="1">{#N/A,#N/A,FALSE,"Exhibits 5-7"}</definedName>
    <definedName name="wrn.pl." hidden="1">{#N/A,#N/A,FALSE,"Exhibits 5-7"}</definedName>
    <definedName name="wrn.PL._.and._.99._.forecast." localSheetId="10">#REF!</definedName>
    <definedName name="wrn.PL._.and._.99._.forecast.">#REF!</definedName>
    <definedName name="wrn.pl._1" localSheetId="10" hidden="1">{#N/A,#N/A,FALSE,"Exhibits 5-7"}</definedName>
    <definedName name="wrn.pl._1" hidden="1">{#N/A,#N/A,FALSE,"Exhibits 5-7"}</definedName>
    <definedName name="wrn.pl._2" localSheetId="10" hidden="1">{#N/A,#N/A,FALSE,"Exhibits 5-7"}</definedName>
    <definedName name="wrn.pl._2" hidden="1">{#N/A,#N/A,FALSE,"Exhibits 5-7"}</definedName>
    <definedName name="wrn.pl._3" localSheetId="10" hidden="1">{#N/A,#N/A,FALSE,"Exhibits 5-7"}</definedName>
    <definedName name="wrn.pl._3" hidden="1">{#N/A,#N/A,FALSE,"Exhibits 5-7"}</definedName>
    <definedName name="wrn.pl._4" localSheetId="10" hidden="1">{#N/A,#N/A,FALSE,"Exhibits 5-7"}</definedName>
    <definedName name="wrn.pl._4" hidden="1">{#N/A,#N/A,FALSE,"Exhibits 5-7"}</definedName>
    <definedName name="wrn.pl._5" localSheetId="10" hidden="1">{#N/A,#N/A,FALSE,"Exhibits 5-7"}</definedName>
    <definedName name="wrn.pl._5" hidden="1">{#N/A,#N/A,FALSE,"Exhibits 5-7"}</definedName>
    <definedName name="wrn.PL_All." localSheetId="10"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_All."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_inflated." localSheetId="10">{"inflated_pl",#N/A,FALSE,"P&amp;L"}</definedName>
    <definedName name="wrn.PL_inflated.">{"inflated_pl",#N/A,FALSE,"P&amp;L"}</definedName>
    <definedName name="wrn.PL_no_inflated." localSheetId="10">{"PL_no_inflated",#N/A,FALSE,"P&amp;L"}</definedName>
    <definedName name="wrn.PL_no_inflated.">{"PL_no_inflated",#N/A,FALSE,"P&amp;L"}</definedName>
    <definedName name="wrn.PL1990." localSheetId="10" hidden="1">{"PL1990",#N/A,FALSE,"90-91"}</definedName>
    <definedName name="wrn.PL1990." localSheetId="15" hidden="1">{"PL1990",#N/A,FALSE,"90-91"}</definedName>
    <definedName name="wrn.PL1990." hidden="1">{"PL1990",#N/A,FALSE,"90-91"}</definedName>
    <definedName name="wrn.PL1991." localSheetId="10" hidden="1">{"PL1991",#N/A,FALSE,"90-91"}</definedName>
    <definedName name="wrn.PL1991." localSheetId="15" hidden="1">{"PL1991",#N/A,FALSE,"90-91"}</definedName>
    <definedName name="wrn.PL1991." hidden="1">{"PL1991",#N/A,FALSE,"90-91"}</definedName>
    <definedName name="wrn.PL1992." localSheetId="10" hidden="1">{"PL1992",#N/A,FALSE,"90-91"}</definedName>
    <definedName name="wrn.PL1992." localSheetId="15" hidden="1">{"PL1992",#N/A,FALSE,"90-91"}</definedName>
    <definedName name="wrn.PL1992." hidden="1">{"PL1992",#N/A,FALSE,"90-91"}</definedName>
    <definedName name="wrn.PL1993." localSheetId="10" hidden="1">{"PL1993",#N/A,FALSE,"90-91"}</definedName>
    <definedName name="wrn.PL1993." localSheetId="15" hidden="1">{"PL1993",#N/A,FALSE,"90-91"}</definedName>
    <definedName name="wrn.PL1993." hidden="1">{"PL1993",#N/A,FALSE,"90-91"}</definedName>
    <definedName name="wrn.PL1994." localSheetId="10" hidden="1">{"PL1994",#N/A,FALSE,"90-91"}</definedName>
    <definedName name="wrn.PL1994." localSheetId="15" hidden="1">{"PL1994",#N/A,FALSE,"90-91"}</definedName>
    <definedName name="wrn.PL1994." hidden="1">{"PL1994",#N/A,FALSE,"90-91"}</definedName>
    <definedName name="wrn.PLAN." localSheetId="10" hidden="1">{#N/A,#N/A,FALSE,"5YRPL";#N/A,#N/A,FALSE,"3YRPL"}</definedName>
    <definedName name="wrn.PLAN." localSheetId="15" hidden="1">{#N/A,#N/A,FALSE,"5YRPL";#N/A,#N/A,FALSE,"3YRPL"}</definedName>
    <definedName name="wrn.PLAN." hidden="1">{#N/A,#N/A,FALSE,"5YRPL";#N/A,#N/A,FALSE,"3YRPL"}</definedName>
    <definedName name="wrn.Plan._.EVA." localSheetId="10">{#N/A,#N/A,FALSE,"Nov 96";#N/A,#N/A,FALSE,"Dec 96";#N/A,#N/A,FALSE,"Jan 97";#N/A,#N/A,FALSE,"Feb 97";#N/A,#N/A,FALSE,"Mar 97";#N/A,#N/A,FALSE,"Apr 97";#N/A,#N/A,FALSE,"May 97";#N/A,#N/A,FALSE,"Jun 97";#N/A,#N/A,FALSE,"Jul 97";#N/A,#N/A,FALSE,"Aug 97";#N/A,#N/A,FALSE,"Sep 97";#N/A,#N/A,FALSE,"Oct 97"}</definedName>
    <definedName name="wrn.Plan._.EVA.">{#N/A,#N/A,FALSE,"Nov 96";#N/A,#N/A,FALSE,"Dec 96";#N/A,#N/A,FALSE,"Jan 97";#N/A,#N/A,FALSE,"Feb 97";#N/A,#N/A,FALSE,"Mar 97";#N/A,#N/A,FALSE,"Apr 97";#N/A,#N/A,FALSE,"May 97";#N/A,#N/A,FALSE,"Jun 97";#N/A,#N/A,FALSE,"Jul 97";#N/A,#N/A,FALSE,"Aug 97";#N/A,#N/A,FALSE,"Sep 97";#N/A,#N/A,FALSE,"Oct 97"}</definedName>
    <definedName name="wrn.Plan._.Sheets." localSheetId="10" hidden="1">{#N/A,#N/A,TRUE,"95 Consolidated Forecast";#N/A,#N/A,TRUE,"95 Consolidated Frcst per Gal";#N/A,#N/A,TRUE,"96 Consolidated Plan";#N/A,#N/A,TRUE,"96 Consolidated per Gallon"}</definedName>
    <definedName name="wrn.Plan._.Sheets." hidden="1">{#N/A,#N/A,TRUE,"95 Consolidated Forecast";#N/A,#N/A,TRUE,"95 Consolidated Frcst per Gal";#N/A,#N/A,TRUE,"96 Consolidated Plan";#N/A,#N/A,TRUE,"96 Consolidated per Gallon"}</definedName>
    <definedName name="wrn.PLFORECAST." localSheetId="10" hidden="1">{"CY",#N/A,FALSE,"FORECAST";"PAYROLL",#N/A,FALSE,"FORECAST";"REC",#N/A,FALSE,"FORECAST";"SALES",#N/A,FALSE,"FORECAST"}</definedName>
    <definedName name="wrn.PLFORECAST." localSheetId="15" hidden="1">{"CY",#N/A,FALSE,"FORECAST";"PAYROLL",#N/A,FALSE,"FORECAST";"REC",#N/A,FALSE,"FORECAST";"SALES",#N/A,FALSE,"FORECAST"}</definedName>
    <definedName name="wrn.PLFORECAST." hidden="1">{"CY",#N/A,FALSE,"FORECAST";"PAYROLL",#N/A,FALSE,"FORECAST";"REC",#N/A,FALSE,"FORECAST";"SALES",#N/A,FALSE,"FORECAST"}</definedName>
    <definedName name="wrn.PLVar." localSheetId="10" hidden="1">{"PLVar",#N/A,FALSE,"P&amp;L"}</definedName>
    <definedName name="wrn.PLVar." localSheetId="15" hidden="1">{"PLVar",#N/A,FALSE,"P&amp;L"}</definedName>
    <definedName name="wrn.PLVar." hidden="1">{"PLVar",#N/A,FALSE,"P&amp;L"}</definedName>
    <definedName name="wrn.PMW._.Gruppe._.00_99." localSheetId="10"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10"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NL._.Analysis." localSheetId="10" hidden="1">{#N/A,#N/A,FALSE,"FRANCE MONTH DETAIL  FFR";#N/A,#N/A,FALSE,"FRANCE MONTH DETAIL  NLG";#N/A,#N/A,FALSE,"FRANCE YTD  DETAIL FFR";#N/A,#N/A,FALSE,"FRANCE YTD  DETAIL NLG"}</definedName>
    <definedName name="wrn.PNL._.Analysis." hidden="1">{#N/A,#N/A,FALSE,"FRANCE MONTH DETAIL  FFR";#N/A,#N/A,FALSE,"FRANCE MONTH DETAIL  NLG";#N/A,#N/A,FALSE,"FRANCE YTD  DETAIL FFR";#N/A,#N/A,FALSE,"FRANCE YTD  DETAIL NLG"}</definedName>
    <definedName name="wrn.Polymers." localSheetId="10"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10" hidden="1">{#N/A,"POLY",FALSE,"BSHIST.XLS";#N/A,"EMUL",FALSE,"BSHIST.XLS";#N/A,"PVOH",FALSE,"BSHIST.XLS";#N/A,"ACET",FALSE,"BSHIST.XLS"}</definedName>
    <definedName name="wrn.Polymers._.Balance._.Sheet." hidden="1">{#N/A,"POLY",FALSE,"BSHIST.XLS";#N/A,"EMUL",FALSE,"BSHIST.XLS";#N/A,"PVOH",FALSE,"BSHIST.XLS";#N/A,"ACET",FALSE,"BSHIST.XLS"}</definedName>
    <definedName name="wrn.Portrait._.letter._.is." localSheetId="10" hidden="1">{"portrait letter is",#N/A,FALSE,"Model"}</definedName>
    <definedName name="wrn.Portrait._.letter._.is." localSheetId="15" hidden="1">{"portrait letter is",#N/A,FALSE,"Model"}</definedName>
    <definedName name="wrn.Portrait._.letter._.is." hidden="1">{"portrait letter is",#N/A,FALSE,"Model"}</definedName>
    <definedName name="wrn.ppp" localSheetId="10">{#N/A,#N/A,FALSE,"1";#N/A,#N/A,FALSE,"2";#N/A,#N/A,FALSE,"16 - 17";#N/A,#N/A,FALSE,"18 - 19";#N/A,#N/A,FALSE,"26";#N/A,#N/A,FALSE,"27";#N/A,#N/A,FALSE,"28"}</definedName>
    <definedName name="wrn.ppp">{#N/A,#N/A,FALSE,"1";#N/A,#N/A,FALSE,"2";#N/A,#N/A,FALSE,"16 - 17";#N/A,#N/A,FALSE,"18 - 19";#N/A,#N/A,FALSE,"26";#N/A,#N/A,FALSE,"27";#N/A,#N/A,FALSE,"28"}</definedName>
    <definedName name="wrn.PRBFinancials." localSheetId="10"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PAIDS." localSheetId="10"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_OUT." localSheetId="10" hidden="1">{"page1",#N/A,FALSE,"PRESENTATION";"page2",#N/A,FALSE,"PRESENTATION";#N/A,#N/A,FALSE,"Valuation Summary"}</definedName>
    <definedName name="wrn.PRES_OUT." hidden="1">{"page1",#N/A,FALSE,"PRESENTATION";"page2",#N/A,FALSE,"PRESENTATION";#N/A,#N/A,FALSE,"Valuation Summary"}</definedName>
    <definedName name="wrn.PRES_OUT2" localSheetId="10" hidden="1">{"page1",#N/A,FALSE,"PRESENTATION";"page2",#N/A,FALSE,"PRESENTATION";#N/A,#N/A,FALSE,"Valuation Summary"}</definedName>
    <definedName name="wrn.PRES_OUT2" hidden="1">{"page1",#N/A,FALSE,"PRESENTATION";"page2",#N/A,FALSE,"PRESENTATION";#N/A,#N/A,FALSE,"Valuation Summary"}</definedName>
    <definedName name="wrn.Pres_OUT3" localSheetId="10" hidden="1">{"page1",#N/A,FALSE,"PRESENTATION";"page2",#N/A,FALSE,"PRESENTATION";#N/A,#N/A,FALSE,"Valuation Summary"}</definedName>
    <definedName name="wrn.Pres_OUT3" hidden="1">{"page1",#N/A,FALSE,"PRESENTATION";"page2",#N/A,FALSE,"PRESENTATION";#N/A,#N/A,FALSE,"Valuation Summary"}</definedName>
    <definedName name="wrn.PRES_OUT4" localSheetId="10" hidden="1">{"page1",#N/A,FALSE,"PRESENTATION";"page2",#N/A,FALSE,"PRESENTATION";#N/A,#N/A,FALSE,"Valuation Summary"}</definedName>
    <definedName name="wrn.PRES_OUT4" hidden="1">{"page1",#N/A,FALSE,"PRESENTATION";"page2",#N/A,FALSE,"PRESENTATION";#N/A,#N/A,FALSE,"Valuation Summary"}</definedName>
    <definedName name="wrn.PRES_OUT5" localSheetId="10" hidden="1">{"page1",#N/A,FALSE,"PRESENTATION";"page2",#N/A,FALSE,"PRESENTATION";#N/A,#N/A,FALSE,"Valuation Summary"}</definedName>
    <definedName name="wrn.PRES_OUT5" hidden="1">{"page1",#N/A,FALSE,"PRESENTATION";"page2",#N/A,FALSE,"PRESENTATION";#N/A,#N/A,FALSE,"Valuation Summary"}</definedName>
    <definedName name="wrn.PRES_OUT6" localSheetId="10" hidden="1">{"page1",#N/A,FALSE,"PRESENTATION";"page2",#N/A,FALSE,"PRESENTATION";#N/A,#N/A,FALSE,"Valuation Summary"}</definedName>
    <definedName name="wrn.PRES_OUT6" hidden="1">{"page1",#N/A,FALSE,"PRESENTATION";"page2",#N/A,FALSE,"PRESENTATION";#N/A,#N/A,FALSE,"Valuation Summary"}</definedName>
    <definedName name="wrn.PRES_OUT8" localSheetId="10" hidden="1">{"page1",#N/A,FALSE,"PRESENTATION";"page2",#N/A,FALSE,"PRESENTATION";#N/A,#N/A,FALSE,"Valuation Summary"}</definedName>
    <definedName name="wrn.PRES_OUT8" hidden="1">{"page1",#N/A,FALSE,"PRESENTATION";"page2",#N/A,FALSE,"PRESENTATION";#N/A,#N/A,FALSE,"Valuation Summary"}</definedName>
    <definedName name="wrn.Presentation."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_.Version._.but._.No._.WC._.Slide." localSheetId="10"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tax." localSheetId="10" hidden="1">{"pt",#N/A,TRUE,"MOFS";"bs",#N/A,TRUE,"MOFS";"cfpt1",#N/A,TRUE,"MOFS";"cfpt2",#N/A,TRUE,"MOFS"}</definedName>
    <definedName name="wrn.Pretax." hidden="1">{"pt",#N/A,TRUE,"MOFS";"bs",#N/A,TRUE,"MOFS";"cfpt1",#N/A,TRUE,"MOFS";"cfpt2",#N/A,TRUE,"MOFS"}</definedName>
    <definedName name="wrn.PRICE._.LIST." localSheetId="10" hidden="1">{#N/A,#N/A,FALSE,"DB LIST"}</definedName>
    <definedName name="wrn.PRICE._.LIST." hidden="1">{#N/A,#N/A,FALSE,"DB LIST"}</definedName>
    <definedName name="wrn.PRICE._.LIST._1" localSheetId="10" hidden="1">{#N/A,#N/A,FALSE,"DB LIST"}</definedName>
    <definedName name="wrn.PRICE._.LIST._1" hidden="1">{#N/A,#N/A,FALSE,"DB LIST"}</definedName>
    <definedName name="wrn.PRICE._.LIST._2" localSheetId="10" hidden="1">{#N/A,#N/A,FALSE,"DB LIST"}</definedName>
    <definedName name="wrn.PRICE._.LIST._2" hidden="1">{#N/A,#N/A,FALSE,"DB LIST"}</definedName>
    <definedName name="wrn.PRICE._.LIST._3" localSheetId="10" hidden="1">{#N/A,#N/A,FALSE,"DB LIST"}</definedName>
    <definedName name="wrn.PRICE._.LIST._3" hidden="1">{#N/A,#N/A,FALSE,"DB LIST"}</definedName>
    <definedName name="wrn.PRICE._.LIST._4" localSheetId="10" hidden="1">{#N/A,#N/A,FALSE,"DB LIST"}</definedName>
    <definedName name="wrn.PRICE._.LIST._4" hidden="1">{#N/A,#N/A,FALSE,"DB LIST"}</definedName>
    <definedName name="wrn.PRICE._.LIST._5" localSheetId="10" hidden="1">{#N/A,#N/A,FALSE,"DB LIST"}</definedName>
    <definedName name="wrn.PRICE._.LIST._5" hidden="1">{#N/A,#N/A,FALSE,"DB LIST"}</definedName>
    <definedName name="wrn.Price_Effect." localSheetId="10" hidden="1">{"Comp_of_Price_Effect",#N/A,FALSE,"QTRDPVAR"}</definedName>
    <definedName name="wrn.Price_Effect." hidden="1">{"Comp_of_Price_Effect",#N/A,FALSE,"QTRDPVAR"}</definedName>
    <definedName name="wrn.prin2._.all." localSheetId="10">{#N/A,#N/A,FALSE,"Pharm";#N/A,#N/A,FALSE,"WWCM"}</definedName>
    <definedName name="wrn.prin2._.all.">{#N/A,#N/A,FALSE,"Pharm";#N/A,#N/A,FALSE,"WWCM"}</definedName>
    <definedName name="wrn.prin3" localSheetId="10">{#N/A,#N/A,FALSE,"Pharm";#N/A,#N/A,FALSE,"WWCM"}</definedName>
    <definedName name="wrn.prin3">{#N/A,#N/A,FALSE,"Pharm";#N/A,#N/A,FALSE,"WWCM"}</definedName>
    <definedName name="wrn.print" localSheetId="10"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10" hidden="1">{#N/A,#N/A,FALSE,"Type 717 1100 200";#N/A,#N/A,FALSE,"Type 714 1100";#N/A,#N/A,FALSE,"Type T734 1100";#N/A,#N/A,FALSE,"Type 715 1100 200";#N/A,#N/A,FALSE,"Type 736s 1670 100";#N/A,#N/A,FALSE,"Type 710 1100 200 Z060";#N/A,#N/A,FALSE,"Type 710 1100 200"}</definedName>
    <definedName name="wrn.print." localSheetId="15" hidden="1">{#N/A,#N/A,FALSE,"Type 717 1100 200";#N/A,#N/A,FALSE,"Type 714 1100";#N/A,#N/A,FALSE,"Type T734 1100";#N/A,#N/A,FALSE,"Type 715 1100 200";#N/A,#N/A,FALSE,"Type 736s 1670 100";#N/A,#N/A,FALSE,"Type 710 1100 200 Z060";#N/A,#N/A,FALSE,"Type 710 1100 200"}</definedName>
    <definedName name="wrn.print." localSheetId="3" hidden="1">{#N/A,#N/A,FALSE,"Admin";#N/A,#N/A,FALSE,"Other"}</definedName>
    <definedName name="wrn.print." localSheetId="11" hidden="1">{#N/A,#N/A,FALSE,"Admin";#N/A,#N/A,FALSE,"Other"}</definedName>
    <definedName name="wrn.print." hidden="1">{#N/A,#N/A,FALSE,"Type 717 1100 200";#N/A,#N/A,FALSE,"Type 714 1100";#N/A,#N/A,FALSE,"Type T734 1100";#N/A,#N/A,FALSE,"Type 715 1100 200";#N/A,#N/A,FALSE,"Type 736s 1670 100";#N/A,#N/A,FALSE,"Type 710 1100 200 Z060";#N/A,#N/A,FALSE,"Type 710 1100 200"}</definedName>
    <definedName name="wrn.Print._.4." localSheetId="10"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10"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10" hidden="1">{"Str Model",#N/A,TRUE,"Store Model";"RevProj By QTR",#N/A,TRUE,"Rev Proj";"RevProj By Yr",#N/A,TRUE,"Rev Proj";"Qtr Model",#N/A,TRUE,"Model";"Bal Sheet",#N/A,TRUE,"Bal Sheet";"Cash Flow",#N/A,TRUE,"Cash Flow";"Yrly Model",#N/A,TRUE,"Income Year"}</definedName>
    <definedName name="wrn.Print._.All." localSheetId="15" hidden="1">{"Str Model",#N/A,TRUE,"Store Model";"RevProj By QTR",#N/A,TRUE,"Rev Proj";"RevProj By Yr",#N/A,TRUE,"Rev Proj";"Qtr Model",#N/A,TRUE,"Model";"Bal Sheet",#N/A,TRUE,"Bal Sheet";"Cash Flow",#N/A,TRUE,"Cash Flow";"Yrly Model",#N/A,TRUE,"Income Year"}</definedName>
    <definedName name="wrn.Print._.All." hidden="1">{"Str Model",#N/A,TRUE,"Store Model";"RevProj By QTR",#N/A,TRUE,"Rev Proj";"RevProj By Yr",#N/A,TRUE,"Rev Proj";"Qtr Model",#N/A,TRUE,"Model";"Bal Sheet",#N/A,TRUE,"Bal Sheet";"Cash Flow",#N/A,TRUE,"Cash Flow";"Yrly Model",#N/A,TRUE,"Income Year"}</definedName>
    <definedName name="wrn.Print._.All._.A4." localSheetId="10" hidden="1">{"Valuation",#N/A,TRUE,"Valuation Summary";"Financial Statements",#N/A,TRUE,"Results";"Results",#N/A,TRUE,"Results";"Ratios",#N/A,TRUE,"Results";"Historical data",#N/A,TRUE,"Historical Data";"Forecast inputs",#N/A,TRUE,"Forecast Drivers"}</definedName>
    <definedName name="wrn.Print._.All._.A4." hidden="1">{"Valuation",#N/A,TRUE,"Valuation Summary";"Financial Statements",#N/A,TRUE,"Results";"Results",#N/A,TRUE,"Results";"Ratios",#N/A,TRUE,"Results";"Historical data",#N/A,TRUE,"Historical Data";"Forecast inputs",#N/A,TRUE,"Forecast Drivers"}</definedName>
    <definedName name="wrn.Print._.all._.GLI._.Reports." localSheetId="10"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Letter." localSheetId="10" hidden="1">{"Valuation Letter",#N/A,TRUE,"Valuation Summary";"Financial Statements Letter",#N/A,TRUE,"Results";"Results Letter",#N/A,TRUE,"Results";"Ratios Letter",#N/A,TRUE,"Results";"Historical data Letter",#N/A,TRUE,"Historical Data";"Forecast inputs Letter",#N/A,TRUE,"Forecast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Letter.2" localSheetId="10" hidden="1">{"Valuation Letter",#N/A,TRUE,"Valuation Summary";"Financial Statements Letter",#N/A,TRUE,"Results";"Results Letter",#N/A,TRUE,"Results";"Ratios Letter",#N/A,TRUE,"Results";"Historical data Letter",#N/A,TRUE,"Historical Data";"Forecast inputs Letter",#N/A,TRUE,"Forecast Drivers"}</definedName>
    <definedName name="wrn.Print._.All._.Letter.2" hidden="1">{"Valuation Letter",#N/A,TRUE,"Valuation Summary";"Financial Statements Letter",#N/A,TRUE,"Results";"Results Letter",#N/A,TRUE,"Results";"Ratios Letter",#N/A,TRUE,"Results";"Historical data Letter",#N/A,TRUE,"Historical Data";"Forecast inputs Letter",#N/A,TRUE,"Forecast Drivers"}</definedName>
    <definedName name="wrn.Print._.All._.Output." localSheetId="10"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heets." localSheetId="10"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Worksheets." localSheetId="10" hidden="1">{#N/A,#N/A,FALSE,"Capitaliztion Matrix";#N/A,#N/A,FALSE,"4YR P&amp;L";#N/A,#N/A,FALSE,"Program Contributions";#N/A,#N/A,FALSE,"P&amp;L Trans YR 2";#N/A,#N/A,FALSE,"Rev &amp; EBITDA YR2";#N/A,#N/A,FALSE,"P&amp;L Trans YR 1";#N/A,#N/A,FALSE,"Rev &amp; EBITDA YR1"}</definedName>
    <definedName name="wrn.Print._.All._.Worksheets." localSheetId="15"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1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1"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3"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4"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_5"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wrn.PRINT._.ALL.2" localSheetId="10">{#N/A,#N/A,FALSE,"Pharm";#N/A,#N/A,FALSE,"WWCM"}</definedName>
    <definedName name="wrn.PRINT._.ALL.2">{#N/A,#N/A,FALSE,"Pharm";#N/A,#N/A,FALSE,"WWCM"}</definedName>
    <definedName name="wrn.print._.all2" localSheetId="10">{#N/A,#N/A,FALSE,"Pharm";#N/A,#N/A,FALSE,"WWCM"}</definedName>
    <definedName name="wrn.print._.all2">{#N/A,#N/A,FALSE,"Pharm";#N/A,#N/A,FALSE,"WWCM"}</definedName>
    <definedName name="wrn.PRINT._.DONC._.CONS._.TOTALS." localSheetId="10" hidden="1">{"DONC CONS RPT",#N/A,TRUE,"Doncaster"}</definedName>
    <definedName name="wrn.PRINT._.DONC._.CONS._.TOTALS." hidden="1">{"DONC CONS RPT",#N/A,TRUE,"Doncaster"}</definedName>
    <definedName name="wrn.Print._.Econ." localSheetId="10">{"One",#N/A,FALSE,"Summary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localSheetId="10">{"Print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for._.Heller." localSheetId="10">{#N/A,#N/A,FALSE,"Annual";"Quarter",#N/A,FALSE,"Monthly";"Side by Side",#N/A,FALSE,"Monthly"}</definedName>
    <definedName name="wrn.Print._.for._.Heller.">{#N/A,#N/A,FALSE,"Annual";"Quarter",#N/A,FALSE,"Monthly";"Side by Side",#N/A,FALSE,"Monthly"}</definedName>
    <definedName name="wrn.Print._.for._.Heller._.on._.Month." localSheetId="10">{#N/A,#N/A,FALSE,"Consolidated E&amp;Y Format ";#N/A,#N/A,FALSE,"E&amp;Y Format ";#N/A,#N/A,FALSE,"ATH Side by Side ";#N/A,#N/A,FALSE,"AT Side by Side";#N/A,#N/A,FALSE,"Hemco Side by Side";#N/A,#N/A,FALSE,"AT&amp; Hemco YTD side by side";#N/A,#N/A,FALSE,"AT YTD Side by Side"}</definedName>
    <definedName name="wrn.Print._.for._.Heller._.on._.Month.">{#N/A,#N/A,FALSE,"Consolidated E&amp;Y Format ";#N/A,#N/A,FALSE,"E&amp;Y Format ";#N/A,#N/A,FALSE,"ATH Side by Side ";#N/A,#N/A,FALSE,"AT Side by Side";#N/A,#N/A,FALSE,"Hemco Side by Side";#N/A,#N/A,FALSE,"AT&amp; Hemco YTD side by side";#N/A,#N/A,FALSE,"AT YTD Side by Side"}</definedName>
    <definedName name="wrn.print._.graphs." localSheetId="10"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10"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10"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2" localSheetId="10"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3" localSheetId="10"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4" localSheetId="10"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5" localSheetId="10"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Monthly._.Book." localSheetId="10"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0" hidden="1">{"Five Year",#N/A,FALSE,"Summary (2)";"Month 1 and Years",#N/A,FALSE,"Cash Budget"}</definedName>
    <definedName name="wrn.Print._.Out._.1." hidden="1">{"Five Year",#N/A,FALSE,"Summary (2)";"Month 1 and Years",#N/A,FALSE,"Cash Budget"}</definedName>
    <definedName name="wrn.Print._.Out._.1._1" localSheetId="10" hidden="1">{"Five Year",#N/A,FALSE,"Summary (2)";"Month 1 and Years",#N/A,FALSE,"Cash Budget"}</definedName>
    <definedName name="wrn.Print._.Out._.1._1" hidden="1">{"Five Year",#N/A,FALSE,"Summary (2)";"Month 1 and Years",#N/A,FALSE,"Cash Budget"}</definedName>
    <definedName name="wrn.Print._.PNL._.Download." localSheetId="10" hidden="1">{"PNLProjDL",#N/A,FALSE,"PROJCO";"PNLParDL",#N/A,FALSE,"Parent"}</definedName>
    <definedName name="wrn.Print._.PNL._.Download." hidden="1">{"PNLProjDL",#N/A,FALSE,"PROJCO";"PNLParDL",#N/A,FALSE,"Parent"}</definedName>
    <definedName name="wrn.print._.raw._.data._.entry." localSheetId="10" hidden="1">{"inputs raw data",#N/A,TRUE,"INPUT"}</definedName>
    <definedName name="wrn.print._.raw._.data._.entry." localSheetId="15" hidden="1">{"inputs raw data",#N/A,TRUE,"INPUT"}</definedName>
    <definedName name="wrn.print._.raw._.data._.entry." hidden="1">{"inputs raw data",#N/A,TRUE,"INPUT"}</definedName>
    <definedName name="wrn.print._.raw._.data._.entry._1" localSheetId="10" hidden="1">{"inputs raw data",#N/A,TRUE,"INPUT"}</definedName>
    <definedName name="wrn.print._.raw._.data._.entry._1" hidden="1">{"inputs raw data",#N/A,TRUE,"INPUT"}</definedName>
    <definedName name="wrn.print._.raw._.data._.entry._1_1" localSheetId="10" hidden="1">{"inputs raw data",#N/A,TRUE,"INPUT"}</definedName>
    <definedName name="wrn.print._.raw._.data._.entry._1_1" hidden="1">{"inputs raw data",#N/A,TRUE,"INPUT"}</definedName>
    <definedName name="wrn.print._.raw._.data._.entry._2" localSheetId="10" hidden="1">{"inputs raw data",#N/A,TRUE,"INPUT"}</definedName>
    <definedName name="wrn.print._.raw._.data._.entry._2" hidden="1">{"inputs raw data",#N/A,TRUE,"INPUT"}</definedName>
    <definedName name="wrn.print._.raw._.data._.entry._3" localSheetId="10" hidden="1">{"inputs raw data",#N/A,TRUE,"INPUT"}</definedName>
    <definedName name="wrn.print._.raw._.data._.entry._3" hidden="1">{"inputs raw data",#N/A,TRUE,"INPUT"}</definedName>
    <definedName name="wrn.print._.raw._.data._.entry._4" localSheetId="10" hidden="1">{"inputs raw data",#N/A,TRUE,"INPUT"}</definedName>
    <definedName name="wrn.print._.raw._.data._.entry._4" hidden="1">{"inputs raw data",#N/A,TRUE,"INPUT"}</definedName>
    <definedName name="wrn.print._.raw._.data._.entry._5" localSheetId="10" hidden="1">{"inputs raw data",#N/A,TRUE,"INPUT"}</definedName>
    <definedName name="wrn.print._.raw._.data._.entry._5" hidden="1">{"inputs raw data",#N/A,TRUE,"INPUT"}</definedName>
    <definedName name="wrn.print._.raw._data._.entry2." localSheetId="10" hidden="1">{"inputs raw data",#N/A,TRUE,"INPUT"}</definedName>
    <definedName name="wrn.print._.raw._data._.entry2." hidden="1">{"inputs raw data",#N/A,TRUE,"INPUT"}</definedName>
    <definedName name="wrn.Print._.Report." localSheetId="10"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localSheetId="15"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localSheetId="10" hidden="1">{"Valuation",#N/A,TRUE,"Valuation Summary";"Financial Statements",#N/A,TRUE,"Results";"Results",#N/A,TRUE,"Results";"Ratios",#N/A,TRUE,"Results"}</definedName>
    <definedName name="wrn.Print._.Results._.A4." hidden="1">{"Valuation",#N/A,TRUE,"Valuation Summary";"Financial Statements",#N/A,TRUE,"Results";"Results",#N/A,TRUE,"Results";"Ratios",#N/A,TRUE,"Results"}</definedName>
    <definedName name="wrn.Print._.Results._.Letter." localSheetId="10" hidden="1">{"Valuation Letter",#N/A,TRUE,"Valuation Summary";"Financial Statements Letter",#N/A,TRUE,"Results";"Results Letter",#N/A,TRUE,"Results";"Ratios Letter",#N/A,TRUE,"Results"}</definedName>
    <definedName name="wrn.Print._.Results._.Letter." hidden="1">{"Valuation Letter",#N/A,TRUE,"Valuation Summary";"Financial Statements Letter",#N/A,TRUE,"Results";"Results Letter",#N/A,TRUE,"Results";"Ratios Letter",#N/A,TRUE,"Results"}</definedName>
    <definedName name="wrn.print._.standalone." localSheetId="10" hidden="1">{"standalone1",#N/A,FALSE,"DCFBase";"standalone2",#N/A,FALSE,"DCFBase"}</definedName>
    <definedName name="wrn.print._.standalone." hidden="1">{"standalone1",#N/A,FALSE,"DCFBase";"standalone2",#N/A,FALSE,"DCFBase"}</definedName>
    <definedName name="wrn.print._.standalone._1" localSheetId="10" hidden="1">{"standalone1",#N/A,FALSE,"DCFBase";"standalone2",#N/A,FALSE,"DCFBase"}</definedName>
    <definedName name="wrn.print._.standalone._1" hidden="1">{"standalone1",#N/A,FALSE,"DCFBase";"standalone2",#N/A,FALSE,"DCFBase"}</definedName>
    <definedName name="wrn.Print._.Summary." localSheetId="10">{"One",#N/A,FALSE,"Summary ";"Two",#N/A,FALSE,"Summary "}</definedName>
    <definedName name="wrn.Print._.Summary.">{"One",#N/A,FALSE,"Summary ";"Two",#N/A,FALSE,"Summary "}</definedName>
    <definedName name="wrn.print._.summary._.sheets." localSheetId="10" hidden="1">{"summary1",#N/A,TRUE,"Comps";"summary2",#N/A,TRUE,"Comps";"summary3",#N/A,TRUE,"Comps"}</definedName>
    <definedName name="wrn.print._.summary._.sheets." localSheetId="15" hidden="1">{"summary1",#N/A,TRUE,"Comps";"summary2",#N/A,TRUE,"Comps";"summary3",#N/A,TRUE,"Comps"}</definedName>
    <definedName name="wrn.print._.summary._.sheets." hidden="1">{"summary1",#N/A,TRUE,"Comps";"summary2",#N/A,TRUE,"Comps";"summary3",#N/A,TRUE,"Comps"}</definedName>
    <definedName name="wrn.print._.summary._.sheets._1" localSheetId="10" hidden="1">{"summary1",#N/A,TRUE,"Comps";"summary2",#N/A,TRUE,"Comps";"summary3",#N/A,TRUE,"Comps"}</definedName>
    <definedName name="wrn.print._.summary._.sheets._1" hidden="1">{"summary1",#N/A,TRUE,"Comps";"summary2",#N/A,TRUE,"Comps";"summary3",#N/A,TRUE,"Comps"}</definedName>
    <definedName name="wrn.print._.summary._.sheets._1_1" localSheetId="10" hidden="1">{"summary1",#N/A,TRUE,"Comps";"summary2",#N/A,TRUE,"Comps";"summary3",#N/A,TRUE,"Comps"}</definedName>
    <definedName name="wrn.print._.summary._.sheets._1_1" hidden="1">{"summary1",#N/A,TRUE,"Comps";"summary2",#N/A,TRUE,"Comps";"summary3",#N/A,TRUE,"Comps"}</definedName>
    <definedName name="wrn.print._.summary._.sheets._2" localSheetId="10" hidden="1">{"summary1",#N/A,TRUE,"Comps";"summary2",#N/A,TRUE,"Comps";"summary3",#N/A,TRUE,"Comps"}</definedName>
    <definedName name="wrn.print._.summary._.sheets._2" hidden="1">{"summary1",#N/A,TRUE,"Comps";"summary2",#N/A,TRUE,"Comps";"summary3",#N/A,TRUE,"Comps"}</definedName>
    <definedName name="wrn.print._.summary._.sheets._3" localSheetId="10" hidden="1">{"summary1",#N/A,TRUE,"Comps";"summary2",#N/A,TRUE,"Comps";"summary3",#N/A,TRUE,"Comps"}</definedName>
    <definedName name="wrn.print._.summary._.sheets._3" hidden="1">{"summary1",#N/A,TRUE,"Comps";"summary2",#N/A,TRUE,"Comps";"summary3",#N/A,TRUE,"Comps"}</definedName>
    <definedName name="wrn.print._.summary._.sheets._4" localSheetId="10" hidden="1">{"summary1",#N/A,TRUE,"Comps";"summary2",#N/A,TRUE,"Comps";"summary3",#N/A,TRUE,"Comps"}</definedName>
    <definedName name="wrn.print._.summary._.sheets._4" hidden="1">{"summary1",#N/A,TRUE,"Comps";"summary2",#N/A,TRUE,"Comps";"summary3",#N/A,TRUE,"Comps"}</definedName>
    <definedName name="wrn.print._.summary._.sheets._5" localSheetId="10" hidden="1">{"summary1",#N/A,TRUE,"Comps";"summary2",#N/A,TRUE,"Comps";"summary3",#N/A,TRUE,"Comps"}</definedName>
    <definedName name="wrn.print._.summary._.sheets._5" hidden="1">{"summary1",#N/A,TRUE,"Comps";"summary2",#N/A,TRUE,"Comps";"summary3",#N/A,TRUE,"Comps"}</definedName>
    <definedName name="wrn.print._.summary._.sheets.2" localSheetId="10" hidden="1">{"summary1",#N/A,TRUE,"Comps";"summary2",#N/A,TRUE,"Comps";"summary3",#N/A,TRUE,"Comps"}</definedName>
    <definedName name="wrn.print._.summary._.sheets.2" hidden="1">{"summary1",#N/A,TRUE,"Comps";"summary2",#N/A,TRUE,"Comps";"summary3",#N/A,TRUE,"Comps"}</definedName>
    <definedName name="wrn.print._.tenaska." localSheetId="10">{"Summary",#N/A,FALSE,"Total Project Economics";"Stmts",#N/A,FALSE,"Total Project Economics";#N/A,#N/A,FALSE,"WA Fwd Curve";#N/A,#N/A,FALSE,"O&amp;M, Fuel"}</definedName>
    <definedName name="wrn.print._.tenaska.">{"Summary",#N/A,FALSE,"Total Project Economics";"Stmts",#N/A,FALSE,"Total Project Economics";#N/A,#N/A,FALSE,"WA Fwd Curve";#N/A,#N/A,FALSE,"O&amp;M, Fuel"}</definedName>
    <definedName name="wrn.Print._.Weeks._.and._.Months." localSheetId="10">{"Weekly",#N/A,FALSE,"Cash Projection";"Months",#N/A,FALSE,"Cash Projection"}</definedName>
    <definedName name="wrn.Print._.Weeks._.and._.Months.">{"Weekly",#N/A,FALSE,"Cash Projection";"Months",#N/A,FALSE,"Cash Projection"}</definedName>
    <definedName name="wrn.print._1" localSheetId="10" hidden="1">{#N/A,#N/A,FALSE,"Type 717 1100 200";#N/A,#N/A,FALSE,"Type 714 1100";#N/A,#N/A,FALSE,"Type T734 1100";#N/A,#N/A,FALSE,"Type 715 1100 200";#N/A,#N/A,FALSE,"Type 736s 1670 100";#N/A,#N/A,FALSE,"Type 710 1100 200 Z060";#N/A,#N/A,FALSE,"Type 710 1100 200"}</definedName>
    <definedName name="wrn.print._1" localSheetId="15" hidden="1">{#N/A,#N/A,FALSE,"Type 717 1100 200";#N/A,#N/A,FALSE,"Type 714 1100";#N/A,#N/A,FALSE,"Type T734 1100";#N/A,#N/A,FALSE,"Type 715 1100 200";#N/A,#N/A,FALSE,"Type 736s 1670 100";#N/A,#N/A,FALSE,"Type 710 1100 200 Z060";#N/A,#N/A,FALSE,"Type 710 1100 200"}</definedName>
    <definedName name="wrn.print._1" hidden="1">{#N/A,#N/A,FALSE,"Type 717 1100 200";#N/A,#N/A,FALSE,"Type 714 1100";#N/A,#N/A,FALSE,"Type T734 1100";#N/A,#N/A,FALSE,"Type 715 1100 200";#N/A,#N/A,FALSE,"Type 736s 1670 100";#N/A,#N/A,FALSE,"Type 710 1100 200 Z060";#N/A,#N/A,FALSE,"Type 710 1100 200"}</definedName>
    <definedName name="wrn.print._all1." localSheetId="10">{#N/A,#N/A,FALSE,"Pharm";#N/A,#N/A,FALSE,"WWCM"}</definedName>
    <definedName name="wrn.print._all1.">{#N/A,#N/A,FALSE,"Pharm";#N/A,#N/A,FALSE,"WWCM"}</definedName>
    <definedName name="wrn.PRINT_ALL." localSheetId="10" hidden="1">{"SUMMARY",#N/A,FALSE,"DEALSUM";"ASSUMPS",#N/A,FALSE,"DEALSUM"}</definedName>
    <definedName name="wrn.PRINT_ALL." localSheetId="15" hidden="1">{"SUMMARY",#N/A,FALSE,"DEALSUM";"ASSUMPS",#N/A,FALSE,"DEALSUM"}</definedName>
    <definedName name="wrn.PRINT_ALL." hidden="1">{"SUMMARY",#N/A,FALSE,"DEALSUM";"ASSUMPS",#N/A,FALSE,"DEALSUM"}</definedName>
    <definedName name="wrn.Print_Buyer." localSheetId="10"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10"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2" localSheetId="10"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3" localSheetId="10"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4" localSheetId="10"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5" localSheetId="10"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CSC." localSheetId="10" hidden="1">{"CSC_1",#N/A,FALSE,"CSC Outputs";"CSC_2",#N/A,FALSE,"CSC Outputs"}</definedName>
    <definedName name="wrn.Print_CSC." localSheetId="15" hidden="1">{"CSC_1",#N/A,FALSE,"CSC Outputs";"CSC_2",#N/A,FALSE,"CSC Outputs"}</definedName>
    <definedName name="wrn.Print_CSC." hidden="1">{"CSC_1",#N/A,FALSE,"CSC Outputs";"CSC_2",#N/A,FALSE,"CSC Outputs"}</definedName>
    <definedName name="wrn.Print_Earnings_template." localSheetId="10"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0" hidden="1">{"var_page",#N/A,FALSE,"template"}</definedName>
    <definedName name="wrn.Print_Var_page." hidden="1">{"var_page",#N/A,FALSE,"template"}</definedName>
    <definedName name="wrn.print_variance." localSheetId="10" hidden="1">{"var_report",#N/A,FALSE,"template"}</definedName>
    <definedName name="wrn.print_variance." hidden="1">{"var_report",#N/A,FALSE,"template"}</definedName>
    <definedName name="wrn.Print_Variance_Page." localSheetId="10" hidden="1">{"variance_page",#N/A,FALSE,"template"}</definedName>
    <definedName name="wrn.Print_Variance_Page." hidden="1">{"variance_page",#N/A,FALSE,"template"}</definedName>
    <definedName name="wrn.print2" localSheetId="10">{#N/A,#N/A,FALSE,"Pharm";#N/A,#N/A,FALSE,"WWCM"}</definedName>
    <definedName name="wrn.print2">{#N/A,#N/A,FALSE,"Pharm";#N/A,#N/A,FALSE,"WWCM"}</definedName>
    <definedName name="wrn.PRINT2." localSheetId="10">{"PAGE1",#N/A,FALSE,"ADJMODL";"PAGE2",#N/A,FALSE,"ADJMODL";"PAGE3",#N/A,FALSE,"ADJMODL";"PAGE4",#N/A,FALSE,"ADJMODL";"PAGE5",#N/A,FALSE,"ADJMODL";"PAGE6",#N/A,FALSE,"ADJMODL";"PAGE7",#N/A,FALSE,"ADJMODL";"PAGE8",#N/A,FALSE,"ADJMODL"}</definedName>
    <definedName name="wrn.PRINT2.">{"PAGE1",#N/A,FALSE,"ADJMODL";"PAGE2",#N/A,FALSE,"ADJMODL";"PAGE3",#N/A,FALSE,"ADJMODL";"PAGE4",#N/A,FALSE,"ADJMODL";"PAGE5",#N/A,FALSE,"ADJMODL";"PAGE6",#N/A,FALSE,"ADJMODL";"PAGE7",#N/A,FALSE,"ADJMODL";"PAGE8",#N/A,FALSE,"ADJMODL"}</definedName>
    <definedName name="wrn.print3." localSheetId="10">{"PAGE1",#N/A,FALSE,"ADJMODL";"PAGE2",#N/A,FALSE,"ADJMODL";"PAGE3",#N/A,FALSE,"ADJMODL";"PAGE4",#N/A,FALSE,"ADJMODL";"PAGE5",#N/A,FALSE,"ADJMODL";"PAGE6",#N/A,FALSE,"ADJMODL";"PAGE7",#N/A,FALSE,"ADJMODL";"PAGE8",#N/A,FALSE,"ADJMODL"}</definedName>
    <definedName name="wrn.print3.">{"PAGE1",#N/A,FALSE,"ADJMODL";"PAGE2",#N/A,FALSE,"ADJMODL";"PAGE3",#N/A,FALSE,"ADJMODL";"PAGE4",#N/A,FALSE,"ADJMODL";"PAGE5",#N/A,FALSE,"ADJMODL";"PAGE6",#N/A,FALSE,"ADJMODL";"PAGE7",#N/A,FALSE,"ADJMODL";"PAGE8",#N/A,FALSE,"ADJMODL"}</definedName>
    <definedName name="wrn.printac." localSheetId="10" hidden="1">{#N/A,#N/A,FALSE,"Op-BS";#N/A,#N/A,FALSE,"Assum";#N/A,#N/A,FALSE,"IS";#N/A,#N/A,FALSE,"Syn+Elim";#N/A,#N/A,FALSE,"BSCF";#N/A,#N/A,FALSE,"Blue_IS";#N/A,#N/A,FALSE,"Blue_BSCF";#N/A,#N/A,FALSE,"Ratings"}</definedName>
    <definedName name="wrn.printac." localSheetId="15"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ll." localSheetId="10" hidden="1">{"PA1",#N/A,TRUE,"BORDMW";"pa2",#N/A,TRUE,"BORDMW";"PA3",#N/A,TRUE,"BORDMW";"PA4",#N/A,TRUE,"BORDMW"}</definedName>
    <definedName name="wrn.PrintAll." localSheetId="15" hidden="1">{"PA1",#N/A,TRUE,"BORDMW";"pa2",#N/A,TRUE,"BORDMW";"PA3",#N/A,TRUE,"BORDMW";"PA4",#N/A,TRUE,"BORDMW"}</definedName>
    <definedName name="wrn.PrintAll." hidden="1">{"PA1",#N/A,TRUE,"BORDMW";"pa2",#N/A,TRUE,"BORDMW";"PA3",#N/A,TRUE,"BORDMW";"PA4",#N/A,TRUE,"BORDMW"}</definedName>
    <definedName name="wrn.PrintAll._1" localSheetId="10" hidden="1">{"PA1",#N/A,FALSE,"BORDMW";"pa2",#N/A,FALSE,"BORDMW";"PA3",#N/A,FALSE,"BORDMW";"PA4",#N/A,FALSE,"BORDMW"}</definedName>
    <definedName name="wrn.PrintAll._1" hidden="1">{"PA1",#N/A,FALSE,"BORDMW";"pa2",#N/A,FALSE,"BORDMW";"PA3",#N/A,FALSE,"BORDMW";"PA4",#N/A,FALSE,"BORDMW"}</definedName>
    <definedName name="wrn.Printfinancialsmth." localSheetId="10"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 localSheetId="10" hidden="1">{"pg1",#N/A,FALSE,"round2";"pg2",#N/A,FALSE,"round2"}</definedName>
    <definedName name="wrn.printing." hidden="1">{"pg1",#N/A,FALSE,"round2";"pg2",#N/A,FALSE,"round2"}</definedName>
    <definedName name="wrn.printout." localSheetId="10" hidden="1">{#N/A,#N/A,FALSE,"BANNERS";#N/A,#N/A,FALSE,"Market";#N/A,#N/A,FALSE,"# of POP MAN";#N/A,#N/A,FALSE,"Penet Input";#N/A,#N/A,FALSE,"Tel Rev";#N/A,#N/A,FALSE,"Invest";#N/A,#N/A,FALSE,"Op Cost1";#N/A,#N/A,FALSE,"Op Cost2";#N/A,#N/A,FALSE,"Oth_&amp;_Tot_Revenues";#N/A,#N/A,FALSE,"Fin Mod";#N/A,#N/A,FALSE,"P&amp;E Burocrat";#N/A,#N/A,FALSE,"cash flow"}</definedName>
    <definedName name="wrn.printout." localSheetId="15"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qtr." localSheetId="10" hidden="1">{"nytasecond",#N/A,FALSE,"NYTQTRS";"nytafirst",#N/A,FALSE,"NYTQTRS";"nytathird",#N/A,FALSE,"NYTQTRS";"nytafourth",#N/A,FALSE,"NYTQTRS";"nytafull",#N/A,FALSE,"NYTQTRS"}</definedName>
    <definedName name="wrn.printqtr." localSheetId="15"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REP." localSheetId="10" hidden="1">{"PRINTREP",#N/A,FALSE,"Sheet1"}</definedName>
    <definedName name="wrn.PRINTREP." localSheetId="15" hidden="1">{"PRINTREP",#N/A,FALSE,"Sheet1"}</definedName>
    <definedName name="wrn.PRINTREP." hidden="1">{"PRINTREP",#N/A,FALSE,"Sheet1"}</definedName>
    <definedName name="wrn.printtiming." localSheetId="10" hidden="1">{"printtiming",#N/A,FALSE,"INPUT 2"}</definedName>
    <definedName name="wrn.printtiming." hidden="1">{"printtiming",#N/A,FALSE,"INPUT 2"}</definedName>
    <definedName name="wrn.Priority._.list." localSheetId="10" hidden="1">{#N/A,#N/A,FALSE,"DI 2 YEAR MASTER SCHEDULE"}</definedName>
    <definedName name="wrn.Priority._.list." localSheetId="15" hidden="1">{#N/A,#N/A,FALSE,"DI 2 YEAR MASTER SCHEDULE"}</definedName>
    <definedName name="wrn.Priority._.list." hidden="1">{#N/A,#N/A,FALSE,"DI 2 YEAR MASTER SCHEDULE"}</definedName>
    <definedName name="wrn.Prjcted._.Mnthly._.Qtys." localSheetId="10" hidden="1">{#N/A,#N/A,FALSE,"PRJCTED MNTHLY QTY's"}</definedName>
    <definedName name="wrn.Prjcted._.Mnthly._.Qtys." localSheetId="15" hidden="1">{#N/A,#N/A,FALSE,"PRJCTED MNTHLY QTY's"}</definedName>
    <definedName name="wrn.Prjcted._.Mnthly._.Qtys." hidden="1">{#N/A,#N/A,FALSE,"PRJCTED MNTHLY QTY's"}</definedName>
    <definedName name="wrn.Prjcted._.Qtrly._.Dollars." localSheetId="10" hidden="1">{#N/A,#N/A,FALSE,"PRJCTED QTRLY $'s"}</definedName>
    <definedName name="wrn.Prjcted._.Qtrly._.Dollars." localSheetId="15" hidden="1">{#N/A,#N/A,FALSE,"PRJCTED QTRLY $'s"}</definedName>
    <definedName name="wrn.Prjcted._.Qtrly._.Dollars." hidden="1">{#N/A,#N/A,FALSE,"PRJCTED QTRLY $'s"}</definedName>
    <definedName name="wrn.Prjcted._.Qtrly._.Qtys." localSheetId="10" hidden="1">{#N/A,#N/A,FALSE,"PRJCTED QTRLY QTY's"}</definedName>
    <definedName name="wrn.Prjcted._.Qtrly._.Qtys." localSheetId="15" hidden="1">{#N/A,#N/A,FALSE,"PRJCTED QTRLY QTY's"}</definedName>
    <definedName name="wrn.Prjcted._.Qtrly._.Qtys." hidden="1">{#N/A,#N/A,FALSE,"PRJCTED QTRLY QTY's"}</definedName>
    <definedName name="wrn.PRNE._.Profit._.and._.Loss._.detail." localSheetId="10" hidden="1">{#N/A,#N/A,TRUE,"PRNE CORE";#N/A,#N/A,TRUE,"Targeting";#N/A,#N/A,TRUE,"Distribution";#N/A,#N/A,TRUE,"Measurement"}</definedName>
    <definedName name="wrn.PRNE._.Profit._.and._.Loss._.detail." hidden="1">{#N/A,#N/A,TRUE,"PRNE CORE";#N/A,#N/A,TRUE,"Targeting";#N/A,#N/A,TRUE,"Distribution";#N/A,#N/A,TRUE,"Measurement"}</definedName>
    <definedName name="wrn.Pro._.Forma."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_1"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1_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2" localSheetId="1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_2"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 localSheetId="10" hidden="1">{#N/A,#N/A,FALSE,"Synopsis";#N/A,#N/A,FALSE,"Summary";#N/A,#N/A,FALSE,"5 Year Analysis";#N/A,#N/A,FALSE,"InCenter Standards";#N/A,#N/A,FALSE,"Home Standards";#N/A,#N/A,FALSE,"Acute Standards"}</definedName>
    <definedName name="wrn.Pro._.Formas_All." hidden="1">{#N/A,#N/A,FALSE,"Synopsis";#N/A,#N/A,FALSE,"Summary";#N/A,#N/A,FALSE,"5 Year Analysis";#N/A,#N/A,FALSE,"InCenter Standards";#N/A,#N/A,FALSE,"Home Standards";#N/A,#N/A,FALSE,"Acute Standards"}</definedName>
    <definedName name="wrn.Pro._.Formas_Brief." localSheetId="10" hidden="1">{#N/A,#N/A,FALSE,"Synopsis";#N/A,#N/A,FALSE,"Summary"}</definedName>
    <definedName name="wrn.Pro._.Formas_Brief." hidden="1">{#N/A,#N/A,FALSE,"Synopsis";#N/A,#N/A,FALSE,"Summary"}</definedName>
    <definedName name="wrn.prodcon." localSheetId="10" hidden="1">{"closed",#N/A,FALSE,"Consolidated Products - Budget";"expanded",#N/A,FALSE,"Consolidated Products - Budget"}</definedName>
    <definedName name="wrn.prodcon." hidden="1">{"closed",#N/A,FALSE,"Consolidated Products - Budget";"expanded",#N/A,FALSE,"Consolidated Products - Budget"}</definedName>
    <definedName name="wrn.prodcon._1" localSheetId="10" hidden="1">{"closed",#N/A,FALSE,"Consolidated Products - Budget";"expanded",#N/A,FALSE,"Consolidated Products - Budget"}</definedName>
    <definedName name="wrn.prodcon._1" hidden="1">{"closed",#N/A,FALSE,"Consolidated Products - Budget";"expanded",#N/A,FALSE,"Consolidated Products - Budget"}</definedName>
    <definedName name="wrn.product._.cost." localSheetId="10" hidden="1">{"product cost",#N/A,FALSE,"P&amp;L STATEMENT"}</definedName>
    <definedName name="wrn.product._.cost." hidden="1">{"product cost",#N/A,FALSE,"P&amp;L STATEMENT"}</definedName>
    <definedName name="wrn.PRODUCT._.GROUP." localSheetId="10" hidden="1">{"PRODUCTGROUP",#N/A,FALSE,"PRODUCT GROUP"}</definedName>
    <definedName name="wrn.PRODUCT._.GROUP." hidden="1">{"PRODUCTGROUP",#N/A,FALSE,"PRODUCT GROUP"}</definedName>
    <definedName name="wrn.PRODUCTION._.COSTS." localSheetId="10" hidden="1">{"PRODUCTION COSTS",#N/A,FALSE,"C.CENTRE"}</definedName>
    <definedName name="wrn.PRODUCTION._.COSTS." hidden="1">{"PRODUCTION COSTS",#N/A,FALSE,"C.CENTRE"}</definedName>
    <definedName name="wrn.products" localSheetId="10">{#N/A,#N/A,FALSE,"1";#N/A,#N/A,FALSE,"2";#N/A,#N/A,FALSE,"16 - 17";#N/A,#N/A,FALSE,"18 - 19";#N/A,#N/A,FALSE,"26";#N/A,#N/A,FALSE,"27";#N/A,#N/A,FALSE,"28"}</definedName>
    <definedName name="wrn.products">{#N/A,#N/A,FALSE,"1";#N/A,#N/A,FALSE,"2";#N/A,#N/A,FALSE,"16 - 17";#N/A,#N/A,FALSE,"18 - 19";#N/A,#N/A,FALSE,"26";#N/A,#N/A,FALSE,"27";#N/A,#N/A,FALSE,"28"}</definedName>
    <definedName name="wrn.Products." localSheetId="10">{#N/A,#N/A,FALSE,"1";#N/A,#N/A,FALSE,"2";#N/A,#N/A,FALSE,"16 - 17";#N/A,#N/A,FALSE,"18 - 19";#N/A,#N/A,FALSE,"26";#N/A,#N/A,FALSE,"27";#N/A,#N/A,FALSE,"28"}</definedName>
    <definedName name="wrn.Products.">{#N/A,#N/A,FALSE,"1";#N/A,#N/A,FALSE,"2";#N/A,#N/A,FALSE,"16 - 17";#N/A,#N/A,FALSE,"18 - 19";#N/A,#N/A,FALSE,"26";#N/A,#N/A,FALSE,"27";#N/A,#N/A,FALSE,"28"}</definedName>
    <definedName name="wrn.Profile." localSheetId="10" hidden="1">{"Profile",#N/A,FALSE,"BXS"}</definedName>
    <definedName name="wrn.Profile." hidden="1">{"Profile",#N/A,FALSE,"BXS"}</definedName>
    <definedName name="wrn.PROFIT._.CHARTS." localSheetId="10" hidden="1">{#N/A,#N/A,TRUE,"TOTAL BOEING";#N/A,#N/A,TRUE,"747 802-1101";#N/A,#N/A,TRUE,"747 1102-1201";#N/A,#N/A,TRUE,"757 301-600";#N/A,#N/A,TRUE,"757 601-800";#N/A,#N/A,TRUE,"767 301-600";#N/A,#N/A,TRUE,"767 601-700"}</definedName>
    <definedName name="wrn.PROFIT._.CHARTS." localSheetId="15" hidden="1">{#N/A,#N/A,TRUE,"TOTAL BOEING";#N/A,#N/A,TRUE,"747 802-1101";#N/A,#N/A,TRUE,"747 1102-1201";#N/A,#N/A,TRUE,"757 301-600";#N/A,#N/A,TRUE,"757 601-800";#N/A,#N/A,TRUE,"767 301-600";#N/A,#N/A,TRUE,"767 601-700"}</definedName>
    <definedName name="wrn.PROFIT._.CHARTS." hidden="1">{#N/A,#N/A,TRUE,"TOTAL BOEING";#N/A,#N/A,TRUE,"747 802-1101";#N/A,#N/A,TRUE,"747 1102-1201";#N/A,#N/A,TRUE,"757 301-600";#N/A,#N/A,TRUE,"757 601-800";#N/A,#N/A,TRUE,"767 301-600";#N/A,#N/A,TRUE,"767 601-700"}</definedName>
    <definedName name="wrn.PROFIT._.LOSS._.AC." localSheetId="10" hidden="1">{"PROFIT LOSS AC",#N/A,FALSE,"P&amp;L FY97"}</definedName>
    <definedName name="wrn.PROFIT._.LOSS._.AC." hidden="1">{"PROFIT LOSS AC",#N/A,FALSE,"P&amp;L FY97"}</definedName>
    <definedName name="wrn.profit._.statement." localSheetId="10" hidden="1">{"profit statement",#N/A,FALSE,"P&amp;L STATEMENT"}</definedName>
    <definedName name="wrn.profit._.statement." hidden="1">{"profit statement",#N/A,FALSE,"P&amp;L STATEMENT"}</definedName>
    <definedName name="wrn.PROFIT_LOSS." localSheetId="10" hidden="1">{"רווה_מסכם",#N/A,FALSE,"p&amp;l";"באור_תפעול",#N/A,FALSE,"operation";"באור_מופ",#N/A,FALSE,"R&amp;D";"באור_שיווק",#N/A,FALSE,"M&amp;S";"באור_הנהלה",#N/A,FALSE,"g&amp;a"}</definedName>
    <definedName name="wrn.PROFIT_LOSS." hidden="1">{"רווה_מסכם",#N/A,FALSE,"p&amp;l";"באור_תפעול",#N/A,FALSE,"operation";"באור_מופ",#N/A,FALSE,"R&amp;D";"באור_שיווק",#N/A,FALSE,"M&amp;S";"באור_הנהלה",#N/A,FALSE,"g&amp;a"}</definedName>
    <definedName name="wrn.PROFIT_LOSS._1" localSheetId="10" hidden="1">{"רווה_מסכם",#N/A,FALSE,"p&amp;l";"באור_תפעול",#N/A,FALSE,"operation";"באור_מופ",#N/A,FALSE,"R&amp;D";"באור_שיווק",#N/A,FALSE,"M&amp;S";"באור_הנהלה",#N/A,FALSE,"g&amp;a"}</definedName>
    <definedName name="wrn.PROFIT_LOSS._1" hidden="1">{"רווה_מסכם",#N/A,FALSE,"p&amp;l";"באור_תפעול",#N/A,FALSE,"operation";"באור_מופ",#N/A,FALSE,"R&amp;D";"באור_שיווק",#N/A,FALSE,"M&amp;S";"באור_הנהלה",#N/A,FALSE,"g&amp;a"}</definedName>
    <definedName name="wrn.Proforma." localSheetId="10"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10" hidden="1">{"PROFORMA CHECK BY DIVISION",#N/A,FALSE,"BSALLNOW.XLS"}</definedName>
    <definedName name="wrn.PROFORMA._.CHECK._.BY._.DIVISION." hidden="1">{"PROFORMA CHECK BY DIVISION",#N/A,FALSE,"BSALLNOW.XLS"}</definedName>
    <definedName name="wrn.Proforma._.Report." localSheetId="10">{"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ject._.Summary." localSheetId="10" hidden="1">{"Summary",#N/A,FALSE,"MICMULT";"Income Statement",#N/A,FALSE,"MICMULT";"Cash Flows",#N/A,FALSE,"MICMULT"}</definedName>
    <definedName name="wrn.Project._.Summary." hidden="1">{"Summary",#N/A,FALSE,"MICMULT";"Income Statement",#N/A,FALSE,"MICMULT";"Cash Flows",#N/A,FALSE,"MICMULT"}</definedName>
    <definedName name="wrn.projection." localSheetId="10" hidden="1">{#N/A,#N/A,FALSE,"INPUT";#N/A,#N/A,FALSE,"GROSS NUMBERS";#N/A,#N/A,FALSE,"ALLOCATION";#N/A,#N/A,FALSE,"PARTNERS' CAP."}</definedName>
    <definedName name="wrn.projection." hidden="1">{#N/A,#N/A,FALSE,"INPUT";#N/A,#N/A,FALSE,"GROSS NUMBERS";#N/A,#N/A,FALSE,"ALLOCATION";#N/A,#N/A,FALSE,"PARTNERS' CAP."}</definedName>
    <definedName name="wrn.projection._1" localSheetId="10" hidden="1">{#N/A,#N/A,FALSE,"INPUT";#N/A,#N/A,FALSE,"GROSS NUMBERS";#N/A,#N/A,FALSE,"ALLOCATION";#N/A,#N/A,FALSE,"PARTNERS' CAP."}</definedName>
    <definedName name="wrn.projection._1" hidden="1">{#N/A,#N/A,FALSE,"INPUT";#N/A,#N/A,FALSE,"GROSS NUMBERS";#N/A,#N/A,FALSE,"ALLOCATION";#N/A,#N/A,FALSE,"PARTNERS' CAP."}</definedName>
    <definedName name="wrn.projection._2" localSheetId="10" hidden="1">{#N/A,#N/A,FALSE,"INPUT";#N/A,#N/A,FALSE,"GROSS NUMBERS";#N/A,#N/A,FALSE,"ALLOCATION";#N/A,#N/A,FALSE,"PARTNERS' CAP."}</definedName>
    <definedName name="wrn.projection._2" hidden="1">{#N/A,#N/A,FALSE,"INPUT";#N/A,#N/A,FALSE,"GROSS NUMBERS";#N/A,#N/A,FALSE,"ALLOCATION";#N/A,#N/A,FALSE,"PARTNERS' CAP."}</definedName>
    <definedName name="wrn.projection._3" localSheetId="10" hidden="1">{#N/A,#N/A,FALSE,"INPUT";#N/A,#N/A,FALSE,"GROSS NUMBERS";#N/A,#N/A,FALSE,"ALLOCATION";#N/A,#N/A,FALSE,"PARTNERS' CAP."}</definedName>
    <definedName name="wrn.projection._3" hidden="1">{#N/A,#N/A,FALSE,"INPUT";#N/A,#N/A,FALSE,"GROSS NUMBERS";#N/A,#N/A,FALSE,"ALLOCATION";#N/A,#N/A,FALSE,"PARTNERS' CAP."}</definedName>
    <definedName name="wrn.projection._4" localSheetId="10" hidden="1">{#N/A,#N/A,FALSE,"INPUT";#N/A,#N/A,FALSE,"GROSS NUMBERS";#N/A,#N/A,FALSE,"ALLOCATION";#N/A,#N/A,FALSE,"PARTNERS' CAP."}</definedName>
    <definedName name="wrn.projection._4" hidden="1">{#N/A,#N/A,FALSE,"INPUT";#N/A,#N/A,FALSE,"GROSS NUMBERS";#N/A,#N/A,FALSE,"ALLOCATION";#N/A,#N/A,FALSE,"PARTNERS' CAP."}</definedName>
    <definedName name="wrn.projection._5" localSheetId="10" hidden="1">{#N/A,#N/A,FALSE,"INPUT";#N/A,#N/A,FALSE,"GROSS NUMBERS";#N/A,#N/A,FALSE,"ALLOCATION";#N/A,#N/A,FALSE,"PARTNERS' CAP."}</definedName>
    <definedName name="wrn.projection._5" hidden="1">{#N/A,#N/A,FALSE,"INPUT";#N/A,#N/A,FALSE,"GROSS NUMBERS";#N/A,#N/A,FALSE,"ALLOCATION";#N/A,#N/A,FALSE,"PARTNERS' CAP."}</definedName>
    <definedName name="wrn.PROJECTIONS."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4"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localSheetId="10"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5"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ng." localSheetId="10" hidden="1">{"Commits",#N/A,FALSE,"Year"}</definedName>
    <definedName name="wrn.projeng." hidden="1">{"Commits",#N/A,FALSE,"Year"}</definedName>
    <definedName name="wrn.PROPERTY." localSheetId="10" hidden="1">{"PROPERTY",#N/A,FALSE,"A"}</definedName>
    <definedName name="wrn.PROPERTY." hidden="1">{"PROPERTY",#N/A,FALSE,"A"}</definedName>
    <definedName name="wrn.PROPERTY._.AND._.EQUIP.." localSheetId="10"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r" localSheetId="10">{#N/A,#N/A,FALSE,"Pharm";#N/A,#N/A,FALSE,"WWCM"}</definedName>
    <definedName name="wrn.pror">{#N/A,#N/A,FALSE,"Pharm";#N/A,#N/A,FALSE,"WWCM"}</definedName>
    <definedName name="wrn.PRUEBA." localSheetId="10">{#N/A,#N/A,TRUE,"2432"}</definedName>
    <definedName name="wrn.PRUEBA.">{#N/A,#N/A,TRUE,"2432"}</definedName>
    <definedName name="wrn.PUCSPADD." localSheetId="10" hidden="1">{#N/A,"PURCHM",FALSE,"Business Analysis";#N/A,"SPADD",FALSE,"Business Analysis"}</definedName>
    <definedName name="wrn.PUCSPADD." hidden="1">{#N/A,"PURCHM",FALSE,"Business Analysis";#N/A,"SPADD",FALSE,"Business Analysis"}</definedName>
    <definedName name="wrn.PUCSPADD.2" localSheetId="10" hidden="1">{#N/A,"PURCHM",FALSE,"Business Analysis";#N/A,"SPADD",FALSE,"Business Analysis"}</definedName>
    <definedName name="wrn.PUCSPADD.2" hidden="1">{#N/A,"PURCHM",FALSE,"Business Analysis";#N/A,"SPADD",FALSE,"Business Analysis"}</definedName>
    <definedName name="wrn.pucspadd1" localSheetId="10" hidden="1">{#N/A,"PURCHM",FALSE,"Business Analysis";#N/A,"SPADD",FALSE,"Business Analysis"}</definedName>
    <definedName name="wrn.pucspadd1" hidden="1">{#N/A,"PURCHM",FALSE,"Business Analysis";#N/A,"SPADD",FALSE,"Business Analysis"}</definedName>
    <definedName name="wrn.pucspadd10" localSheetId="10" hidden="1">{#N/A,"PURCHM",FALSE,"Business Analysis";#N/A,"SPADD",FALSE,"Business Analysis"}</definedName>
    <definedName name="wrn.pucspadd10" hidden="1">{#N/A,"PURCHM",FALSE,"Business Analysis";#N/A,"SPADD",FALSE,"Business Analysis"}</definedName>
    <definedName name="wrn.pucspadd102" localSheetId="10" hidden="1">{#N/A,"PURCHM",FALSE,"Business Analysis";#N/A,"SPADD",FALSE,"Business Analysis"}</definedName>
    <definedName name="wrn.pucspadd102" hidden="1">{#N/A,"PURCHM",FALSE,"Business Analysis";#N/A,"SPADD",FALSE,"Business Analysis"}</definedName>
    <definedName name="wrn.pucspadd11" localSheetId="10" hidden="1">{#N/A,"PURCHM",FALSE,"Business Analysis";#N/A,"SPADD",FALSE,"Business Analysis"}</definedName>
    <definedName name="wrn.pucspadd11" hidden="1">{#N/A,"PURCHM",FALSE,"Business Analysis";#N/A,"SPADD",FALSE,"Business Analysis"}</definedName>
    <definedName name="wrn.pucspadd12" localSheetId="10" hidden="1">{#N/A,"PURCHM",FALSE,"Business Analysis";#N/A,"SPADD",FALSE,"Business Analysis"}</definedName>
    <definedName name="wrn.pucspadd12" hidden="1">{#N/A,"PURCHM",FALSE,"Business Analysis";#N/A,"SPADD",FALSE,"Business Analysis"}</definedName>
    <definedName name="wrn.pucspadd31" localSheetId="10" hidden="1">{#N/A,"PURCHM",FALSE,"Business Analysis";#N/A,"SPADD",FALSE,"Business Analysis"}</definedName>
    <definedName name="wrn.pucspadd31" hidden="1">{#N/A,"PURCHM",FALSE,"Business Analysis";#N/A,"SPADD",FALSE,"Business Analysis"}</definedName>
    <definedName name="wrn.Pucspadd34" localSheetId="10" hidden="1">{#N/A,"PURCHM",FALSE,"Business Analysis";#N/A,"SPADD",FALSE,"Business Analysis"}</definedName>
    <definedName name="wrn.Pucspadd34" hidden="1">{#N/A,"PURCHM",FALSE,"Business Analysis";#N/A,"SPADD",FALSE,"Business Analysis"}</definedName>
    <definedName name="wrn.PUCSPADD35" localSheetId="10" hidden="1">{#N/A,"PURCHM",FALSE,"Business Analysis";#N/A,"SPADD",FALSE,"Business Analysis"}</definedName>
    <definedName name="wrn.PUCSPADD35" hidden="1">{#N/A,"PURCHM",FALSE,"Business Analysis";#N/A,"SPADD",FALSE,"Business Analysis"}</definedName>
    <definedName name="wrn.Pulp." localSheetId="10">{"Pulp Production",#N/A,FALSE,"Pulp";"Pulp Earnings",#N/A,FALSE,"Pulp"}</definedName>
    <definedName name="wrn.Pulp.">{"Pulp Production",#N/A,FALSE,"Pulp";"Pulp Earnings",#N/A,FALSE,"Pulp"}</definedName>
    <definedName name="wrn.Pulp._1" localSheetId="10" hidden="1">{"Pulp Production",#N/A,FALSE,"Pulp";"Pulp Earnings",#N/A,FALSE,"Pulp"}</definedName>
    <definedName name="wrn.Pulp._1" hidden="1">{"Pulp Production",#N/A,FALSE,"Pulp";"Pulp Earnings",#N/A,FALSE,"Pulp"}</definedName>
    <definedName name="wrn.Pulp._1_1" localSheetId="10" hidden="1">{"Pulp Production",#N/A,FALSE,"Pulp";"Pulp Earnings",#N/A,FALSE,"Pulp"}</definedName>
    <definedName name="wrn.Pulp._1_1" hidden="1">{"Pulp Production",#N/A,FALSE,"Pulp";"Pulp Earnings",#N/A,FALSE,"Pulp"}</definedName>
    <definedName name="wrn.Pulp._2" localSheetId="10" hidden="1">{"Pulp Production",#N/A,FALSE,"Pulp";"Pulp Earnings",#N/A,FALSE,"Pulp"}</definedName>
    <definedName name="wrn.Pulp._2" hidden="1">{"Pulp Production",#N/A,FALSE,"Pulp";"Pulp Earnings",#N/A,FALSE,"Pulp"}</definedName>
    <definedName name="wrn.Pulp.2" localSheetId="10">{"Pulp Production",#N/A,FALSE,"Pulp";"Pulp Earnings",#N/A,FALSE,"Pulp"}</definedName>
    <definedName name="wrn.Pulp.2">{"Pulp Production",#N/A,FALSE,"Pulp";"Pulp Earnings",#N/A,FALSE,"Pulp"}</definedName>
    <definedName name="wrn.Pulp.2_1" localSheetId="10" hidden="1">{"Pulp Production",#N/A,FALSE,"Pulp";"Pulp Earnings",#N/A,FALSE,"Pulp"}</definedName>
    <definedName name="wrn.Pulp.2_1" hidden="1">{"Pulp Production",#N/A,FALSE,"Pulp";"Pulp Earnings",#N/A,FALSE,"Pulp"}</definedName>
    <definedName name="wrn.Pulp.2_1_1" localSheetId="10" hidden="1">{"Pulp Production",#N/A,FALSE,"Pulp";"Pulp Earnings",#N/A,FALSE,"Pulp"}</definedName>
    <definedName name="wrn.Pulp.2_1_1" hidden="1">{"Pulp Production",#N/A,FALSE,"Pulp";"Pulp Earnings",#N/A,FALSE,"Pulp"}</definedName>
    <definedName name="wrn.Pulp.2_2" localSheetId="10" hidden="1">{"Pulp Production",#N/A,FALSE,"Pulp";"Pulp Earnings",#N/A,FALSE,"Pulp"}</definedName>
    <definedName name="wrn.Pulp.2_2" hidden="1">{"Pulp Production",#N/A,FALSE,"Pulp";"Pulp Earnings",#N/A,FALSE,"Pulp"}</definedName>
    <definedName name="wrn.Pulp.3" localSheetId="10">{"Pulp Production",#N/A,FALSE,"Pulp";"Pulp Earnings",#N/A,FALSE,"Pulp"}</definedName>
    <definedName name="wrn.Pulp.3">{"Pulp Production",#N/A,FALSE,"Pulp";"Pulp Earnings",#N/A,FALSE,"Pulp"}</definedName>
    <definedName name="wrn.Pulp.3_1" localSheetId="10" hidden="1">{"Pulp Production",#N/A,FALSE,"Pulp";"Pulp Earnings",#N/A,FALSE,"Pulp"}</definedName>
    <definedName name="wrn.Pulp.3_1" hidden="1">{"Pulp Production",#N/A,FALSE,"Pulp";"Pulp Earnings",#N/A,FALSE,"Pulp"}</definedName>
    <definedName name="wrn.Pulp.3_1_1" localSheetId="10" hidden="1">{"Pulp Production",#N/A,FALSE,"Pulp";"Pulp Earnings",#N/A,FALSE,"Pulp"}</definedName>
    <definedName name="wrn.Pulp.3_1_1" hidden="1">{"Pulp Production",#N/A,FALSE,"Pulp";"Pulp Earnings",#N/A,FALSE,"Pulp"}</definedName>
    <definedName name="wrn.Pulp.3_2" localSheetId="10" hidden="1">{"Pulp Production",#N/A,FALSE,"Pulp";"Pulp Earnings",#N/A,FALSE,"Pulp"}</definedName>
    <definedName name="wrn.Pulp.3_2" hidden="1">{"Pulp Production",#N/A,FALSE,"Pulp";"Pulp Earnings",#N/A,FALSE,"Pulp"}</definedName>
    <definedName name="wrn.Pump." localSheetId="10" hidden="1">{#N/A,#N/A,FALSE,"Assump";#N/A,#N/A,FALSE,"Income";#N/A,#N/A,FALSE,"Balance";#N/A,#N/A,FALSE,"DCF Pump";#N/A,#N/A,FALSE,"Trans Assump";#N/A,#N/A,FALSE,"Combined Income";#N/A,#N/A,FALSE,"Combined Balance"}</definedName>
    <definedName name="wrn.Pump." localSheetId="15"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mp._1" localSheetId="10"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Q3._.Prof._.Serv._.Summary." localSheetId="10" hidden="1">{"Professional Service Summary",#N/A,FALSE,"Q3 Prof Serv"}</definedName>
    <definedName name="wrn.Q3._.Prof._.Serv._.Summary." localSheetId="15" hidden="1">{"Professional Service Summary",#N/A,FALSE,"Q3 Prof Serv"}</definedName>
    <definedName name="wrn.Q3._.Prof._.Serv._.Summary." hidden="1">{"Professional Service Summary",#N/A,FALSE,"Q3 Prof Serv"}</definedName>
    <definedName name="wrn.Q3._.Professional._.service._.detail." localSheetId="10" hidden="1">{"Professional Service Detail",#N/A,FALSE,"Q3 Prof Serv"}</definedName>
    <definedName name="wrn.Q3._.Professional._.service._.detail." localSheetId="15" hidden="1">{"Professional Service Detail",#N/A,FALSE,"Q3 Prof Serv"}</definedName>
    <definedName name="wrn.Q3._.Professional._.service._.detail." hidden="1">{"Professional Service Detail",#N/A,FALSE,"Q3 Prof Serv"}</definedName>
    <definedName name="wrn.QQ_Quick_Merge_3yr." localSheetId="10">{"Cover",#N/A,FALSE,"Cover";"trans_sum_print",#N/A,FALSE,"Transaction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10">{"Cover",#N/A,FALSE,"Cover";"trans_sum_print",#N/A,FALSE,"Transaction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10">{"Cover",#N/A,FALSE,"Cover";"trans_sum_print",#N/A,FALSE,"Transaction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10">{"Cover",#N/A,FALSE,"Cover";"trans_sum_print",#N/A,FALSE,"Transaction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10">{"Cover",#N/A,FALSE,"Cover";"trans_sum_print",#N/A,FALSE,"Transaction Summary";"earnings_impact_3yrQQ",#N/A,FALSE,"Earnings Impact";"accr_dil_3yr",#N/A,FALSE,"accretion dilution"}</definedName>
    <definedName name="wrn.QQQ_Quick_Merge_3yr.">{"Cover",#N/A,FALSE,"Cover";"trans_sum_print",#N/A,FALSE,"Transaction Summary";"earnings_impact_3yrQQ",#N/A,FALSE,"Earnings Impact";"accr_dil_3yr",#N/A,FALSE,"accretion dilution"}</definedName>
    <definedName name="wrn.QQQ_Quick_Merge_4yr." localSheetId="10">{"Cover",#N/A,FALSE,"Cover";"trans_sum_print",#N/A,FALSE,"Transaction Summary";"earnings_impact_4yrQQ",#N/A,FALSE,"Earnings Impact";"accr_dil_4yr",#N/A,FALSE,"accretion dilution"}</definedName>
    <definedName name="wrn.QQQ_Quick_Merge_4yr.">{"Cover",#N/A,FALSE,"Cover";"trans_sum_print",#N/A,FALSE,"Transaction Summary";"earnings_impact_4yrQQ",#N/A,FALSE,"Earnings Impact";"accr_dil_4yr",#N/A,FALSE,"accretion dilution"}</definedName>
    <definedName name="wrn.QQQ_Quick_Merge_5yr." localSheetId="10">{"Cover",#N/A,FALSE,"Cover";"trans_sum_print",#N/A,FALSE,"Transaction Summary";"earnings_impact_5yrQQ",#N/A,FALSE,"Earnings Impact";"accr_dil_5yr",#N/A,FALSE,"accretion dilution"}</definedName>
    <definedName name="wrn.QQQ_Quick_Merge_5yr.">{"Cover",#N/A,FALSE,"Cover";"trans_sum_print",#N/A,FALSE,"Transaction Summary";"earnings_impact_5yrQQ",#N/A,FALSE,"Earnings Impact";"accr_dil_5yr",#N/A,FALSE,"accretion dilution"}</definedName>
    <definedName name="wrn.QQQ_Quick_Merge_6yr." localSheetId="10">{"Cover",#N/A,FALSE,"Cover";"trans_sum_print",#N/A,FALSE,"Transaction Summary";"earnings_impact_6yrQQ",#N/A,FALSE,"Earnings Impact";"accr_dil_6yr",#N/A,FALSE,"accretion dilution"}</definedName>
    <definedName name="wrn.QQQ_Quick_Merge_6yr.">{"Cover",#N/A,FALSE,"Cover";"trans_sum_print",#N/A,FALSE,"Transaction Summary";"earnings_impact_6yrQQ",#N/A,FALSE,"Earnings Impact";"accr_dil_6yr",#N/A,FALSE,"accretion dilution"}</definedName>
    <definedName name="wrn.QTD." localSheetId="10" hidden="1">{"QTD",#N/A,FALSE,"SUM"}</definedName>
    <definedName name="wrn.QTD." hidden="1">{"QTD",#N/A,FALSE,"SUM"}</definedName>
    <definedName name="wrn.QTD_ALL." localSheetId="10"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10" hidden="1">{"QTD_GENERALH2",#N/A,FALSE,"QTD"}</definedName>
    <definedName name="wrn.QTD_GENERAL._.H2." hidden="1">{"QTD_GENERALH2",#N/A,FALSE,"QTD"}</definedName>
    <definedName name="wrn.QTD_HYCO." localSheetId="10" hidden="1">{"QTD_HYCO",#N/A,FALSE,"QTD"}</definedName>
    <definedName name="wrn.QTD_HYCO." hidden="1">{"QTD_HYCO",#N/A,FALSE,"QTD"}</definedName>
    <definedName name="wrn.QTD_LOUISIANA." localSheetId="10" hidden="1">{"QTD_LOUISIANA",#N/A,FALSE,"QTD"}</definedName>
    <definedName name="wrn.QTD_LOUISIANA." hidden="1">{"QTD_LOUISIANA",#N/A,FALSE,"QTD"}</definedName>
    <definedName name="wrn.QTD_LPTEO2N2." localSheetId="10" hidden="1">{"QTD_LPO2N2",#N/A,FALSE,"QTD"}</definedName>
    <definedName name="wrn.QTD_LPTEO2N2." hidden="1">{"QTD_LPO2N2",#N/A,FALSE,"QTD"}</definedName>
    <definedName name="wrn.QTD_OTHER." localSheetId="10" hidden="1">{"QTD_OTHER",#N/A,FALSE,"QTD"}</definedName>
    <definedName name="wrn.QTD_OTHER." hidden="1">{"QTD_OTHER",#N/A,FALSE,"QTD"}</definedName>
    <definedName name="wrn.QTD_PACKAGE." localSheetId="10" hidden="1">{"QTD_PACKAGE",#N/A,FALSE,"QTD"}</definedName>
    <definedName name="wrn.QTD_PACKAGE." hidden="1">{"QTD_PACKAGE",#N/A,FALSE,"QTD"}</definedName>
    <definedName name="wrn.QTD_PRS." localSheetId="10" hidden="1">{"QTD_PRS",#N/A,FALSE,"QTD"}</definedName>
    <definedName name="wrn.QTD_PRS." hidden="1">{"QTD_PRS",#N/A,FALSE,"QTD"}</definedName>
    <definedName name="wrn.QTRLY." localSheetId="10" hidden="1">{"QTRLY1999",#N/A,FALSE,"QTRLY";"QTRLY2000",#N/A,FALSE,"QTRLY";"QTRLY2001",#N/A,FALSE,"QTRLY"}</definedName>
    <definedName name="wrn.QTRLY." localSheetId="15" hidden="1">{"QTRLY1999",#N/A,FALSE,"QTRLY";"QTRLY2000",#N/A,FALSE,"QTRLY";"QTRLY2001",#N/A,FALSE,"QTRLY"}</definedName>
    <definedName name="wrn.QTRLY." hidden="1">{"QTRLY1999",#N/A,FALSE,"QTRLY";"QTRLY2000",#N/A,FALSE,"QTRLY";"QTRLY2001",#N/A,FALSE,"QTRLY"}</definedName>
    <definedName name="wrn.Quarter._.Reports._.only." localSheetId="10">{#N/A,#N/A,FALSE,"Quarterly Side by Side AT&amp;H";#N/A,#N/A,FALSE,"Quarterly Side by Side AT"}</definedName>
    <definedName name="wrn.Quarter._.Reports._.only.">{#N/A,#N/A,FALSE,"Quarterly Side by Side AT&amp;H";#N/A,#N/A,FALSE,"Quarterly Side by Side AT"}</definedName>
    <definedName name="wrn.QUARTERLY." localSheetId="10"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 localSheetId="15"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_.All._.Stmts." localSheetId="10" hidden="1">{"Quarterly Inc Stmt",#N/A,TRUE,"Financials";"Quarterly BS",#N/A,TRUE,"Financials";"Quarterly CF",#N/A,TRUE,"Financials";"Quarterly Ratios",#N/A,TRUE,"Financials"}</definedName>
    <definedName name="wrn.Quarterly._.All._.Stmts." localSheetId="15" hidden="1">{"Quarterly Inc Stmt",#N/A,TRUE,"Financials";"Quarterly BS",#N/A,TRUE,"Financials";"Quarterly CF",#N/A,TRUE,"Financials";"Quarterly Ratios",#N/A,TRUE,"Financials"}</definedName>
    <definedName name="wrn.Quarterly._.All._.Stmts." hidden="1">{"Quarterly Inc Stmt",#N/A,TRUE,"Financials";"Quarterly BS",#N/A,TRUE,"Financials";"Quarterly CF",#N/A,TRUE,"Financials";"Quarterly Ratios",#N/A,TRUE,"Financials"}</definedName>
    <definedName name="wrn.Quarterly._.All._.Stmts._1" localSheetId="10" hidden="1">{"Quarterly Inc Stmt",#N/A,TRUE,"Financials";"Quarterly BS",#N/A,TRUE,"Financials";"Quarterly CF",#N/A,TRUE,"Financials";"Quarterly Ratios",#N/A,TRUE,"Financials"}</definedName>
    <definedName name="wrn.Quarterly._.All._.Stmts._1" localSheetId="15" hidden="1">{"Quarterly Inc Stmt",#N/A,TRUE,"Financials";"Quarterly BS",#N/A,TRUE,"Financials";"Quarterly CF",#N/A,TRUE,"Financials";"Quarterly Ratios",#N/A,TRUE,"Financials"}</definedName>
    <definedName name="wrn.Quarterly._.All._.Stmts._1" hidden="1">{"Quarterly Inc Stmt",#N/A,TRUE,"Financials";"Quarterly BS",#N/A,TRUE,"Financials";"Quarterly CF",#N/A,TRUE,"Financials";"Quarterly Ratios",#N/A,TRUE,"Financials"}</definedName>
    <definedName name="wrn.Quarterly._.BS." localSheetId="10" hidden="1">{"Quarterly BS",#N/A,FALSE,"Financials"}</definedName>
    <definedName name="wrn.Quarterly._.BS." localSheetId="15" hidden="1">{"Quarterly BS",#N/A,FALSE,"Financials"}</definedName>
    <definedName name="wrn.Quarterly._.BS." hidden="1">{"Quarterly BS",#N/A,FALSE,"Financials"}</definedName>
    <definedName name="wrn.Quarterly._.BS._1" localSheetId="10" hidden="1">{"Quarterly BS",#N/A,FALSE,"Financials"}</definedName>
    <definedName name="wrn.Quarterly._.BS._1" localSheetId="15" hidden="1">{"Quarterly BS",#N/A,FALSE,"Financials"}</definedName>
    <definedName name="wrn.Quarterly._.BS._1" hidden="1">{"Quarterly BS",#N/A,FALSE,"Financials"}</definedName>
    <definedName name="wrn.Quarterly._.CF." localSheetId="10" hidden="1">{"Quarterly CF",#N/A,FALSE,"Financials"}</definedName>
    <definedName name="wrn.Quarterly._.CF." localSheetId="15" hidden="1">{"Quarterly CF",#N/A,FALSE,"Financials"}</definedName>
    <definedName name="wrn.Quarterly._.CF." hidden="1">{"Quarterly CF",#N/A,FALSE,"Financials"}</definedName>
    <definedName name="wrn.Quarterly._.CF._1" localSheetId="10" hidden="1">{"Quarterly CF",#N/A,FALSE,"Financials"}</definedName>
    <definedName name="wrn.Quarterly._.CF._1" localSheetId="15" hidden="1">{"Quarterly CF",#N/A,FALSE,"Financials"}</definedName>
    <definedName name="wrn.Quarterly._.CF._1" hidden="1">{"Quarterly CF",#N/A,FALSE,"Financials"}</definedName>
    <definedName name="wrn.Quarterly._.Inc._.Stmt." localSheetId="10" hidden="1">{"Quarterly Inc Stmt",#N/A,FALSE,"Financials"}</definedName>
    <definedName name="wrn.Quarterly._.Inc._.Stmt." localSheetId="15" hidden="1">{"Quarterly Inc Stmt",#N/A,FALSE,"Financials"}</definedName>
    <definedName name="wrn.Quarterly._.Inc._.Stmt." hidden="1">{"Quarterly Inc Stmt",#N/A,FALSE,"Financials"}</definedName>
    <definedName name="wrn.Quarterly._.Inc._.Stmt._1" localSheetId="10" hidden="1">{"Quarterly Inc Stmt",#N/A,FALSE,"Financials"}</definedName>
    <definedName name="wrn.Quarterly._.Inc._.Stmt._1" localSheetId="15" hidden="1">{"Quarterly Inc Stmt",#N/A,FALSE,"Financials"}</definedName>
    <definedName name="wrn.Quarterly._.Inc._.Stmt._1" hidden="1">{"Quarterly Inc Stmt",#N/A,FALSE,"Financials"}</definedName>
    <definedName name="wrn.Quarterly._.MIFA._.Sheets."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1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Ratios." localSheetId="10" hidden="1">{"Quarterly Ratios",#N/A,FALSE,"Financials"}</definedName>
    <definedName name="wrn.Quarterly._.Ratios." localSheetId="15" hidden="1">{"Quarterly Ratios",#N/A,FALSE,"Financials"}</definedName>
    <definedName name="wrn.Quarterly._.Ratios." hidden="1">{"Quarterly Ratios",#N/A,FALSE,"Financials"}</definedName>
    <definedName name="wrn.Quarterly._.Ratios._1" localSheetId="10" hidden="1">{"Quarterly Ratios",#N/A,FALSE,"Financials"}</definedName>
    <definedName name="wrn.Quarterly._.Ratios._1" localSheetId="15" hidden="1">{"Quarterly Ratios",#N/A,FALSE,"Financials"}</definedName>
    <definedName name="wrn.Quarterly._.Ratios._1" hidden="1">{"Quarterly Ratios",#N/A,FALSE,"Financials"}</definedName>
    <definedName name="wrn.Quarterlys." localSheetId="10">{#N/A,#N/A,TRUE,"Qrt BCG";#N/A,#N/A,TRUE,"Qrt w|o Wireless";#N/A,#N/A,TRUE,"Qrt Wireless"}</definedName>
    <definedName name="wrn.Quarterlys.">{#N/A,#N/A,TRUE,"Qrt BCG";#N/A,#N/A,TRUE,"Qrt w|o Wireless";#N/A,#N/A,TRUE,"Qrt Wireless"}</definedName>
    <definedName name="wrn.Quarters." localSheetId="10"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ers." localSheetId="15"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ARTFRP." localSheetId="10"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ARTFRP._1" localSheetId="10" hidden="1">{#N/A,#N/A,FALSE,"Title";#N/A,#N/A,FALSE,"Index";#N/A,#N/A,FALSE,"1";#N/A,#N/A,FALSE,"2";#N/A,#N/A,FALSE,"3";#N/A,#N/A,FALSE,"4";#N/A,#N/A,FALSE,"5";#N/A,#N/A,FALSE,"5A";#N/A,#N/A,FALSE,"6";#N/A,#N/A,FALSE,"7";#N/A,#N/A,FALSE,"8"}</definedName>
    <definedName name="wrn.QUARTFRP._1" hidden="1">{#N/A,#N/A,FALSE,"Title";#N/A,#N/A,FALSE,"Index";#N/A,#N/A,FALSE,"1";#N/A,#N/A,FALSE,"2";#N/A,#N/A,FALSE,"3";#N/A,#N/A,FALSE,"4";#N/A,#N/A,FALSE,"5";#N/A,#N/A,FALSE,"5A";#N/A,#N/A,FALSE,"6";#N/A,#N/A,FALSE,"7";#N/A,#N/A,FALSE,"8"}</definedName>
    <definedName name="wrn.Quick_Merge_3yr." localSheetId="10">{"Cover",#N/A,FALSE,"Cover";"trans_sum_debt",#N/A,FALSE,"Transaction_Sum_debt_Stats";"earnings_impact_3yr",#N/A,FALSE,"Earnings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10">{"Cover",#N/A,FALSE,"Cover";"trans_sum_debt",#N/A,FALSE,"Transaction_Sum_debt_Stats";"earnings_impact_4yr",#N/A,FALSE,"Earnings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10">{"Cover",#N/A,FALSE,"Cover";"trans_sum_debt",#N/A,FALSE,"Transaction_Sum_debt_Stats";"earnings_impact_5yr",#N/A,FALSE,"Earnings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10">{"Cover",#N/A,FALSE,"Cover";"trans_sum_debt",#N/A,FALSE,"Transaction_Sum_debt_Stats";"earnings_impact_6yr",#N/A,FALSE,"Earnings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nge._.Values." localSheetId="10"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tios." localSheetId="10" hidden="1">{"Ratios",#N/A,FALSE,"Ratios"}</definedName>
    <definedName name="wrn.Ratios." localSheetId="15" hidden="1">{"Ratios",#N/A,FALSE,"Ratios"}</definedName>
    <definedName name="wrn.Ratios." hidden="1">{"Ratios",#N/A,FALSE,"Ratios"}</definedName>
    <definedName name="wrn.rcedule." localSheetId="10" hidden="1">{"vcedule",#N/A,FALSE,"Budget-flex"}</definedName>
    <definedName name="wrn.rcedule." hidden="1">{"vcedule",#N/A,FALSE,"Budget-flex"}</definedName>
    <definedName name="wrn.rcoutest." localSheetId="10" hidden="1">{"vcoutest",#N/A,FALSE,"Sommaire"}</definedName>
    <definedName name="wrn.rcoutest." hidden="1">{"vcoutest",#N/A,FALSE,"Sommaire"}</definedName>
    <definedName name="wrn.rcoutveh." localSheetId="10" hidden="1">{"vcoutveh",#N/A,FALSE,"Ctveh"}</definedName>
    <definedName name="wrn.rcoutveh." hidden="1">{"vcoutveh",#N/A,FALSE,"Ctveh"}</definedName>
    <definedName name="wrn.rdetflex." localSheetId="10" hidden="1">{"vdetctflex",#N/A,FALSE,"Budget-flex"}</definedName>
    <definedName name="wrn.rdetflex." hidden="1">{"vdetctflex",#N/A,FALSE,"Budget-flex"}</definedName>
    <definedName name="wrn.reagan." localSheetId="10" hidden="1">{"reagan is",#N/A,FALSE,"CONS IS";"reagan na",#N/A,FALSE,"NOTE PAYMENTS";"reagan bs",#N/A,FALSE,"CONS BS";"reagan cf",#N/A,FALSE,"CONS BS";"reagan ds",#N/A,FALSE,"CONS BS"}</definedName>
    <definedName name="wrn.reagan." hidden="1">{"reagan is",#N/A,FALSE,"CONS IS";"reagan na",#N/A,FALSE,"NOTE PAYMENTS";"reagan bs",#N/A,FALSE,"CONS BS";"reagan cf",#N/A,FALSE,"CONS BS";"reagan ds",#N/A,FALSE,"CONS BS"}</definedName>
    <definedName name="wrn.recap." localSheetId="10" hidden="1">{#N/A,#N/A,FALSE,"CLOT.";#N/A,#N/A,FALSE,"RECAP.";#N/A,#N/A,FALSE,"DP";#N/A,#N/A,FALSE,"DG";#N/A,#N/A,FALSE,"FC";#N/A,#N/A,FALSE,"CB";#N/A,#N/A,FALSE,"XL";#N/A,#N/A,FALSE,"FB";#N/A,#N/A,FALSE,"SB";#N/A,#N/A,FALSE,"CE"}</definedName>
    <definedName name="wrn.recap." localSheetId="15" hidden="1">{#N/A,#N/A,FALSE,"CLOT.";#N/A,#N/A,FALSE,"RECAP.";#N/A,#N/A,FALSE,"DP";#N/A,#N/A,FALSE,"DG";#N/A,#N/A,FALSE,"FC";#N/A,#N/A,FALSE,"CB";#N/A,#N/A,FALSE,"XL";#N/A,#N/A,FALSE,"FB";#N/A,#N/A,FALSE,"SB";#N/A,#N/A,FALSE,"CE"}</definedName>
    <definedName name="wrn.recap." hidden="1">{#N/A,#N/A,FALSE,"CLOT.";#N/A,#N/A,FALSE,"RECAP.";#N/A,#N/A,FALSE,"DP";#N/A,#N/A,FALSE,"DG";#N/A,#N/A,FALSE,"FC";#N/A,#N/A,FALSE,"CB";#N/A,#N/A,FALSE,"XL";#N/A,#N/A,FALSE,"FB";#N/A,#N/A,FALSE,"SB";#N/A,#N/A,FALSE,"CE"}</definedName>
    <definedName name="wrn.RECEIVABLES." localSheetId="10"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NCILIATION." localSheetId="10" hidden="1">{#N/A,#N/A,TRUE,"RECTOTALBOEING";#N/A,#N/A,TRUE,"REC747802-1101";#N/A,#N/A,TRUE,"REC7471102-1201";#N/A,#N/A,TRUE,"REC757301-600";#N/A,#N/A,TRUE,"REC757601-800";#N/A,#N/A,TRUE,"REC767301-600";#N/A,#N/A,TRUE,"REC767601-700"}</definedName>
    <definedName name="wrn.RECONCILIATION." localSheetId="15" hidden="1">{#N/A,#N/A,TRUE,"RECTOTALBOEING";#N/A,#N/A,TRUE,"REC747802-1101";#N/A,#N/A,TRUE,"REC7471102-1201";#N/A,#N/A,TRUE,"REC757301-600";#N/A,#N/A,TRUE,"REC757601-800";#N/A,#N/A,TRUE,"REC767301-600";#N/A,#N/A,TRUE,"REC767601-700"}</definedName>
    <definedName name="wrn.RECONCILIATION." hidden="1">{#N/A,#N/A,TRUE,"RECTOTALBOEING";#N/A,#N/A,TRUE,"REC747802-1101";#N/A,#N/A,TRUE,"REC7471102-1201";#N/A,#N/A,TRUE,"REC757301-600";#N/A,#N/A,TRUE,"REC757601-800";#N/A,#N/A,TRUE,"REC767301-600";#N/A,#N/A,TRUE,"REC767601-700"}</definedName>
    <definedName name="wrn.Recovery." localSheetId="10" hidden="1">{#N/A,#N/A,FALSE,"COVER";#N/A,#N/A,FALSE,"Index";#N/A,#N/A,FALSE,"Summ_Products_Rec.97-98";#N/A,#N/A,FALSE,"QTR_Comp.";#N/A,#N/A,FALSE,"Summ_Detail_Rec.97-98";#N/A,#N/A,FALSE,"Summ_Agencies_Rec.97-98"}</definedName>
    <definedName name="wrn.Recovery." localSheetId="15"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10"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o." localSheetId="10"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10"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forcast._.Print." localSheetId="10">{#N/A,#N/A,FALSE,"RF Inc Stmt";#N/A,#N/A,FALSE,"RF-IS-1";#N/A,#N/A,FALSE,"RF-IS-2"}</definedName>
    <definedName name="wrn.Reforcast._.Print.">{#N/A,#N/A,FALSE,"RF Inc Stmt";#N/A,#N/A,FALSE,"RF-IS-1";#N/A,#N/A,FALSE,"RF-IS-2"}</definedName>
    <definedName name="wrn.Reforecast." localSheetId="10">{#N/A,#N/A,FALSE,"Assumptions";#N/A,#N/A,FALSE,"Reforecast";#N/A,#N/A,FALSE,"Inc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_.Detail." localSheetId="10" hidden="1">{"Region Detail",#N/A,FALSE,"From Jan 98 Actual [Rev]"}</definedName>
    <definedName name="wrn.Region._.Detail." hidden="1">{"Region Detail",#N/A,FALSE,"From Jan 98 Actual [Rev]"}</definedName>
    <definedName name="wrn.Region._.Summary." localSheetId="10" hidden="1">{"Region Summary",#N/A,FALSE,"From Jan 98 Actual [Rev]"}</definedName>
    <definedName name="wrn.Region._.Summary." hidden="1">{"Region Summary",#N/A,FALSE,"From Jan 98 Actual [Rev]"}</definedName>
    <definedName name="wrn.Region_25." localSheetId="10" hidden="1">{#N/A,#N/A,FALSE,"0026-25";#N/A,#N/A,FALSE,"0244-25";#N/A,#N/A,FALSE,"0249-25";#N/A,#N/A,FALSE,"0353-25";#N/A,#N/A,FALSE,"0491-25";#N/A,#N/A,FALSE,"0492-25";#N/A,#N/A,FALSE,"0988-25";#N/A,#N/A,FALSE,"1454-25";#N/A,#N/A,FALSE,"1460-25";#N/A,#N/A,FALSE,"1564-25"}</definedName>
    <definedName name="wrn.Region_25." hidden="1">{#N/A,#N/A,FALSE,"0026-25";#N/A,#N/A,FALSE,"0244-25";#N/A,#N/A,FALSE,"0249-25";#N/A,#N/A,FALSE,"0353-25";#N/A,#N/A,FALSE,"0491-25";#N/A,#N/A,FALSE,"0492-25";#N/A,#N/A,FALSE,"0988-25";#N/A,#N/A,FALSE,"1454-25";#N/A,#N/A,FALSE,"1460-25";#N/A,#N/A,FALSE,"1564-25"}</definedName>
    <definedName name="wrn.Regions._.Bank." localSheetId="10">{#N/A,#N/A,FALSE,"Cover_Page";#N/A,#N/A,FALSE,"Balance Sheet FY12";#N/A,#N/A,FALSE,"Consolidated-Cash Flow";#N/A,#N/A,FALSE,"CY_Per Inc FY12"}</definedName>
    <definedName name="wrn.Regions._.Bank.">{#N/A,#N/A,FALSE,"Cover_Page";#N/A,#N/A,FALSE,"Balance Sheet FY12";#N/A,#N/A,FALSE,"Consolidated-Cash Flow";#N/A,#N/A,FALSE,"CY_Per Inc FY12"}</definedName>
    <definedName name="wrn.Relevant." localSheetId="10" hidden="1">{#N/A,#N/A,FALSE,"Title Page";#N/A,#N/A,FALSE,"Conclusions";#N/A,#N/A,FALSE,"Assum.";#N/A,#N/A,FALSE,"Sun  DCF-WC-Dep";#N/A,#N/A,FALSE,"MarketValue";#N/A,#N/A,FALSE,"BalSheet";#N/A,#N/A,FALSE,"WACC";#N/A,#N/A,FALSE,"PC+ Info.";#N/A,#N/A,FALSE,"PC+Info_2"}</definedName>
    <definedName name="wrn.Relevant.">#REF!</definedName>
    <definedName name="wrn.Relevant1." localSheetId="10" hidden="1">{#N/A,#N/A,FALSE,"Title Page";#N/A,#N/A,FALSE,"Conclusions";#N/A,#N/A,FALSE,"Assum.";#N/A,#N/A,FALSE,"Sun  DCF-WC-Dep";#N/A,#N/A,FALSE,"MarketValue";#N/A,#N/A,FALSE,"BalSheet";#N/A,#N/A,FALSE,"WACC";#N/A,#N/A,FALSE,"PC+ Info.";#N/A,#N/A,FALSE,"PC+Info_2"}</definedName>
    <definedName name="wrn.Relevant1.">#REF!</definedName>
    <definedName name="wrn.RELEVANTSHEETS." localSheetId="10" hidden="1">{#N/A,#N/A,FALSE,"AD_Purch";#N/A,#N/A,FALSE,"Projections";#N/A,#N/A,FALSE,"DCF";#N/A,#N/A,FALSE,"Mkt Val"}</definedName>
    <definedName name="wrn.RELEVANTSHEETS." localSheetId="15" hidden="1">{#N/A,#N/A,FALSE,"AD_Purch";#N/A,#N/A,FALSE,"Projections";#N/A,#N/A,FALSE,"DCF";#N/A,#N/A,FALSE,"Mkt Val"}</definedName>
    <definedName name="wrn.RELEVANTSHEETS." hidden="1">{#N/A,#N/A,FALSE,"AD_Purch";#N/A,#N/A,FALSE,"Projections";#N/A,#N/A,FALSE,"DCF";#N/A,#N/A,FALSE,"Mkt Val"}</definedName>
    <definedName name="wrn.RELEVANTSHEETS._1" localSheetId="10" hidden="1">{#N/A,#N/A,FALSE,"AD_Purch";#N/A,#N/A,FALSE,"Projections";#N/A,#N/A,FALSE,"DCF";#N/A,#N/A,FALSE,"Mkt Val"}</definedName>
    <definedName name="wrn.RELEVANTSHEETS._1" hidden="1">{#N/A,#N/A,FALSE,"AD_Purch";#N/A,#N/A,FALSE,"Projections";#N/A,#N/A,FALSE,"DCF";#N/A,#N/A,FALSE,"Mkt Val"}</definedName>
    <definedName name="wrn.Remittance._.test." localSheetId="10" hidden="1">{#N/A,#N/A,FALSE,"ARRemitTest"}</definedName>
    <definedName name="wrn.Remittance._.test." hidden="1">{#N/A,#N/A,FALSE,"ARRemitTest"}</definedName>
    <definedName name="wrn.Renewal." localSheetId="10">#REF!</definedName>
    <definedName name="wrn.Renewal.">#REF!</definedName>
    <definedName name="wrn.Renewal._.Justification." localSheetId="10">#REF!</definedName>
    <definedName name="wrn.Renewal._.Justification.">#REF!</definedName>
    <definedName name="wrn.Renewal._.Presentation." localSheetId="10">#REF!</definedName>
    <definedName name="wrn.Renewal._.Presentation.">#REF!</definedName>
    <definedName name="wrn.rep_page." localSheetId="10" hidden="1">{"Annual_Income",#N/A,FALSE,"Report Page";"Balance_Cash_Flow",#N/A,FALSE,"Report Page";"Quarterly_Income",#N/A,FALSE,"Report Page"}</definedName>
    <definedName name="wrn.rep_page." localSheetId="15"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{#N/A,#N/A,FALSE,"COVER";#N/A,#N/A,FALSE,"RATIOS";#N/A,#N/A,FALSE,"LEVERAGE";#N/A,#N/A,FALSE,"TIER-1";#N/A,#N/A,FALSE,"RISK BASED ASSETS";#N/A,#N/A,FALSE,"TIER-2"}</definedName>
    <definedName name="wrn.REPORT." localSheetId="15" hidden="1">{#N/A,#N/A,FALSE,"COVER";#N/A,#N/A,FALSE,"RATIOS";#N/A,#N/A,FALSE,"LEVERAGE";#N/A,#N/A,FALSE,"TIER-1";#N/A,#N/A,FALSE,"RISK BASED ASSETS";#N/A,#N/A,FALSE,"TIER-2"}</definedName>
    <definedName name="wrn.REPORT." hidden="1">{#N/A,#N/A,FALSE,"COVER";#N/A,#N/A,FALSE,"RATIOS";#N/A,#N/A,FALSE,"LEVERAGE";#N/A,#N/A,FALSE,"TIER-1";#N/A,#N/A,FALSE,"RISK BASED ASSETS";#N/A,#N/A,FALSE,"TIER-2"}</definedName>
    <definedName name="wrn.Report._.2." localSheetId="10" hidden="1">{#N/A,#N/A,TRUE,"Pivots-Employee";#N/A,"Scenerio2",TRUE,"Assumptions Summary"}</definedName>
    <definedName name="wrn.Report._.2." localSheetId="15" hidden="1">{#N/A,#N/A,TRUE,"Pivots-Employee";#N/A,"Scenerio2",TRUE,"Assumptions Summary"}</definedName>
    <definedName name="wrn.Report._.2." hidden="1">{#N/A,#N/A,TRUE,"Pivots-Employee";#N/A,"Scenerio2",TRUE,"Assumptions Summary"}</definedName>
    <definedName name="wrn.REPORT._.C." localSheetId="10" hidden="1">{#N/A,#N/A,TRUE,"Sch-5a";#N/A,#N/A,TRUE,"Sch-5b";#N/A,#N/A,TRUE,"Sch-5c";#N/A,#N/A,TRUE,"Sch-5d";#N/A,#N/A,TRUE,"Sch-6a";#N/A,#N/A,TRUE,"Sch-6b";#N/A,#N/A,TRUE,"Sch-6c";#N/A,#N/A,TRUE,"Sch-6d";#N/A,#N/A,TRUE,"Sch-6e"}</definedName>
    <definedName name="wrn.REPORT._.C." hidden="1">{#N/A,#N/A,TRUE,"Sch-5a";#N/A,#N/A,TRUE,"Sch-5b";#N/A,#N/A,TRUE,"Sch-5c";#N/A,#N/A,TRUE,"Sch-5d";#N/A,#N/A,TRUE,"Sch-6a";#N/A,#N/A,TRUE,"Sch-6b";#N/A,#N/A,TRUE,"Sch-6c";#N/A,#N/A,TRUE,"Sch-6d";#N/A,#N/A,TRUE,"Sch-6e"}</definedName>
    <definedName name="wrn.Report._.Detail." localSheetId="1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Mfg.." localSheetId="10"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schedules." localSheetId="10" hidden="1">{#N/A,#N/A,FALSE,"income - tax return format";#N/A,#N/A,FALSE,"balance sheets";#N/A,#N/A,FALSE,"historical financial analysis";#N/A,#N/A,FALSE,"FMV per share";#N/A,#N/A,FALSE,"cap'd DFCF";#N/A,#N/A,FALSE,"wacc (build-up)";#N/A,#N/A,FALSE,"non-operating items";#N/A,#N/A,FALSE,"pv of deferred comp"}</definedName>
    <definedName name="wrn.report._.schedules." localSheetId="15" hidden="1">{#N/A,#N/A,FALSE,"income - tax return format";#N/A,#N/A,FALSE,"balance sheets";#N/A,#N/A,FALSE,"historical financial analysis";#N/A,#N/A,FALSE,"FMV per share";#N/A,#N/A,FALSE,"cap'd DFCF";#N/A,#N/A,FALSE,"wacc (build-up)";#N/A,#N/A,FALSE,"non-operating items";#N/A,#N/A,FALSE,"pv of deferred comp"}</definedName>
    <definedName name="wrn.report._.schedules." hidden="1">{#N/A,#N/A,FALSE,"income - tax return format";#N/A,#N/A,FALSE,"balance sheets";#N/A,#N/A,FALSE,"historical financial analysis";#N/A,#N/A,FALSE,"FMV per share";#N/A,#N/A,FALSE,"cap'd DFCF";#N/A,#N/A,FALSE,"wacc (build-up)";#N/A,#N/A,FALSE,"non-operating items";#N/A,#N/A,FALSE,"pv of deferred comp"}</definedName>
    <definedName name="wrn.report._.set._.with._.311." localSheetId="10" hidden="1">{"summary report",#N/A,FALSE,"SUMMARY REPORT";"salary model ytd",#N/A,FALSE,"SALARY MODEL - YTD";"salary model mtd",#N/A,FALSE,"SALARY MODEL - MTD";"detail 311",#N/A,FALSE,"311 ACTUAL"}</definedName>
    <definedName name="wrn.report._.set._.with._.311." localSheetId="15" hidden="1">{"summary report",#N/A,FALSE,"SUMMARY REPORT";"salary model ytd",#N/A,FALSE,"SALARY MODEL - YTD";"salary model mtd",#N/A,FALSE,"SALARY MODEL - MTD";"detail 311",#N/A,FALSE,"311 ACTUAL"}</definedName>
    <definedName name="wrn.report._.set._.with._.311." hidden="1">{"summary report",#N/A,FALSE,"SUMMARY REPORT";"salary model ytd",#N/A,FALSE,"SALARY MODEL - YTD";"salary model mtd",#N/A,FALSE,"SALARY MODEL - MTD";"detail 311",#N/A,FALSE,"311 ACTUAL"}</definedName>
    <definedName name="wrn.report._.set._.without._.311." localSheetId="10" hidden="1">{"summary report",#N/A,FALSE,"SUMMARY REPORT";"salary model ytd",#N/A,FALSE,"SALARY MODEL - YTD";"salary model mtd",#N/A,FALSE,"SALARY MODEL - MTD"}</definedName>
    <definedName name="wrn.report._.set._.without._.311." localSheetId="15" hidden="1">{"summary report",#N/A,FALSE,"SUMMARY REPORT";"salary model ytd",#N/A,FALSE,"SALARY MODEL - YTD";"salary model mtd",#N/A,FALSE,"SALARY MODEL - MTD"}</definedName>
    <definedName name="wrn.report._.set._.without._.311." hidden="1">{"summary report",#N/A,FALSE,"SUMMARY REPORT";"salary model ytd",#N/A,FALSE,"SALARY MODEL - YTD";"salary model mtd",#N/A,FALSE,"SALARY MODEL - MTD"}</definedName>
    <definedName name="wrn.Report._.Test." localSheetId="1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1" localSheetId="10" hidden="1">{#N/A,#N/A,FALSE,"ESI";#N/A,#N/A,FALSE,"LTI";#N/A,#N/A,FALSE,"PE";#N/A,#N/A,FALSE,"PI";#N/A,#N/A,FALSE,"OI";#N/A,#N/A,FALSE,"AT";#N/A,#N/A,FALSE,"CAN"}</definedName>
    <definedName name="wrn.Report._1" hidden="1">{#N/A,#N/A,FALSE,"ESI";#N/A,#N/A,FALSE,"LTI";#N/A,#N/A,FALSE,"PE";#N/A,#N/A,FALSE,"PI";#N/A,#N/A,FALSE,"OI";#N/A,#N/A,FALSE,"AT";#N/A,#N/A,FALSE,"CAN"}</definedName>
    <definedName name="wrn.Report._1_1" localSheetId="10"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1_1"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2" localSheetId="10"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_2"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xls." localSheetId="10"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Page." localSheetId="10" hidden="1">{"Annual_Income",#N/A,FALSE,"Report Page";"Balance_Cash_Flow",#N/A,FALSE,"Report Page";"Quarterly_Income",#N/A,FALSE,"Report Page"}</definedName>
    <definedName name="wrn.Report_Page." localSheetId="15"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schedules." localSheetId="10" hidden="1">{"FMV per share",#N/A,FALSE,"FMV per share";#N/A,#N/A,FALSE,"non-operating items"}</definedName>
    <definedName name="wrn.report_schedules." localSheetId="15" hidden="1">{"FMV per share",#N/A,FALSE,"FMV per share";#N/A,#N/A,FALSE,"non-operating items"}</definedName>
    <definedName name="wrn.report_schedules." hidden="1">{"FMV per share",#N/A,FALSE,"FMV per share";#N/A,#N/A,FALSE,"non-operating items"}</definedName>
    <definedName name="wrn.Report1." localSheetId="10" hidden="1">{#N/A,#N/A,FALSE,"IS";#N/A,#N/A,FALSE,"BS";#N/A,#N/A,FALSE,"CF";#N/A,#N/A,FALSE,"CE";#N/A,#N/A,FALSE,"Depr";#N/A,#N/A,FALSE,"APAL"}</definedName>
    <definedName name="wrn.Report1." localSheetId="15" hidden="1">{#N/A,#N/A,FALSE,"IS";#N/A,#N/A,FALSE,"BS";#N/A,#N/A,FALSE,"CF";#N/A,#N/A,FALSE,"CE";#N/A,#N/A,FALSE,"Depr";#N/A,#N/A,FALSE,"APAL"}</definedName>
    <definedName name="wrn.Report1." hidden="1">{#N/A,#N/A,FALSE,"IS";#N/A,#N/A,FALSE,"BS";#N/A,#N/A,FALSE,"CF";#N/A,#N/A,FALSE,"CE";#N/A,#N/A,FALSE,"Depr";#N/A,#N/A,FALSE,"APAL"}</definedName>
    <definedName name="wrn.Report1._1" localSheetId="10" hidden="1">{#N/A,#N/A,FALSE,"July 95";#N/A,#N/A,FALSE,"Aug 95";#N/A,#N/A,FALSE,"Sep 95";#N/A,#N/A,FALSE,"October 95";#N/A,#N/A,FALSE,"November 95";#N/A,#N/A,FALSE,"December 95";#N/A,#N/A,FALSE,"February 96";#N/A,#N/A,FALSE,"March 96"}</definedName>
    <definedName name="wrn.Report1._1" hidden="1">{#N/A,#N/A,FALSE,"July 95";#N/A,#N/A,FALSE,"Aug 95";#N/A,#N/A,FALSE,"Sep 95";#N/A,#N/A,FALSE,"October 95";#N/A,#N/A,FALSE,"November 95";#N/A,#N/A,FALSE,"December 95";#N/A,#N/A,FALSE,"February 96";#N/A,#N/A,FALSE,"March 96"}</definedName>
    <definedName name="wrn.REPORTING._.PACKAGE." localSheetId="10"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s._.Only." localSheetId="1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1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 localSheetId="10"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quest._.and._.sheets." localSheetId="10" hidden="1">{#N/A,#N/A,FALSE,"request";#N/A,#N/A,FALSE,"AR Cklist";#N/A,#N/A,FALSE,"Invt Cklist";#N/A,#N/A,FALSE,"AP Cklist";#N/A,#N/A,FALSE,"Bor Base";#N/A,#N/A,FALSE,"AR Rollforward";#N/A,#N/A,FALSE,"Write-offs";#N/A,#N/A,FALSE,"Comp AR";#N/A,#N/A,FALSE,"AR Conc";#N/A,#N/A,FALSE,"Past Due";#N/A,#N/A,FALSE,"Comp AP";#N/A,#N/A,FALSE,"AP Conc"}</definedName>
    <definedName name="wrn.request._.and._.sheets." hidden="1">{#N/A,#N/A,FALSE,"request";#N/A,#N/A,FALSE,"AR Cklist";#N/A,#N/A,FALSE,"Invt Cklist";#N/A,#N/A,FALSE,"AP Cklist";#N/A,#N/A,FALSE,"Bor Base";#N/A,#N/A,FALSE,"AR Rollforward";#N/A,#N/A,FALSE,"Write-offs";#N/A,#N/A,FALSE,"Comp AR";#N/A,#N/A,FALSE,"AR Conc";#N/A,#N/A,FALSE,"Past Due";#N/A,#N/A,FALSE,"Comp AP";#N/A,#N/A,FALSE,"AP Conc"}</definedName>
    <definedName name="wrn.Residential._.Report." localSheetId="10" hidden="1">{#N/A,#N/A,FALSE,"Residential Plan Combined";#N/A,#N/A,FALSE,"Revenue - Residential Sales ";#N/A,#N/A,FALSE,"Revenue - Builders Program";#N/A,#N/A,FALSE,"Revenue - Volume Deals"}</definedName>
    <definedName name="wrn.Residential._.Report." hidden="1">{#N/A,#N/A,FALSE,"Residential Plan Combined";#N/A,#N/A,FALSE,"Revenue - Residential Sales ";#N/A,#N/A,FALSE,"Revenue - Builders Program";#N/A,#N/A,FALSE,"Revenue - Volume Deals"}</definedName>
    <definedName name="wrn.Restricted._.Rpts." localSheetId="10">{"RptRY",#N/A,FALSE,"CDGy";"RptRQ",#N/A,FALSE,"CDGq";"RptRM",#N/A,FALSE,"CDGm"}</definedName>
    <definedName name="wrn.Restricted._.Rpts.">{"RptRY",#N/A,FALSE,"CDGy";"RptRQ",#N/A,FALSE,"CDGq";"RptRM",#N/A,FALSE,"CDGm"}</definedName>
    <definedName name="wrn.RESULTS." localSheetId="10" hidden="1">{#N/A,#N/A,FALSE,"HMF";#N/A,#N/A,FALSE,"FACIL";#N/A,#N/A,FALSE,"HMFINANCE";#N/A,#N/A,FALSE,"HMEUROPE";#N/A,#N/A,FALSE,"HHAB CONSO";#N/A,#N/A,FALSE,"PAB";#N/A,#N/A,FALSE,"MMC";#N/A,#N/A,FALSE,"THAI";#N/A,#N/A,FALSE,"SINPA";#N/A,#N/A,FALSE,"POLAND"}</definedName>
    <definedName name="wrn.RESULTS." localSheetId="15"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sults._.Worksheet." localSheetId="10" hidden="1">{"Results Worksheets",#N/A,FALSE,"RESULTS"}</definedName>
    <definedName name="wrn.Results._.Worksheet." hidden="1">{"Results Worksheets",#N/A,FALSE,"RESULTS"}</definedName>
    <definedName name="wrn.Revenue." localSheetId="10" hidden="1">{"Revenue",#N/A,FALSE,"Sheet1"}</definedName>
    <definedName name="wrn.Revenue." localSheetId="15" hidden="1">{"Revenue",#N/A,FALSE,"Sheet1"}</definedName>
    <definedName name="wrn.Revenue." hidden="1">{"Revenue",#N/A,FALSE,"Sheet1"}</definedName>
    <definedName name="wrn.revenue._.historical." localSheetId="10">{"rev_summary2",#N/A,FALSE,"historical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 localSheetId="10" hidden="1">{#N/A,#N/A,FALSE,"REV. KPI MONTH  FFR";#N/A,#N/A,FALSE,"REV. KPI MONTH  NLG";#N/A,#N/A,FALSE,"REV. KPI YTD FFR";#N/A,#N/A,FALSE,"REV. KPI YTD  NLG"}</definedName>
    <definedName name="wrn.Revenue._.quality." hidden="1">{#N/A,#N/A,FALSE,"REV. KPI MONTH  FFR";#N/A,#N/A,FALSE,"REV. KPI MONTH  NLG";#N/A,#N/A,FALSE,"REV. KPI YTD FFR";#N/A,#N/A,FALSE,"REV. KPI YTD  NLG"}</definedName>
    <definedName name="wrn.review." localSheetId="10"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10"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1." localSheetId="10">{"review",#N/A,FALSE,"FACTSHT"}</definedName>
    <definedName name="wrn.review1.">{"review",#N/A,FALSE,"FACTSHT"}</definedName>
    <definedName name="wrn.ReviewPack." localSheetId="10">{#N/A,#N/A,FALSE,"PCS";#N/A,#N/A,FALSE,"Market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10">{#N/A,#N/A,FALSE,"Market Info1";#N/A,#N/A,FALSE,"Market Info2";#N/A,#N/A,FALSE,"PCS";#N/A,#N/A,FALSE,"Operating Data";#N/A,#N/A,FALSE,"Balance Sheet Ratios";#N/A,#N/A,FALSE,"Financial";#N/A,#N/A,FALSE,"Trend";#N/A,#N/A,FALSE,"Rankings";#N/A,#N/A,FALSE,"Market Changes";#N/A,#N/A,FALSE,"Other Analysis"}</definedName>
    <definedName name="wrn.ReviewPackBrief.">{#N/A,#N/A,FALSE,"Market Info1";#N/A,#N/A,FALSE,"Market Info2";#N/A,#N/A,FALSE,"PCS";#N/A,#N/A,FALSE,"Operating Data";#N/A,#N/A,FALSE,"Balance Sheet Ratios";#N/A,#N/A,FALSE,"Financial";#N/A,#N/A,FALSE,"Trend";#N/A,#N/A,FALSE,"Rankings";#N/A,#N/A,FALSE,"Market Changes";#N/A,#N/A,FALSE,"Other Analysis"}</definedName>
    <definedName name="wrn.revised._.CEC._.slides." localSheetId="10"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ISION." localSheetId="10" hidden="1">{"VEBC1",#N/A,FALSE,"A";"vebmen",#N/A,FALSE,"A";"VRATIO",#N/A,FALSE,"A";"vsom",#N/A,FALSE,"A";"VSOM1",#N/A,FALSE,"A"}</definedName>
    <definedName name="wrn.REVISION." hidden="1">{"VEBC1",#N/A,FALSE,"A";"vebmen",#N/A,FALSE,"A";"VRATIO",#N/A,FALSE,"A";"vsom",#N/A,FALSE,"A";"VSOM1",#N/A,FALSE,"A"}</definedName>
    <definedName name="wrn.Revs." localSheetId="10" hidden="1">{"Base_rev",#N/A,FALSE,"Proj_IS_Base";"Projrev",#N/A,FALSE,"Proj_IS_wOTLC";"Delta",#N/A,FALSE,"Delta Rev_PV"}</definedName>
    <definedName name="wrn.Revs.">#REF!</definedName>
    <definedName name="wrn.REVSUMMARY." localSheetId="10" hidden="1">{"commiss",#N/A,FALSE,"chgdbsz.XLS";"reven",#N/A,FALSE,"chgdbsz.XLS"}</definedName>
    <definedName name="wrn.REVSUMMARY." localSheetId="15" hidden="1">{"commiss",#N/A,FALSE,"chgdbsz.XLS";"reven",#N/A,FALSE,"chgdbsz.XLS"}</definedName>
    <definedName name="wrn.REVSUMMARY." hidden="1">{"commiss",#N/A,FALSE,"chgdbsz.XLS";"reven",#N/A,FALSE,"chgdbsz.XLS"}</definedName>
    <definedName name="wrn.rfinance." localSheetId="10" hidden="1">{"vfinance",#N/A,FALSE,"Finance"}</definedName>
    <definedName name="wrn.rfinance." hidden="1">{"vfinance",#N/A,FALSE,"Finance"}</definedName>
    <definedName name="wrn.Riverwood_comp_model." localSheetId="10" hidden="1">{#N/A,#N/A,FALSE,"Che-Ga";#N/A,#N/A,FALSE,"Iv-Sm";#N/A,#N/A,FALSE,"So-We";#N/A,#N/A,FALSE,"Me-Po";#N/A,#N/A,FALSE,"Be-Bo";#N/A,#N/A,FALSE,"Cha-Ki";#N/A,#N/A,FALSE,"In";#N/A,#N/A,FALSE,"Schedule 23";#N/A,#N/A,FALSE,"Schedule 22";#N/A,#N/A,FALSE,"WACC"}</definedName>
    <definedName name="wrn.Riverwood_comp_model.">#REF!</definedName>
    <definedName name="wrn.rollup" localSheetId="10">{#N/A,#N/A,FALSE,"Summary"}</definedName>
    <definedName name="wrn.rollup">{#N/A,#N/A,FALSE,"Summary"}</definedName>
    <definedName name="wrn.ROUGH." localSheetId="10" hidden="1">{#N/A,#N/A,FALSE,"ROA";#N/A,#N/A,FALSE,"ROI";#N/A,#N/A,FALSE,"EBIT";#N/A,#N/A,FALSE,"MULT X"}</definedName>
    <definedName name="wrn.ROUGH." localSheetId="15" hidden="1">{#N/A,#N/A,FALSE,"ROA";#N/A,#N/A,FALSE,"ROI";#N/A,#N/A,FALSE,"EBIT";#N/A,#N/A,FALSE,"MULT X"}</definedName>
    <definedName name="wrn.ROUGH." hidden="1">{#N/A,#N/A,FALSE,"ROA";#N/A,#N/A,FALSE,"ROI";#N/A,#N/A,FALSE,"EBIT";#N/A,#N/A,FALSE,"MULT X"}</definedName>
    <definedName name="wrn.Royalty." localSheetId="10" hidden="1">{#N/A,#N/A,FALSE,"ESI";#N/A,#N/A,FALSE,"LTI";#N/A,#N/A,FALSE,"Medical";#N/A,#N/A,FALSE,"DSG";#N/A,#N/A,FALSE,"PI";#N/A,#N/A,FALSE,"OI"}</definedName>
    <definedName name="wrn.Royalty." hidden="1">{#N/A,#N/A,FALSE,"ESI";#N/A,#N/A,FALSE,"LTI";#N/A,#N/A,FALSE,"Medical";#N/A,#N/A,FALSE,"DSG";#N/A,#N/A,FALSE,"PI";#N/A,#N/A,FALSE,"OI"}</definedName>
    <definedName name="wrn.Royalty._1" localSheetId="10" hidden="1">{#N/A,#N/A,FALSE,"ESI";#N/A,#N/A,FALSE,"LTI";#N/A,#N/A,FALSE,"Medical";#N/A,#N/A,FALSE,"DSG";#N/A,#N/A,FALSE,"PI";#N/A,#N/A,FALSE,"OI"}</definedName>
    <definedName name="wrn.Royalty._1" hidden="1">{#N/A,#N/A,FALSE,"ESI";#N/A,#N/A,FALSE,"LTI";#N/A,#N/A,FALSE,"Medical";#N/A,#N/A,FALSE,"DSG";#N/A,#N/A,FALSE,"PI";#N/A,#N/A,FALSE,"OI"}</definedName>
    <definedName name="wrn.rptexhibits." localSheetId="10" hidden="1">{#N/A,#N/A,FALSE,"BS";#N/A,#N/A,FALSE,"IS";#N/A,#N/A,FALSE,"RMA ";#N/A,#N/A,FALSE,"ADJ IS";#N/A,#N/A,FALSE,"DCF"}</definedName>
    <definedName name="wrn.rptexhibits." localSheetId="15" hidden="1">{#N/A,#N/A,FALSE,"BS";#N/A,#N/A,FALSE,"IS";#N/A,#N/A,FALSE,"RMA ";#N/A,#N/A,FALSE,"ADJ IS";#N/A,#N/A,FALSE,"DCF"}</definedName>
    <definedName name="wrn.rptexhibits." hidden="1">{#N/A,#N/A,FALSE,"BS";#N/A,#N/A,FALSE,"IS";#N/A,#N/A,FALSE,"RMA ";#N/A,#N/A,FALSE,"ADJ IS";#N/A,#N/A,FALSE,"DCF"}</definedName>
    <definedName name="wrn.RSH._.Perf._.Update." localSheetId="10" hidden="1">{"RSH Perf Update",#N/A,FALSE,"Perf Update"}</definedName>
    <definedName name="wrn.RSH._.Perf._.Update." localSheetId="15" hidden="1">{"RSH Perf Update",#N/A,FALSE,"Perf Update"}</definedName>
    <definedName name="wrn.RSH._.Perf._.Update." hidden="1">{"RSH Perf Update",#N/A,FALSE,"Perf Update"}</definedName>
    <definedName name="wrn.RSH._.Perf._.Update._1" localSheetId="10" hidden="1">{"RSH Perf Update",#N/A,FALSE,"Perf Update"}</definedName>
    <definedName name="wrn.RSH._.Perf._.Update._1" localSheetId="15" hidden="1">{"RSH Perf Update",#N/A,FALSE,"Perf Update"}</definedName>
    <definedName name="wrn.RSH._.Perf._.Update._1" hidden="1">{"RSH Perf Update",#N/A,FALSE,"Perf Update"}</definedName>
    <definedName name="wrn.rsomcoutfor." localSheetId="10" hidden="1">{"vsomcoutfor",#N/A,FALSE,"Forecast"}</definedName>
    <definedName name="wrn.rsomcoutfor." hidden="1">{"vsomcoutfor",#N/A,FALSE,"Forecast"}</definedName>
    <definedName name="wrn.rsomflex." localSheetId="10" hidden="1">{"VSOMFLEX",#N/A,FALSE,"Budget-flex"}</definedName>
    <definedName name="wrn.rsomflex." hidden="1">{"VSOMFLEX",#N/A,FALSE,"Budget-flex"}</definedName>
    <definedName name="wrn.RustyPresentation." localSheetId="10">{#N/A,#N/A,TRUE,"TransCore Summary";#N/A,#N/A,TRUE,"TransCore IS";#N/A,#N/A,TRUE,"TransCore Balance";#N/A,#N/A,TRUE,"TransCore Backlog";#N/A,#N/A,TRUE,"Syntonic IS";#N/A,#N/A,TRUE,"Syntonic Bal";#N/A,#N/A,TRUE,"Systems IS";#N/A,#N/A,TRUE,"Systems Bal"}</definedName>
    <definedName name="wrn.RustyPresentation.">{#N/A,#N/A,TRUE,"TransCore Summary";#N/A,#N/A,TRUE,"TransCore IS";#N/A,#N/A,TRUE,"TransCore Balance";#N/A,#N/A,TRUE,"TransCore Backlog";#N/A,#N/A,TRUE,"Syntonic IS";#N/A,#N/A,TRUE,"Syntonic Bal";#N/A,#N/A,TRUE,"Systems IS";#N/A,#N/A,TRUE,"Systems Bal"}</definedName>
    <definedName name="wrn.Salary_Workings." localSheetId="10" hidden="1">{"Salary_Workings",#N/A,FALSE,"Proforma cc"}</definedName>
    <definedName name="wrn.Salary_Workings." hidden="1">{"Salary_Workings",#N/A,FALSE,"Proforma cc"}</definedName>
    <definedName name="wrn.Salary_Workings._1" localSheetId="10" hidden="1">{"Salary_Workings",#N/A,FALSE,"Proforma cc"}</definedName>
    <definedName name="wrn.Salary_Workings._1" hidden="1">{"Salary_Workings",#N/A,FALSE,"Proforma cc"}</definedName>
    <definedName name="wrn.Salary_Workings._1_1" localSheetId="10" hidden="1">{"Salary_Workings",#N/A,FALSE,"Proforma cc"}</definedName>
    <definedName name="wrn.Salary_Workings._1_1" hidden="1">{"Salary_Workings",#N/A,FALSE,"Proforma cc"}</definedName>
    <definedName name="wrn.Salary_Workings._2" localSheetId="10" hidden="1">{"Salary_Workings",#N/A,FALSE,"Proforma cc"}</definedName>
    <definedName name="wrn.Salary_Workings._2" hidden="1">{"Salary_Workings",#N/A,FALSE,"Proforma cc"}</definedName>
    <definedName name="wrn.sales" localSheetId="10" hidden="1">{"manpower",#N/A,FALSE,"MANPOWER_PAYROLL"}</definedName>
    <definedName name="wrn.sales" hidden="1">{"manpower",#N/A,FALSE,"MANPOWER_PAYROLL"}</definedName>
    <definedName name="wrn.sales." localSheetId="10" hidden="1">{"sales",#N/A,FALSE,"Sales";"sales existing",#N/A,FALSE,"Sales";"sales rd1",#N/A,FALSE,"Sales";"sales rd2",#N/A,FALSE,"Sales"}</definedName>
    <definedName name="wrn.sales." localSheetId="15"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0" hidden="1">{#N/A,#N/A,FALSE,"ARSalesBYCust"}</definedName>
    <definedName name="wrn.SALES._.by._.Cust." hidden="1">{#N/A,#N/A,FALSE,"ARSalesBYCust"}</definedName>
    <definedName name="wrn.SALES._.PERFORMANCE." localSheetId="10" hidden="1">{"SALES REPORTS",#N/A,FALSE,"Sheet1";"SALES DATA",#N/A,FALSE,"Sheet1"}</definedName>
    <definedName name="wrn.SALES._.PERFORMANCE." hidden="1">{"SALES REPORTS",#N/A,FALSE,"Sheet1";"SALES DATA",#N/A,FALSE,"Sheet1"}</definedName>
    <definedName name="wrn.sales._1" localSheetId="10" hidden="1">{"sales",#N/A,FALSE,"Sales";"sales existing",#N/A,FALSE,"Sales";"sales rd1",#N/A,FALSE,"Sales";"sales rd2",#N/A,FALSE,"Sales"}</definedName>
    <definedName name="wrn.sales._1" hidden="1">{"sales",#N/A,FALSE,"Sales";"sales existing",#N/A,FALSE,"Sales";"sales rd1",#N/A,FALSE,"Sales";"sales rd2",#N/A,FALSE,"Sales"}</definedName>
    <definedName name="wrn.sales._from_DBAB" localSheetId="10" hidden="1">{"sales",#N/A,FALSE,"Sales";"sales existing",#N/A,FALSE,"Sales";"sales rd1",#N/A,FALSE,"Sales";"sales rd2",#N/A,FALSE,"Sales"}</definedName>
    <definedName name="wrn.sales._from_DBAB" localSheetId="15"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10" hidden="1">{"sales",#N/A,FALSE,"Sales";"sales existing",#N/A,FALSE,"Sales";"sales rd1",#N/A,FALSE,"Sales";"sales rd2",#N/A,FALSE,"Sales"}</definedName>
    <definedName name="wrn.sales._from_DBAB_1" localSheetId="15"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10" hidden="1">{"sales",#N/A,FALSE,"Sales";"sales existing",#N/A,FALSE,"Sales";"sales rd1",#N/A,FALSE,"Sales";"sales rd2",#N/A,FALSE,"Sales"}</definedName>
    <definedName name="wrn.sales._from_DBAB_1_1" localSheetId="15"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10" hidden="1">{"sales",#N/A,FALSE,"Sales";"sales existing",#N/A,FALSE,"Sales";"sales rd1",#N/A,FALSE,"Sales";"sales rd2",#N/A,FALSE,"Sales"}</definedName>
    <definedName name="wrn.sales._from_DBAB_1_1_1" localSheetId="15"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2" localSheetId="10" hidden="1">{"sales",#N/A,FALSE,"Sales";"sales existing",#N/A,FALSE,"Sales";"sales rd1",#N/A,FALSE,"Sales";"sales rd2",#N/A,FALSE,"Sales"}</definedName>
    <definedName name="wrn.sales._from_DBAB_1_2" localSheetId="15"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2" localSheetId="10" hidden="1">{"sales",#N/A,FALSE,"Sales";"sales existing",#N/A,FALSE,"Sales";"sales rd1",#N/A,FALSE,"Sales";"sales rd2",#N/A,FALSE,"Sales"}</definedName>
    <definedName name="wrn.sales._from_DBAB_2" localSheetId="15"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3" localSheetId="10" hidden="1">{"sales",#N/A,FALSE,"Sales";"sales existing",#N/A,FALSE,"Sales";"sales rd1",#N/A,FALSE,"Sales";"sales rd2",#N/A,FALSE,"Sales"}</definedName>
    <definedName name="wrn.sales._from_DBAB_3" localSheetId="15"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4" localSheetId="10" hidden="1">{"sales",#N/A,FALSE,"Sales";"sales existing",#N/A,FALSE,"Sales";"sales rd1",#N/A,FALSE,"Sales";"sales rd2",#N/A,FALSE,"Sales"}</definedName>
    <definedName name="wrn.sales._from_DBAB_4" localSheetId="15"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5" localSheetId="10" hidden="1">{"sales",#N/A,FALSE,"Sales";"sales existing",#N/A,FALSE,"Sales";"sales rd1",#N/A,FALSE,"Sales";"sales rd2",#N/A,FALSE,"Sales"}</definedName>
    <definedName name="wrn.sales._from_DBAB_5" localSheetId="15" hidden="1">{"sales",#N/A,FALSE,"Sales";"sales existing",#N/A,FALSE,"Sales";"sales rd1",#N/A,FALSE,"Sales";"sales rd2",#N/A,FALSE,"Sales"}</definedName>
    <definedName name="wrn.sales._from_DBAB_5" hidden="1">{"sales",#N/A,FALSE,"Sales";"sales existing",#N/A,FALSE,"Sales";"sales rd1",#N/A,FALSE,"Sales";"sales rd2",#N/A,FALSE,"Sales"}</definedName>
    <definedName name="wrn.sales.b" localSheetId="10" hidden="1">{"sales",#N/A,FALSE,"Sales";"sales existing",#N/A,FALSE,"Sales";"sales rd1",#N/A,FALSE,"Sales";"sales rd2",#N/A,FALSE,"Sales"}</definedName>
    <definedName name="wrn.sales.b" hidden="1">{"sales",#N/A,FALSE,"Sales";"sales existing",#N/A,FALSE,"Sales";"sales rd1",#N/A,FALSE,"Sales";"sales rd2",#N/A,FALSE,"Sales"}</definedName>
    <definedName name="wrn.SalesMarginPages." localSheetId="1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localSheetId="10"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ple." localSheetId="10" hidden="1">{"sample",#N/A,FALSE,"Client Input Sheet"}</definedName>
    <definedName name="wrn.sample." hidden="1">{"sample",#N/A,FALSE,"Client Input Sheet"}</definedName>
    <definedName name="wrn.SANDSQUARTERLY."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10" hidden="1">{#N/A,#N/A,TRUE,"Table1";#N/A,#N/A,TRUE,"Table2";#N/A,#N/A,TRUE,"Table3";#N/A,#N/A,TRUE,"Table4";#N/A,#N/A,TRUE,"Table5";#N/A,#N/A,TRUE,"Table6";#N/A,#N/A,TRUE,"Table7";#N/A,#N/A,TRUE,"Table8";#N/A,#N/A,TRUE,"Table9";#N/A,#N/A,TRUE,"Table10";#N/A,#N/A,TRUE,"Table11";#N/A,#N/A,TRUE,"Table12";#N/A,#N/A,TRUE,"Table13";#N/A,#N/A,TRUE,"Table14"}</definedName>
    <definedName name="wrn.SBEI." localSheetId="15"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ules." localSheetId="10" hidden="1">{#N/A,#N/A,FALSE,"D1 &amp; D2-Income - FS format";#N/A,#N/A,FALSE,"D3 &amp; D4-Balance sheets";#N/A,#N/A,FALSE,"D5 &amp; D6-FS expense detail";#N/A,#N/A,FALSE,"E1-Capitalization Comp";#N/A,#N/A,FALSE,"E2-Cost of capital - build-up"}</definedName>
    <definedName name="wrn.Schedules." localSheetId="15" hidden="1">{#N/A,#N/A,FALSE,"D1 &amp; D2-Income - FS format";#N/A,#N/A,FALSE,"D3 &amp; D4-Balance sheets";#N/A,#N/A,FALSE,"D5 &amp; D6-FS expense detail";#N/A,#N/A,FALSE,"E1-Capitalization Comp";#N/A,#N/A,FALSE,"E2-Cost of capital - build-up"}</definedName>
    <definedName name="wrn.Schedules." hidden="1">{#N/A,#N/A,FALSE,"D1 &amp; D2-Income - FS format";#N/A,#N/A,FALSE,"D3 &amp; D4-Balance sheets";#N/A,#N/A,FALSE,"D5 &amp; D6-FS expense detail";#N/A,#N/A,FALSE,"E1-Capitalization Comp";#N/A,#N/A,FALSE,"E2-Cost of capital - build-up"}</definedName>
    <definedName name="wrn.SCM_Report_Controlling." localSheetId="10" hidden="1">{"SCM_Detail",#N/A,FALSE,"SCM";"SCM_Top",#N/A,FALSE,"SCM"}</definedName>
    <definedName name="wrn.SCM_Report_Controlling." hidden="1">{"SCM_Detail",#N/A,FALSE,"SCM";"SCM_Top",#N/A,FALSE,"SCM"}</definedName>
    <definedName name="wrn.sdi." localSheetId="10" hidden="1">{#N/A,#N/A,FALSE,"Customer Base";#N/A,#N/A,FALSE,"Workforce";#N/A,#N/A,FALSE,"cur prod";#N/A,#N/A,FALSE,"in-proc";#N/A,#N/A,FALSE,"Trademark"}</definedName>
    <definedName name="wrn.sdi." hidden="1">{#N/A,#N/A,FALSE,"Customer Base";#N/A,#N/A,FALSE,"Workforce";#N/A,#N/A,FALSE,"cur prod";#N/A,#N/A,FALSE,"in-proc";#N/A,#N/A,FALSE,"Trademark"}</definedName>
    <definedName name="wrn.Section._.A." localSheetId="10" hidden="1">{#N/A,#N/A,FALSE,"Info";#N/A,#N/A,FALSE,"COcharacter"}</definedName>
    <definedName name="wrn.Section._.A." hidden="1">{#N/A,#N/A,FALSE,"Info";#N/A,#N/A,FALSE,"COcharacter"}</definedName>
    <definedName name="wrn.Section._.B." localSheetId="10" hidden="1">{#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B." hidden="1">{#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C." localSheetId="10" hidden="1">{#N/A,#N/A,FALSE,"BankACCT";#N/A,#N/A,FALSE,"CASHrecon";#N/A,#N/A,FALSE,"LINEofCR";#N/A,#N/A,FALSE,"WHtaxes";#N/A,#N/A,FALSE,"UT&amp;miscTAX";#N/A,#N/A,FALSE,"OFFCR&amp;tax";#N/A,#N/A,FALSE,"CDreview"}</definedName>
    <definedName name="wrn.Section._.C." hidden="1">{#N/A,#N/A,FALSE,"BankACCT";#N/A,#N/A,FALSE,"CASHrecon";#N/A,#N/A,FALSE,"LINEofCR";#N/A,#N/A,FALSE,"WHtaxes";#N/A,#N/A,FALSE,"UT&amp;miscTAX";#N/A,#N/A,FALSE,"OFFCR&amp;tax";#N/A,#N/A,FALSE,"CDreview"}</definedName>
    <definedName name="wrn.Section._.D." localSheetId="10" hidden="1">{#N/A,#N/A,FALSE,"BALsheet";#N/A,#N/A,FALSE,"OtherA&amp;L";#N/A,#N/A,FALSE,"IncStat - Interim";#N/A,#N/A,FALSE,"IncStat - YE";#N/A,#N/A,FALSE,"IncStat - Proj";#N/A,#N/A,FALSE,"TNW";#N/A,#N/A,FALSE,"Fixed Asset";#N/A,#N/A,FALSE,"FA Coverage"}</definedName>
    <definedName name="wrn.Section._.D." hidden="1">{#N/A,#N/A,FALSE,"BALsheet";#N/A,#N/A,FALSE,"OtherA&amp;L";#N/A,#N/A,FALSE,"IncStat - Interim";#N/A,#N/A,FALSE,"IncStat - YE";#N/A,#N/A,FALSE,"IncStat - Proj";#N/A,#N/A,FALSE,"TNW";#N/A,#N/A,FALSE,"Fixed Asset";#N/A,#N/A,FALSE,"FA Coverage"}</definedName>
    <definedName name="wrn.Section._.E." localSheetId="10" hidden="1">{#N/A,#N/A,FALSE,"INVchar";#N/A,#N/A,FALSE,"INVcomp";#N/A,#N/A,FALSE,"INVto";#N/A,#N/A,FALSE,"CATGRYdetail";#N/A,#N/A,FALSE,"INVrecon";#N/A,#N/A,FALSE,"INVStrat";#N/A,#N/A,FALSE,"Locations";#N/A,#N/A,FALSE,"COSTtestRS";#N/A,#N/A,FALSE,"COSTtestMFG";#N/A,#N/A,FALSE,"TESTcount";#N/A,#N/A,FALSE,"GMtest"}</definedName>
    <definedName name="wrn.Section._.E." hidden="1">{#N/A,#N/A,FALSE,"INVchar";#N/A,#N/A,FALSE,"INVcomp";#N/A,#N/A,FALSE,"INVto";#N/A,#N/A,FALSE,"CATGRYdetail";#N/A,#N/A,FALSE,"INVrecon";#N/A,#N/A,FALSE,"INVStrat";#N/A,#N/A,FALSE,"Locations";#N/A,#N/A,FALSE,"COSTtestRS";#N/A,#N/A,FALSE,"COSTtestMFG";#N/A,#N/A,FALSE,"TESTcount";#N/A,#N/A,FALSE,"GMtest"}</definedName>
    <definedName name="wrn.Section._.E._.and._.F." localSheetId="10" hidden="1">{#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E._.and._.F." hidden="1">{#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F." localSheetId="10" hidden="1">{#N/A,#N/A,FALSE,"APrecon";#N/A,#N/A,FALSE,"APtop10";#N/A,#N/A,FALSE,"APspread";#N/A,#N/A,FALSE,"OScks";#N/A,#N/A,FALSE,"APcontrol";#N/A,#N/A,FALSE,"APcomp"}</definedName>
    <definedName name="wrn.Section._.F." hidden="1">{#N/A,#N/A,FALSE,"APrecon";#N/A,#N/A,FALSE,"APtop10";#N/A,#N/A,FALSE,"APspread";#N/A,#N/A,FALSE,"OScks";#N/A,#N/A,FALSE,"APcontrol";#N/A,#N/A,FALSE,"APcomp"}</definedName>
    <definedName name="wrn.SemiCap." localSheetId="10" hidden="1">{#N/A,#N/A,FALSE,"from high";#N/A,#N/A,FALSE,"from low";#N/A,#N/A,FALSE,"Market Cap";#N/A,#N/A,FALSE,"Alpha"}</definedName>
    <definedName name="wrn.SemiCap." hidden="1">{#N/A,#N/A,FALSE,"from high";#N/A,#N/A,FALSE,"from low";#N/A,#N/A,FALSE,"Market Cap";#N/A,#N/A,FALSE,"Alpha"}</definedName>
    <definedName name="wrn.SEPTEMBER." localSheetId="10"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 localSheetId="10" hidden="1">{#N/A,#N/A,FALSE,"High";#N/A,#N/A,FALSE,"Low";#N/A,#N/A,FALSE,"MarketCap";#N/A,#N/A,FALSE,"Alpha"}</definedName>
    <definedName name="wrn.Set." hidden="1">{#N/A,#N/A,FALSE,"High";#N/A,#N/A,FALSE,"Low";#N/A,#N/A,FALSE,"MarketCap";#N/A,#N/A,FALSE,"Alpha"}</definedName>
    <definedName name="wrn.Seven._.Page." localSheetId="10"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even._.Page._1" localSheetId="10" hidden="1">{"Income",#N/A,FALSE,"income";"Sales",#N/A,FALSE,"income";"Critical",#N/A,FALSE,"income";"Market",#N/A,FALSE,"Market";"Returns",#N/A,FALSE,"returns";"Balance",#N/A,FALSE,"balance";"Cash Flow",#N/A,FALSE,"balance"}</definedName>
    <definedName name="wrn.Seven._.Page._1" hidden="1">{"Income",#N/A,FALSE,"income";"Sales",#N/A,FALSE,"income";"Critical",#N/A,FALSE,"income";"Market",#N/A,FALSE,"Market";"Returns",#N/A,FALSE,"returns";"Balance",#N/A,FALSE,"balance";"Cash Flow",#N/A,FALSE,"balance"}</definedName>
    <definedName name="wrn.sga._.expense." localSheetId="10" hidden="1">{"sga expense",#N/A,FALSE,"S,G&amp;A EXP"}</definedName>
    <definedName name="wrn.sga._.expense." hidden="1">{"sga expense",#N/A,FALSE,"S,G&amp;A EXP"}</definedName>
    <definedName name="wrn.SGM._.Region._.Reports." localSheetId="10" hidden="1">{#N/A,#N/A,FALSE,"MW";#N/A,#N/A,FALSE,"NE";#N/A,#N/A,FALSE,"NW";#N/A,#N/A,FALSE,"RD";#N/A,#N/A,FALSE,"SE";#N/A,#N/A,FALSE,"SW";#N/A,#N/A,FALSE,"W"}</definedName>
    <definedName name="wrn.SGM._.Region._.Reports." hidden="1">{#N/A,#N/A,FALSE,"MW";#N/A,#N/A,FALSE,"NE";#N/A,#N/A,FALSE,"NW";#N/A,#N/A,FALSE,"RD";#N/A,#N/A,FALSE,"SE";#N/A,#N/A,FALSE,"SW";#N/A,#N/A,FALSE,"W"}</definedName>
    <definedName name="wrn.Ship._.Test." localSheetId="10" hidden="1">{#N/A,#N/A,FALSE,"Shiptest"}</definedName>
    <definedName name="wrn.Ship._.Test." hidden="1">{#N/A,#N/A,FALSE,"Shiptest"}</definedName>
    <definedName name="wrn.SHORT." localSheetId="10" hidden="1">{"CREDIT STATISTICS",#N/A,FALSE,"STATS";"CF_AND_IS",#N/A,FALSE,"PLAN";"BALSHEET",#N/A,FALSE,"BALANCE SHEET"}</definedName>
    <definedName name="wrn.SHORT." localSheetId="15" hidden="1">{"CREDIT STATISTICS",#N/A,FALSE,"STATS";"CF_AND_IS",#N/A,FALSE,"PLAN";"BALSHEET",#N/A,FALSE,"BALANCE SHEET"}</definedName>
    <definedName name="wrn.SHORT." hidden="1">{"CREDIT STATISTICS",#N/A,FALSE,"STATS";"CF_AND_IS",#N/A,FALSE,"PLAN";"BALSHEET",#N/A,FALSE,"BALANCE SHEET"}</definedName>
    <definedName name="wrn.SHORT._1" localSheetId="10" hidden="1">{"CREDIT STATISTICS",#N/A,FALSE,"STATS";"CF_AND_IS",#N/A,FALSE,"PLAN";"BALSHEET",#N/A,FALSE,"BALANCE SHEET"}</definedName>
    <definedName name="wrn.SHORT._1" hidden="1">{"CREDIT STATISTICS",#N/A,FALSE,"STATS";"CF_AND_IS",#N/A,FALSE,"PLAN";"BALSHEET",#N/A,FALSE,"BALANCE SHEET"}</definedName>
    <definedName name="wrn.SIMPSONS." localSheetId="10" hidden="1">{"SPSPG1",#N/A,FALSE,"1995";"SPSPG2",#N/A,FALSE,"1995";"SPSPG3",#N/A,FALSE,"1995"}</definedName>
    <definedName name="wrn.SIMPSONS." localSheetId="15" hidden="1">{"SPSPG1",#N/A,FALSE,"1995";"SPSPG2",#N/A,FALSE,"1995";"SPSPG3",#N/A,FALSE,"1995"}</definedName>
    <definedName name="wrn.SIMPSONS." hidden="1">{"SPSPG1",#N/A,FALSE,"1995";"SPSPG2",#N/A,FALSE,"1995";"SPSPG3",#N/A,FALSE,"1995"}</definedName>
    <definedName name="wrn.Six._.Page." localSheetId="10"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_.Page._1" localSheetId="10" hidden="1">{"Income",#N/A,FALSE,"Earnings";"Critical Measures",#N/A,FALSE,"Earnings";"Balance",#N/A,FALSE,"Balance";"Cash Flow",#N/A,FALSE,"Balance";"Market",#N/A,FALSE,"Market";"Returns",#N/A,FALSE,"Returns"}</definedName>
    <definedName name="wrn.Six._.Page._1" hidden="1">{"Income",#N/A,FALSE,"Earnings";"Critical Measures",#N/A,FALSE,"Earnings";"Balance",#N/A,FALSE,"Balance";"Cash Flow",#N/A,FALSE,"Balance";"Market",#N/A,FALSE,"Market";"Returns",#N/A,FALSE,"Returns"}</definedName>
    <definedName name="wrn.Sixpage." localSheetId="10"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ixpage._1" localSheetId="10" hidden="1">{"Income",#N/A,FALSE,"income";"Critical",#N/A,FALSE,"income";"Balance",#N/A,FALSE,"Balance";"Cash Flow",#N/A,FALSE,"Balance";"Returns",#N/A,FALSE,"Returns";"Market",#N/A,FALSE,"Market"}</definedName>
    <definedName name="wrn.Sixpage._1" hidden="1">{"Income",#N/A,FALSE,"income";"Critical",#N/A,FALSE,"income";"Balance",#N/A,FALSE,"Balance";"Cash Flow",#N/A,FALSE,"Balance";"Returns",#N/A,FALSE,"Returns";"Market",#N/A,FALSE,"Market"}</definedName>
    <definedName name="wrn.SKSCS1." localSheetId="1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KSCS1._1" localSheetId="10"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onstige." localSheetId="10"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10" hidden="1">{"SPEC GAS CYLS",#N/A,FALSE,"SPEC GAS"}</definedName>
    <definedName name="wrn.SPEC._.GAS._.CYLS." hidden="1">{"SPEC GAS CYLS",#N/A,FALSE,"SPEC GAS"}</definedName>
    <definedName name="wrn.SSOCIAL." localSheetId="10" hidden="1">{"vsom",#N/A,FALSE,"A";"VSOM1",#N/A,FALSE,"A";"VVENT",#N/A,FALSE,"A";"VVENT1",#N/A,FALSE,"A";"VVENT2",#N/A,FALSE,"A"}</definedName>
    <definedName name="wrn.SSOCIAL." hidden="1">{"vsom",#N/A,FALSE,"A";"VSOM1",#N/A,FALSE,"A";"VVENT",#N/A,FALSE,"A";"VVENT1",#N/A,FALSE,"A";"VVENT2",#N/A,FALSE,"A"}</definedName>
    <definedName name="wrn.sspall." localSheetId="10" hidden="1">{"sspcash",#N/A,FALSE,"EWSINCX";"sspinc",#N/A,FALSE,"EWSINCX";"ssptax",#N/A,FALSE,"EWSINCX";"ssppub",#N/A,FALSE,"EWSINCX";"sspperchgetc",#N/A,FALSE,"EWSINCX";"sspevan",#N/A,FALSE,"EWSINCX";"sspbroad",#N/A,FALSE,"EWSINCX";"sspbroadcont",#N/A,FALSE,"EWSINCX";"sspcable",#N/A,FALSE,"EWSINCX";"sspent",#N/A,FALSE,"EWSINCX"}</definedName>
    <definedName name="wrn.sspall." localSheetId="15"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localSheetId="10" hidden="1">{#N/A,#N/A,FALSE,"Assessment";#N/A,#N/A,FALSE,"Staffing";#N/A,#N/A,FALSE,"Hires";#N/A,#N/A,FALSE,"Assumptions"}</definedName>
    <definedName name="wrn.Staffing." hidden="1">{#N/A,#N/A,FALSE,"Assessment";#N/A,#N/A,FALSE,"Staffing";#N/A,#N/A,FALSE,"Hires";#N/A,#N/A,FALSE,"Assumptions"}</definedName>
    <definedName name="wrn.Staffing._1" localSheetId="10" hidden="1">{#N/A,#N/A,FALSE,"Assessment";#N/A,#N/A,FALSE,"Staffing";#N/A,#N/A,FALSE,"Hires";#N/A,#N/A,FALSE,"Assumptions"}</definedName>
    <definedName name="wrn.Staffing._1" hidden="1">{#N/A,#N/A,FALSE,"Assessment";#N/A,#N/A,FALSE,"Staffing";#N/A,#N/A,FALSE,"Hires";#N/A,#N/A,FALSE,"Assumptions"}</definedName>
    <definedName name="wrn.Staffing1" localSheetId="10" hidden="1">{#N/A,#N/A,FALSE,"Assessment";#N/A,#N/A,FALSE,"Staffing";#N/A,#N/A,FALSE,"Hires";#N/A,#N/A,FALSE,"Assumptions"}</definedName>
    <definedName name="wrn.Staffing1" hidden="1">{#N/A,#N/A,FALSE,"Assessment";#N/A,#N/A,FALSE,"Staffing";#N/A,#N/A,FALSE,"Hires";#N/A,#N/A,FALSE,"Assumptions"}</definedName>
    <definedName name="wrn.Staffing1_1" localSheetId="10" hidden="1">{#N/A,#N/A,FALSE,"Assessment";#N/A,#N/A,FALSE,"Staffing";#N/A,#N/A,FALSE,"Hires";#N/A,#N/A,FALSE,"Assumptions"}</definedName>
    <definedName name="wrn.Staffing1_1" hidden="1">{#N/A,#N/A,FALSE,"Assessment";#N/A,#N/A,FALSE,"Staffing";#N/A,#N/A,FALSE,"Hires";#N/A,#N/A,FALSE,"Assumptions"}</definedName>
    <definedName name="wrn.stand_alone_both" localSheetId="10" hidden="1">{"FCB_ALL",#N/A,FALSE,"FCB";"GREY_ALL",#N/A,FALSE,"GREY"}</definedName>
    <definedName name="wrn.stand_alone_both" localSheetId="15" hidden="1">{"FCB_ALL",#N/A,FALSE,"FCB";"GREY_ALL",#N/A,FALSE,"GREY"}</definedName>
    <definedName name="wrn.stand_alone_both" hidden="1">{"FCB_ALL",#N/A,FALSE,"FCB";"GREY_ALL",#N/A,FALSE,"GREY"}</definedName>
    <definedName name="wrn.STAND_ALONE_BOTH." localSheetId="10" hidden="1">{"FCB_ALL",#N/A,FALSE,"FCB";"GREY_ALL",#N/A,FALSE,"GREY"}</definedName>
    <definedName name="wrn.STAND_ALONE_BOTH." localSheetId="15" hidden="1">{"FCB_ALL",#N/A,FALSE,"FCB";"GREY_ALL",#N/A,FALSE,"GREY"}</definedName>
    <definedName name="wrn.STAND_ALONE_BOTH." hidden="1">{"FCB_ALL",#N/A,FALSE,"FCB";"GREY_ALL",#N/A,FALSE,"GREY"}</definedName>
    <definedName name="wrn.STAND_ALONE_BOTH._1" localSheetId="10" hidden="1">{"FCB_ALL",#N/A,FALSE,"FCB";"GREY_ALL",#N/A,FALSE,"GREY"}</definedName>
    <definedName name="wrn.STAND_ALONE_BOTH._1" hidden="1">{"FCB_ALL",#N/A,FALSE,"FCB";"GREY_ALL",#N/A,FALSE,"GREY"}</definedName>
    <definedName name="wrn.STAND_ALONE_BOTH._1_1" localSheetId="10" hidden="1">{"FCB_ALL",#N/A,FALSE,"FCB";"GREY_ALL",#N/A,FALSE,"GREY"}</definedName>
    <definedName name="wrn.STAND_ALONE_BOTH._1_1" hidden="1">{"FCB_ALL",#N/A,FALSE,"FCB";"GREY_ALL",#N/A,FALSE,"GREY"}</definedName>
    <definedName name="wrn.STAND_ALONE_BOTH._2" localSheetId="10" hidden="1">{"FCB_ALL",#N/A,FALSE,"FCB";"GREY_ALL",#N/A,FALSE,"GREY"}</definedName>
    <definedName name="wrn.STAND_ALONE_BOTH._2" hidden="1">{"FCB_ALL",#N/A,FALSE,"FCB";"GREY_ALL",#N/A,FALSE,"GREY"}</definedName>
    <definedName name="wrn.STAND_ALONE_BOTH._3" localSheetId="10" hidden="1">{"FCB_ALL",#N/A,FALSE,"FCB";"GREY_ALL",#N/A,FALSE,"GREY"}</definedName>
    <definedName name="wrn.STAND_ALONE_BOTH._3" hidden="1">{"FCB_ALL",#N/A,FALSE,"FCB";"GREY_ALL",#N/A,FALSE,"GREY"}</definedName>
    <definedName name="wrn.STAND_ALONE_BOTH._4" localSheetId="10" hidden="1">{"FCB_ALL",#N/A,FALSE,"FCB";"GREY_ALL",#N/A,FALSE,"GREY"}</definedName>
    <definedName name="wrn.STAND_ALONE_BOTH._4" hidden="1">{"FCB_ALL",#N/A,FALSE,"FCB";"GREY_ALL",#N/A,FALSE,"GREY"}</definedName>
    <definedName name="wrn.STAND_ALONE_BOTH._5" localSheetId="10" hidden="1">{"FCB_ALL",#N/A,FALSE,"FCB";"GREY_ALL",#N/A,FALSE,"GREY"}</definedName>
    <definedName name="wrn.STAND_ALONE_BOTH._5" hidden="1">{"FCB_ALL",#N/A,FALSE,"FCB";"GREY_ALL",#N/A,FALSE,"GREY"}</definedName>
    <definedName name="wrn.Stand_alone_both._dcf" localSheetId="10" hidden="1">{"FCB_ALL",#N/A,FALSE,"FCB";"GREY_ALL",#N/A,FALSE,"GREY"}</definedName>
    <definedName name="wrn.Stand_alone_both._dcf" hidden="1">{"FCB_ALL",#N/A,FALSE,"FCB";"GREY_ALL",#N/A,FALSE,"GREY"}</definedName>
    <definedName name="wrn.stand_alone_both.1" localSheetId="10" hidden="1">{"FCB_ALL",#N/A,FALSE,"FCB";"GREY_ALL",#N/A,FALSE,"GREY"}</definedName>
    <definedName name="wrn.stand_alone_both.1" localSheetId="15" hidden="1">{"FCB_ALL",#N/A,FALSE,"FCB";"GREY_ALL",#N/A,FALSE,"GREY"}</definedName>
    <definedName name="wrn.stand_alone_both.1" hidden="1">{"FCB_ALL",#N/A,FALSE,"FCB";"GREY_ALL",#N/A,FALSE,"GREY"}</definedName>
    <definedName name="wrn.stand_alone_both1" localSheetId="10" hidden="1">{"FCB_ALL",#N/A,FALSE,"FCB";"GREY_ALL",#N/A,FALSE,"GREY"}</definedName>
    <definedName name="wrn.stand_alone_both1" localSheetId="15" hidden="1">{"FCB_ALL",#N/A,FALSE,"FCB";"GREY_ALL",#N/A,FALSE,"GREY"}</definedName>
    <definedName name="wrn.stand_alone_both1" hidden="1">{"FCB_ALL",#N/A,FALSE,"FCB";"GREY_ALL",#N/A,FALSE,"GREY"}</definedName>
    <definedName name="wrn.stand_alone_both9" localSheetId="10" hidden="1">{"FCB_ALL",#N/A,FALSE,"FCB";"GREY_ALL",#N/A,FALSE,"GREY"}</definedName>
    <definedName name="wrn.stand_alone_both9" localSheetId="15" hidden="1">{"FCB_ALL",#N/A,FALSE,"FCB";"GREY_ALL",#N/A,FALSE,"GREY"}</definedName>
    <definedName name="wrn.stand_alone_both9" hidden="1">{"FCB_ALL",#N/A,FALSE,"FCB";"GREY_ALL",#N/A,FALSE,"GREY"}</definedName>
    <definedName name="wrn.standaloneboth1" localSheetId="10" hidden="1">{"FCB_ALL",#N/A,FALSE,"FCB";"GREY_ALL",#N/A,FALSE,"GREY"}</definedName>
    <definedName name="wrn.standaloneboth1" localSheetId="15" hidden="1">{"FCB_ALL",#N/A,FALSE,"FCB";"GREY_ALL",#N/A,FALSE,"GREY"}</definedName>
    <definedName name="wrn.standaloneboth1" hidden="1">{"FCB_ALL",#N/A,FALSE,"FCB";"GREY_ALL",#N/A,FALSE,"GREY"}</definedName>
    <definedName name="wrn.Standard." localSheetId="10"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andard._.Exhibit." localSheetId="10" hidden="1">{"Historic Balance Sheet",#N/A,FALSE,"HBAL";"Historic Income",#N/A,FALSE,"HINC";"Historic Cash Flow",#N/A,FALSE,"HCFLOW";"Common Size Balance Sheet",#N/A,FALSE,"CSHBAL";"Common Size Income Statement",#N/A,FALSE,"CSHINC";"Ratios",#N/A,FALSE,"RATIOS"}</definedName>
    <definedName name="wrn.Standard._.Exhibit." localSheetId="15" hidden="1">{"Historic Balance Sheet",#N/A,FALSE,"HBAL";"Historic Income",#N/A,FALSE,"HINC";"Historic Cash Flow",#N/A,FALSE,"HCFLOW";"Common Size Balance Sheet",#N/A,FALSE,"CSHBAL";"Common Size Income Statement",#N/A,FALSE,"CSHINC";"Ratios",#N/A,FALSE,"RATIOS"}</definedName>
    <definedName name="wrn.Standard._.Exhibit." hidden="1">{"Historic Balance Sheet",#N/A,FALSE,"HBAL";"Historic Income",#N/A,FALSE,"HINC";"Historic Cash Flow",#N/A,FALSE,"HCFLOW";"Common Size Balance Sheet",#N/A,FALSE,"CSHBAL";"Common Size Income Statement",#N/A,FALSE,"CSHINC";"Ratios",#N/A,FALSE,"RATIOS"}</definedName>
    <definedName name="wrn.Standard._.Reports." localSheetId="10">{#N/A,#N/A,FALSE,"Quarterly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0" hidden="1">{"CUMOPL",#N/A,FALSE,"Income Statement";"ytdpl",#N/A,FALSE,"Income Statement";"cumoopexp",#N/A,FALSE,"Operating Expenses";"ytdopexp",#N/A,FALSE,"Operating Expenses";"BalSheet",#N/A,FALSE,"Balance Sheet";"cumocshflw",#N/A,FALSE,"Statement of Cash Flows";"ytdcshflw",#N/A,FALSE,"Statement of Cash Flows";"perfmeas",#N/A,FALSE,"Financial Perf Measures"}</definedName>
    <definedName name="wrn.statements." hidden="1">{"CUMOPL",#N/A,FALSE,"Income Statement";"ytdpl",#N/A,FALSE,"Income Statement";"cumoopexp",#N/A,FALSE,"Operating Expenses";"ytdopexp",#N/A,FALSE,"Operating Expenses";"BalSheet",#N/A,FALSE,"Balance Sheet";"cumocshflw",#N/A,FALSE,"Statement of Cash Flows";"ytdcshflw",#N/A,FALSE,"Statement of Cash Flows";"perfmeas",#N/A,FALSE,"Financial Perf Measures"}</definedName>
    <definedName name="wrn.STETSON."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1"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2"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3"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4"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localSheetId="10"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TSON._5"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MT._.OF._.CASH._.FLOWS." localSheetId="10" hidden="1">{"STMT OF CASH FLOWS",#N/A,FALSE,"Cash Flows Indirect"}</definedName>
    <definedName name="wrn.STMT._.OF._.CASH._.FLOWS." hidden="1">{"STMT OF CASH FLOWS",#N/A,FALSE,"Cash Flows Indirect"}</definedName>
    <definedName name="wrn.STOCKHOLDERS._.EQUITY." localSheetId="10" hidden="1">{#N/A,#N/A,FALSE,"WW-1 Stockholders' Equity"}</definedName>
    <definedName name="wrn.STOCKHOLDERS._.EQUITY." hidden="1">{#N/A,#N/A,FALSE,"WW-1 Stockholders' Equity"}</definedName>
    <definedName name="wrn.Structure." localSheetId="10" hidden="1">{#N/A,#N/A,FALSE,"Structure";#N/A,#N/A,FALSE,"Proj-Cal";#N/A,#N/A,FALSE,"Market"}</definedName>
    <definedName name="wrn.Structure." hidden="1">{#N/A,#N/A,FALSE,"Structure";#N/A,#N/A,FALSE,"Proj-Cal";#N/A,#N/A,FALSE,"Market"}</definedName>
    <definedName name="wrn.Student._.Seats._.1." localSheetId="10" hidden="1">{#N/A,#N/A,FALSE,"student seats 1"}</definedName>
    <definedName name="wrn.Student._.Seats._.1." hidden="1">{#N/A,#N/A,FALSE,"student seats 1"}</definedName>
    <definedName name="wrn.Student._.Seats._.1._1" localSheetId="10" hidden="1">{#N/A,#N/A,FALSE,"student seats 1"}</definedName>
    <definedName name="wrn.Student._.Seats._.1._1" hidden="1">{#N/A,#N/A,FALSE,"student seats 1"}</definedName>
    <definedName name="wrn.Student._.Seats._.1._2" localSheetId="10" hidden="1">{#N/A,#N/A,FALSE,"student seats 1"}</definedName>
    <definedName name="wrn.Student._.Seats._.1._2" hidden="1">{#N/A,#N/A,FALSE,"student seats 1"}</definedName>
    <definedName name="wrn.Student._.Seats._.1._3" localSheetId="10" hidden="1">{#N/A,#N/A,FALSE,"student seats 1"}</definedName>
    <definedName name="wrn.Student._.Seats._.1._3" hidden="1">{#N/A,#N/A,FALSE,"student seats 1"}</definedName>
    <definedName name="wrn.Student._.Seats._.1._4" localSheetId="10" hidden="1">{#N/A,#N/A,FALSE,"student seats 1"}</definedName>
    <definedName name="wrn.Student._.Seats._.1._4" hidden="1">{#N/A,#N/A,FALSE,"student seats 1"}</definedName>
    <definedName name="wrn.Student._.Seats._.1._5" localSheetId="10" hidden="1">{#N/A,#N/A,FALSE,"student seats 1"}</definedName>
    <definedName name="wrn.Student._.Seats._.1._5" hidden="1">{#N/A,#N/A,FALSE,"student seats 1"}</definedName>
    <definedName name="wrn.Student._.Statistics." localSheetId="10" hidden="1">{#N/A,#N/A,FALSE,"Student Statistics"}</definedName>
    <definedName name="wrn.Student._.Statistics." hidden="1">{#N/A,#N/A,FALSE,"Student Statistics"}</definedName>
    <definedName name="wrn.Student._.Statistics._1" localSheetId="10" hidden="1">{#N/A,#N/A,FALSE,"Student Statistics"}</definedName>
    <definedName name="wrn.Student._.Statistics._1" hidden="1">{#N/A,#N/A,FALSE,"Student Statistics"}</definedName>
    <definedName name="wrn.Student._.Statistics._2" localSheetId="10" hidden="1">{#N/A,#N/A,FALSE,"Student Statistics"}</definedName>
    <definedName name="wrn.Student._.Statistics._2" hidden="1">{#N/A,#N/A,FALSE,"Student Statistics"}</definedName>
    <definedName name="wrn.Student._.Statistics._3" localSheetId="10" hidden="1">{#N/A,#N/A,FALSE,"Student Statistics"}</definedName>
    <definedName name="wrn.Student._.Statistics._3" hidden="1">{#N/A,#N/A,FALSE,"Student Statistics"}</definedName>
    <definedName name="wrn.Student._.Statistics._4" localSheetId="10" hidden="1">{#N/A,#N/A,FALSE,"Student Statistics"}</definedName>
    <definedName name="wrn.Student._.Statistics._4" hidden="1">{#N/A,#N/A,FALSE,"Student Statistics"}</definedName>
    <definedName name="wrn.Student._.Statistics._5" localSheetId="10" hidden="1">{#N/A,#N/A,FALSE,"Student Statistics"}</definedName>
    <definedName name="wrn.Student._.Statistics._5" hidden="1">{#N/A,#N/A,FALSE,"Student Statistics"}</definedName>
    <definedName name="wrn.sum." localSheetId="10" hidden="1">{"Opsys",#N/A,FALSE,"NPV_OPsys";"NT",#N/A,FALSE,"NPV_NT";"DevP",#N/A,FALSE,"NPV_DevPdt";"Office",#N/A,FALSE,"NPV_Office"}</definedName>
    <definedName name="wrn.sum.">#REF!</definedName>
    <definedName name="wrn.SUMM_ADDITIONAL." localSheetId="10" hidden="1">{"SUMM_ADDITIONAL",#N/A,FALSE,"PHN_SUMMARY"}</definedName>
    <definedName name="wrn.SUMM_ADDITIONAL." hidden="1">{"SUMM_ADDITIONAL",#N/A,FALSE,"PHN_SUMMARY"}</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0" hidden="1">{"BS",#N/A,FALSE,"USA"}</definedName>
    <definedName name="wrn.SUMMARY." localSheetId="15" hidden="1">{"BS",#N/A,FALSE,"USA"}</definedName>
    <definedName name="wrn.SUMMARY." hidden="1">{"BS",#N/A,FALSE,"USA"}</definedName>
    <definedName name="wrn.Summary._.Report." localSheetId="10" hidden="1">{"Summary",#N/A,FALSE,"Summary";"IncomeStatement",#N/A,FALSE,"IS ";"BSProjection",#N/A,FALSE,"BS ";"CashFlow",#N/A,FALSE,"CF ";"Capitalization",#N/A,FALSE,"CAP"}</definedName>
    <definedName name="wrn.Summary._.Report.">#REF!</definedName>
    <definedName name="wrn.Summary._1" localSheetId="10" hidden="1">{"Summary",#N/A,FALSE,"Summary"}</definedName>
    <definedName name="wrn.Summary._1" localSheetId="15" hidden="1">{"Summary",#N/A,FALSE,"Summary"}</definedName>
    <definedName name="wrn.Summary._1" hidden="1">{"Summary",#N/A,FALSE,"Summary"}</definedName>
    <definedName name="wrn.summary_Parameters_tariffs." localSheetId="10">{"summary1",#N/A,FALSE,"Total Project Economics";"Plant Parameters",#N/A,FALSE,"Total Project Economics";"Tariffs_Unit Prices_Costs",#N/A,FALSE,"Total Project Economics"}</definedName>
    <definedName name="wrn.summary_Parameters_tariffs.">{"summary1",#N/A,FALSE,"Total Project Economics";"Plant Parameters",#N/A,FALSE,"Total Project Economics";"Tariffs_Unit Prices_Costs",#N/A,FALSE,"Total Project Economics"}</definedName>
    <definedName name="wrn.Summary_YTD." localSheetId="10"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E." localSheetId="1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2" localSheetId="10">{#N/A,#N/A,FALSE,"Summary"}</definedName>
    <definedName name="wrn.Summary2">{#N/A,#N/A,FALSE,"Summary"}</definedName>
    <definedName name="wrn.Summary3" localSheetId="10">{#N/A,#N/A,FALSE,"Summary"}</definedName>
    <definedName name="wrn.Summary3">{#N/A,#N/A,FALSE,"Summary"}</definedName>
    <definedName name="wrn.summaryANDbackup." localSheetId="10">{#N/A,#N/A,FALSE,"Prem_Sum";#N/A,#N/A,FALSE,"Prem"}</definedName>
    <definedName name="wrn.summaryANDbackup.">{#N/A,#N/A,FALSE,"Prem_Sum";#N/A,#N/A,FALSE,"Prem"}</definedName>
    <definedName name="wrn.SummaryPgs." localSheetId="1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Pgs._1" localSheetId="10"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PP_SCHD." localSheetId="10" hidden="1">{#N/A,#N/A,TRUE,"A";#N/A,#N/A,TRUE,"B";#N/A,#N/A,TRUE,"C";#N/A,#N/A,TRUE,"D";#N/A,#N/A,TRUE,"E"}</definedName>
    <definedName name="wrn.SUPP_SCHD." localSheetId="15" hidden="1">{#N/A,#N/A,TRUE,"A";#N/A,#N/A,TRUE,"B";#N/A,#N/A,TRUE,"C";#N/A,#N/A,TRUE,"D";#N/A,#N/A,TRUE,"E"}</definedName>
    <definedName name="wrn.SUPP_SCHD." hidden="1">{#N/A,#N/A,TRUE,"A";#N/A,#N/A,TRUE,"B";#N/A,#N/A,TRUE,"C";#N/A,#N/A,TRUE,"D";#N/A,#N/A,TRUE,"E"}</definedName>
    <definedName name="wrn.Supplemental_Reports." localSheetId="10">{#N/A,#N/A,FALSE,"Report Data";#N/A,#N/A,FALSE,"COMP POOL";#N/A,#N/A,FALSE,"COMP POOL NB95";#N/A,#N/A,FALSE,"COMP POOL NB94"}</definedName>
    <definedName name="wrn.Supplemental_Reports.">{#N/A,#N/A,FALSE,"Report Data";#N/A,#N/A,FALSE,"COMP POOL";#N/A,#N/A,FALSE,"COMP POOL NB95";#N/A,#N/A,FALSE,"COMP POOL NB94"}</definedName>
    <definedName name="wrn.Support." localSheetId="10" hidden="1">{#N/A,#N/A,FALSE,"TRIAL INPUT";#N/A,#N/A,FALSE,"AVG INPUT COPY";#N/A,#N/A,FALSE,"INVESTMENTS_INPUT"}</definedName>
    <definedName name="wrn.Support." localSheetId="15" hidden="1">{#N/A,#N/A,FALSE,"TRIAL INPUT";#N/A,#N/A,FALSE,"AVG INPUT COPY";#N/A,#N/A,FALSE,"INVESTMENTS_INPUT"}</definedName>
    <definedName name="wrn.Support." hidden="1">{#N/A,#N/A,FALSE,"TRIAL INPUT";#N/A,#N/A,FALSE,"AVG INPUT COPY";#N/A,#N/A,FALSE,"INVESTMENTS_INPUT"}</definedName>
    <definedName name="wrn.Survey." localSheetId="1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15"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_cash." localSheetId="10" hidden="1">{"cash_tes",#N/A,FALSE,"dec95cr.xls"}</definedName>
    <definedName name="wrn.t_cash." localSheetId="15" hidden="1">{"cash_tes",#N/A,FALSE,"dec95cr.xls"}</definedName>
    <definedName name="wrn.t_cash." hidden="1">{"cash_tes",#N/A,FALSE,"dec95cr.xls"}</definedName>
    <definedName name="wrn.Tables._.and._.Support." localSheetId="10" hidden="1">{#N/A,#N/A,FALSE,"TABLE_1 YTD";#N/A,#N/A,FALSE,"TABLE_1A QTD";#N/A,#N/A,FALSE,"NORMAL_SPREAD_QTD";#N/A,#N/A,FALSE,"NORMAL_SPREAD_YTD";#N/A,#N/A,FALSE,"TAX_EQV";#N/A,#N/A,FALSE,"TAX EQUIV_INPUT";#N/A,#N/A,FALSE,"NET FROM FER";#N/A,#N/A,FALSE,"COVER"}</definedName>
    <definedName name="wrn.Tables._.and._.Support." localSheetId="15"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bs._.for._.Dave." localSheetId="10" hidden="1">{#N/A,#N/A,FALSE,"CW Summary";#N/A,#N/A,FALSE,"Weekly Tracking";#N/A,#N/A,FALSE,"MSA";#N/A,#N/A,FALSE,"Parts";#N/A,#N/A,FALSE,"RS";#N/A,#N/A,FALSE,"Mods";#N/A,#N/A,FALSE,"GEVISA"}</definedName>
    <definedName name="wrn.Tabs._.for._.Dave." hidden="1">{#N/A,#N/A,FALSE,"CW Summary";#N/A,#N/A,FALSE,"Weekly Tracking";#N/A,#N/A,FALSE,"MSA";#N/A,#N/A,FALSE,"Parts";#N/A,#N/A,FALSE,"RS";#N/A,#N/A,FALSE,"Mods";#N/A,#N/A,FALSE,"GEVISA"}</definedName>
    <definedName name="wrn.Target." localSheetId="10" hidden="1">{"e_Target Assumptions",#N/A,FALSE,"Financials";"f_Target Income Statement",#N/A,FALSE,"Financials";"g_Target Balance Sheet",#N/A,FALSE,"Financials";"h_Target Cashflow Statement",#N/A,FALSE,"Financials"}</definedName>
    <definedName name="wrn.Target." hidden="1">{"e_Target Assumptions",#N/A,FALSE,"Financials";"f_Target Income Statement",#N/A,FALSE,"Financials";"g_Target Balance Sheet",#N/A,FALSE,"Financials";"h_Target Cashflow Statement",#N/A,FALSE,"Financials"}</definedName>
    <definedName name="wrn.TARGET._.DCF." localSheetId="10" hidden="1">{"targetdcf",#N/A,FALSE,"Merger consequences";"TARGETASSU",#N/A,FALSE,"Merger consequences";"TERMINAL VALUE",#N/A,FALSE,"Merger consequences"}</definedName>
    <definedName name="wrn.TARGET._.DCF." localSheetId="15"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1" localSheetId="10" hidden="1">{"targetdcf",#N/A,FALSE,"Merger consequences";"TARGETASSU",#N/A,FALSE,"Merger consequences";"TERMINAL VALUE",#N/A,FALSE,"Merger consequences"}</definedName>
    <definedName name="wrn.TARGET._.DCF._1" hidden="1">{"targetdcf",#N/A,FALSE,"Merger consequences";"TARGETASSU",#N/A,FALSE,"Merger consequences";"TERMINAL VALUE",#N/A,FALSE,"Merger consequences"}</definedName>
    <definedName name="wrn.TARGET._.DCF._from_DBAB" localSheetId="10" hidden="1">{"targetdcf",#N/A,FALSE,"Merger consequences";"TARGETASSU",#N/A,FALSE,"Merger consequences";"TERMINAL VALUE",#N/A,FALSE,"Merger consequences"}</definedName>
    <definedName name="wrn.TARGET._.DCF._from_DBAB" localSheetId="15"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10" hidden="1">{"targetdcf",#N/A,FALSE,"Merger consequences";"TARGETASSU",#N/A,FALSE,"Merger consequences";"TERMINAL VALUE",#N/A,FALSE,"Merger consequences"}</definedName>
    <definedName name="wrn.TARGET._.DCF._from_DBAB_1" localSheetId="15"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10" hidden="1">{"targetdcf",#N/A,FALSE,"Merger consequences";"TARGETASSU",#N/A,FALSE,"Merger consequences";"TERMINAL VALUE",#N/A,FALSE,"Merger consequences"}</definedName>
    <definedName name="wrn.TARGET._.DCF._from_DBAB_1_1" localSheetId="15"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10" hidden="1">{"targetdcf",#N/A,FALSE,"Merger consequences";"TARGETASSU",#N/A,FALSE,"Merger consequences";"TERMINAL VALUE",#N/A,FALSE,"Merger consequences"}</definedName>
    <definedName name="wrn.TARGET._.DCF._from_DBAB_1_1_1" localSheetId="15"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2" localSheetId="10" hidden="1">{"targetdcf",#N/A,FALSE,"Merger consequences";"TARGETASSU",#N/A,FALSE,"Merger consequences";"TERMINAL VALUE",#N/A,FALSE,"Merger consequences"}</definedName>
    <definedName name="wrn.TARGET._.DCF._from_DBAB_1_2" localSheetId="15"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2" localSheetId="10" hidden="1">{"targetdcf",#N/A,FALSE,"Merger consequences";"TARGETASSU",#N/A,FALSE,"Merger consequences";"TERMINAL VALUE",#N/A,FALSE,"Merger consequences"}</definedName>
    <definedName name="wrn.TARGET._.DCF._from_DBAB_2" localSheetId="15"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3" localSheetId="10" hidden="1">{"targetdcf",#N/A,FALSE,"Merger consequences";"TARGETASSU",#N/A,FALSE,"Merger consequences";"TERMINAL VALUE",#N/A,FALSE,"Merger consequences"}</definedName>
    <definedName name="wrn.TARGET._.DCF._from_DBAB_3" localSheetId="15"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4" localSheetId="10" hidden="1">{"targetdcf",#N/A,FALSE,"Merger consequences";"TARGETASSU",#N/A,FALSE,"Merger consequences";"TERMINAL VALUE",#N/A,FALSE,"Merger consequences"}</definedName>
    <definedName name="wrn.TARGET._.DCF._from_DBAB_4" localSheetId="15"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5" localSheetId="10" hidden="1">{"targetdcf",#N/A,FALSE,"Merger consequences";"TARGETASSU",#N/A,FALSE,"Merger consequences";"TERMINAL VALUE",#N/A,FALSE,"Merger consequences"}</definedName>
    <definedName name="wrn.TARGET._.DCF._from_DBAB_5" localSheetId="15"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Summary." localSheetId="10" hidden="1">{"SUMMARY",#N/A,FALSE,"Sheet1"}</definedName>
    <definedName name="wrn.Target._.Summary." hidden="1">{"SUMMARY",#N/A,FALSE,"Sheet1"}</definedName>
    <definedName name="wrn.Target._1" localSheetId="10" hidden="1">{"e_Target Assumptions",#N/A,FALSE,"Financials";"f_Target Income Statement",#N/A,FALSE,"Financials";"g_Target Balance Sheet",#N/A,FALSE,"Financials";"h_Target Cashflow Statement",#N/A,FALSE,"Financials"}</definedName>
    <definedName name="wrn.Target._1" hidden="1">{"e_Target Assumptions",#N/A,FALSE,"Financials";"f_Target Income Statement",#N/A,FALSE,"Financials";"g_Target Balance Sheet",#N/A,FALSE,"Financials";"h_Target Cashflow Statement",#N/A,FALSE,"Financials"}</definedName>
    <definedName name="wrn.Target._1_1" localSheetId="10" hidden="1">{"e_Target Assumptions",#N/A,FALSE,"Financials";"f_Target Income Statement",#N/A,FALSE,"Financials";"g_Target Balance Sheet",#N/A,FALSE,"Financials";"h_Target Cashflow Statement",#N/A,FALSE,"Financials"}</definedName>
    <definedName name="wrn.Target._1_1" hidden="1">{"e_Target Assumptions",#N/A,FALSE,"Financials";"f_Target Income Statement",#N/A,FALSE,"Financials";"g_Target Balance Sheet",#N/A,FALSE,"Financials";"h_Target Cashflow Statement",#N/A,FALSE,"Financials"}</definedName>
    <definedName name="wrn.Target._2" localSheetId="10" hidden="1">{"e_Target Assumptions",#N/A,FALSE,"Financials";"f_Target Income Statement",#N/A,FALSE,"Financials";"g_Target Balance Sheet",#N/A,FALSE,"Financials";"h_Target Cashflow Statement",#N/A,FALSE,"Financials"}</definedName>
    <definedName name="wrn.Target._2" hidden="1">{"e_Target Assumptions",#N/A,FALSE,"Financials";"f_Target Income Statement",#N/A,FALSE,"Financials";"g_Target Balance Sheet",#N/A,FALSE,"Financials";"h_Target Cashflow Statement",#N/A,FALSE,"Financials"}</definedName>
    <definedName name="wrn.TAXATION." localSheetId="10"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B._.ALL._.ACCTS." localSheetId="10" hidden="1">{"BALANCE SHEET ACCTS",#N/A,TRUE,"Working Trial Balance";"INCOME STMT ACCTS",#N/A,TRUE,"Working Trial Balance"}</definedName>
    <definedName name="wrn.TB._.ALL._.ACCTS." hidden="1">{"BALANCE SHEET ACCTS",#N/A,TRUE,"Working Trial Balance";"INCOME STMT ACCTS",#N/A,TRUE,"Working Trial Balance"}</definedName>
    <definedName name="wrn.TB._.BALANCE._.SHEET." localSheetId="10" hidden="1">{"BALANCE SHEET ACCTS",#N/A,FALSE,"Working Trial Balance"}</definedName>
    <definedName name="wrn.TB._.BALANCE._.SHEET." hidden="1">{"BALANCE SHEET ACCTS",#N/A,FALSE,"Working Trial Balance"}</definedName>
    <definedName name="wrn.TB._.EXPLANATIONS." localSheetId="10" hidden="1">{"EXPLANATIONS",#N/A,FALSE,"Working Trial Balance"}</definedName>
    <definedName name="wrn.TB._.EXPLANATIONS." hidden="1">{"EXPLANATIONS",#N/A,FALSE,"Working Trial Balance"}</definedName>
    <definedName name="wrn.TB._.INCOME._.STMT." localSheetId="10" hidden="1">{"INCOME STMT ACCTS",#N/A,FALSE,"Working Trial Balance"}</definedName>
    <definedName name="wrn.TB._.INCOME._.STMT." hidden="1">{"INCOME STMT ACCTS",#N/A,FALSE,"Working Trial Balance"}</definedName>
    <definedName name="wrn.tel2." localSheetId="10">{#N/A,#N/A,FALSE,"FS_Summary";#N/A,#N/A,FALSE,"Tel_Summary";#N/A,#N/A,FALSE,"Tomahawk";#N/A,#N/A,FALSE,"Medical Marketing";#N/A,#N/A,FALSE,"DIMAC";#N/A,#N/A,FALSE,"Epsilon";#N/A,#N/A,FALSE,"Direct";#N/A,#N/A,FALSE,"DIMAC(2)"}</definedName>
    <definedName name="wrn.tel2.">{#N/A,#N/A,FALSE,"FS_Summary";#N/A,#N/A,FALSE,"Tel_Summary";#N/A,#N/A,FALSE,"Tomahawk";#N/A,#N/A,FALSE,"Medical Marketing";#N/A,#N/A,FALSE,"DIMAC";#N/A,#N/A,FALSE,"Epsilon";#N/A,#N/A,FALSE,"Direct";#N/A,#N/A,FALSE,"DIMAC(2)"}</definedName>
    <definedName name="wrn.TELCO." localSheetId="10" hidden="1">{#N/A,#N/A,FALSE,"TEL Monthly Inc";#N/A,#N/A,FALSE,"TEL REVENUE";#N/A,#N/A,FALSE,"Tel - Manpower";#N/A,#N/A,FALSE,"Tel Sales Support";#N/A,#N/A,FALSE,"SI - TELCO";#N/A,#N/A,FALSE,"Sales - Telco";#N/A,#N/A,FALSE,"Tel - Mktg";#N/A,#N/A,FALSE,"Tel - Mktg"}</definedName>
    <definedName name="wrn.TELCO." hidden="1">{#N/A,#N/A,FALSE,"TEL Monthly Inc";#N/A,#N/A,FALSE,"TEL REVENUE";#N/A,#N/A,FALSE,"Tel - Manpower";#N/A,#N/A,FALSE,"Tel Sales Support";#N/A,#N/A,FALSE,"SI - TELCO";#N/A,#N/A,FALSE,"Sales - Telco";#N/A,#N/A,FALSE,"Tel - Mktg";#N/A,#N/A,FALSE,"Tel - Mktg"}</definedName>
    <definedName name="wrn.TELCO._1" localSheetId="10" hidden="1">{#N/A,#N/A,FALSE,"TEL Monthly Inc";#N/A,#N/A,FALSE,"TEL REVENUE";#N/A,#N/A,FALSE,"Tel - Manpower";#N/A,#N/A,FALSE,"Tel Sales Support";#N/A,#N/A,FALSE,"SI - TELCO";#N/A,#N/A,FALSE,"Sales - Telco";#N/A,#N/A,FALSE,"Tel - Mktg";#N/A,#N/A,FALSE,"Tel - Mktg"}</definedName>
    <definedName name="wrn.TELCO._1" hidden="1">{#N/A,#N/A,FALSE,"TEL Monthly Inc";#N/A,#N/A,FALSE,"TEL REVENUE";#N/A,#N/A,FALSE,"Tel - Manpower";#N/A,#N/A,FALSE,"Tel Sales Support";#N/A,#N/A,FALSE,"SI - TELCO";#N/A,#N/A,FALSE,"Sales - Telco";#N/A,#N/A,FALSE,"Tel - Mktg";#N/A,#N/A,FALSE,"Tel - Mktg"}</definedName>
    <definedName name="wrn.TELCO._1_1" localSheetId="10" hidden="1">{#N/A,#N/A,FALSE,"TEL Monthly Inc";#N/A,#N/A,FALSE,"TEL REVENUE";#N/A,#N/A,FALSE,"Tel - Manpower";#N/A,#N/A,FALSE,"Tel Sales Support";#N/A,#N/A,FALSE,"SI - TELCO";#N/A,#N/A,FALSE,"Sales - Telco";#N/A,#N/A,FALSE,"Tel - Mktg";#N/A,#N/A,FALSE,"Tel - Mktg"}</definedName>
    <definedName name="wrn.TELCO._1_1" hidden="1">{#N/A,#N/A,FALSE,"TEL Monthly Inc";#N/A,#N/A,FALSE,"TEL REVENUE";#N/A,#N/A,FALSE,"Tel - Manpower";#N/A,#N/A,FALSE,"Tel Sales Support";#N/A,#N/A,FALSE,"SI - TELCO";#N/A,#N/A,FALSE,"Sales - Telco";#N/A,#N/A,FALSE,"Tel - Mktg";#N/A,#N/A,FALSE,"Tel - Mktg"}</definedName>
    <definedName name="wrn.TELCO._1_1_1" localSheetId="10" hidden="1">{#N/A,#N/A,FALSE,"TEL Monthly Inc";#N/A,#N/A,FALSE,"TEL REVENUE";#N/A,#N/A,FALSE,"Tel - Manpower";#N/A,#N/A,FALSE,"Tel Sales Support";#N/A,#N/A,FALSE,"SI - TELCO";#N/A,#N/A,FALSE,"Sales - Telco";#N/A,#N/A,FALSE,"Tel - Mktg";#N/A,#N/A,FALSE,"Tel - Mktg"}</definedName>
    <definedName name="wrn.TELCO._1_1_1" hidden="1">{#N/A,#N/A,FALSE,"TEL Monthly Inc";#N/A,#N/A,FALSE,"TEL REVENUE";#N/A,#N/A,FALSE,"Tel - Manpower";#N/A,#N/A,FALSE,"Tel Sales Support";#N/A,#N/A,FALSE,"SI - TELCO";#N/A,#N/A,FALSE,"Sales - Telco";#N/A,#N/A,FALSE,"Tel - Mktg";#N/A,#N/A,FALSE,"Tel - Mktg"}</definedName>
    <definedName name="wrn.TELCO._1_1_2" localSheetId="10" hidden="1">{#N/A,#N/A,FALSE,"TEL Monthly Inc";#N/A,#N/A,FALSE,"TEL REVENUE";#N/A,#N/A,FALSE,"Tel - Manpower";#N/A,#N/A,FALSE,"Tel Sales Support";#N/A,#N/A,FALSE,"SI - TELCO";#N/A,#N/A,FALSE,"Sales - Telco";#N/A,#N/A,FALSE,"Tel - Mktg";#N/A,#N/A,FALSE,"Tel - Mktg"}</definedName>
    <definedName name="wrn.TELCO._1_1_2" hidden="1">{#N/A,#N/A,FALSE,"TEL Monthly Inc";#N/A,#N/A,FALSE,"TEL REVENUE";#N/A,#N/A,FALSE,"Tel - Manpower";#N/A,#N/A,FALSE,"Tel Sales Support";#N/A,#N/A,FALSE,"SI - TELCO";#N/A,#N/A,FALSE,"Sales - Telco";#N/A,#N/A,FALSE,"Tel - Mktg";#N/A,#N/A,FALSE,"Tel - Mktg"}</definedName>
    <definedName name="wrn.TELCO._1_1_3" localSheetId="10" hidden="1">{#N/A,#N/A,FALSE,"TEL Monthly Inc";#N/A,#N/A,FALSE,"TEL REVENUE";#N/A,#N/A,FALSE,"Tel - Manpower";#N/A,#N/A,FALSE,"Tel Sales Support";#N/A,#N/A,FALSE,"SI - TELCO";#N/A,#N/A,FALSE,"Sales - Telco";#N/A,#N/A,FALSE,"Tel - Mktg";#N/A,#N/A,FALSE,"Tel - Mktg"}</definedName>
    <definedName name="wrn.TELCO._1_1_3" hidden="1">{#N/A,#N/A,FALSE,"TEL Monthly Inc";#N/A,#N/A,FALSE,"TEL REVENUE";#N/A,#N/A,FALSE,"Tel - Manpower";#N/A,#N/A,FALSE,"Tel Sales Support";#N/A,#N/A,FALSE,"SI - TELCO";#N/A,#N/A,FALSE,"Sales - Telco";#N/A,#N/A,FALSE,"Tel - Mktg";#N/A,#N/A,FALSE,"Tel - Mktg"}</definedName>
    <definedName name="wrn.TELCO._1_1_4" localSheetId="10" hidden="1">{#N/A,#N/A,FALSE,"TEL Monthly Inc";#N/A,#N/A,FALSE,"TEL REVENUE";#N/A,#N/A,FALSE,"Tel - Manpower";#N/A,#N/A,FALSE,"Tel Sales Support";#N/A,#N/A,FALSE,"SI - TELCO";#N/A,#N/A,FALSE,"Sales - Telco";#N/A,#N/A,FALSE,"Tel - Mktg";#N/A,#N/A,FALSE,"Tel - Mktg"}</definedName>
    <definedName name="wrn.TELCO._1_1_4" hidden="1">{#N/A,#N/A,FALSE,"TEL Monthly Inc";#N/A,#N/A,FALSE,"TEL REVENUE";#N/A,#N/A,FALSE,"Tel - Manpower";#N/A,#N/A,FALSE,"Tel Sales Support";#N/A,#N/A,FALSE,"SI - TELCO";#N/A,#N/A,FALSE,"Sales - Telco";#N/A,#N/A,FALSE,"Tel - Mktg";#N/A,#N/A,FALSE,"Tel - Mktg"}</definedName>
    <definedName name="wrn.TELCO._1_1_5" localSheetId="10" hidden="1">{#N/A,#N/A,FALSE,"TEL Monthly Inc";#N/A,#N/A,FALSE,"TEL REVENUE";#N/A,#N/A,FALSE,"Tel - Manpower";#N/A,#N/A,FALSE,"Tel Sales Support";#N/A,#N/A,FALSE,"SI - TELCO";#N/A,#N/A,FALSE,"Sales - Telco";#N/A,#N/A,FALSE,"Tel - Mktg";#N/A,#N/A,FALSE,"Tel - Mktg"}</definedName>
    <definedName name="wrn.TELCO._1_1_5" hidden="1">{#N/A,#N/A,FALSE,"TEL Monthly Inc";#N/A,#N/A,FALSE,"TEL REVENUE";#N/A,#N/A,FALSE,"Tel - Manpower";#N/A,#N/A,FALSE,"Tel Sales Support";#N/A,#N/A,FALSE,"SI - TELCO";#N/A,#N/A,FALSE,"Sales - Telco";#N/A,#N/A,FALSE,"Tel - Mktg";#N/A,#N/A,FALSE,"Tel - Mktg"}</definedName>
    <definedName name="wrn.TELCO._1_2" localSheetId="10" hidden="1">{#N/A,#N/A,FALSE,"TEL Monthly Inc";#N/A,#N/A,FALSE,"TEL REVENUE";#N/A,#N/A,FALSE,"Tel - Manpower";#N/A,#N/A,FALSE,"Tel Sales Support";#N/A,#N/A,FALSE,"SI - TELCO";#N/A,#N/A,FALSE,"Sales - Telco";#N/A,#N/A,FALSE,"Tel - Mktg";#N/A,#N/A,FALSE,"Tel - Mktg"}</definedName>
    <definedName name="wrn.TELCO._1_2" hidden="1">{#N/A,#N/A,FALSE,"TEL Monthly Inc";#N/A,#N/A,FALSE,"TEL REVENUE";#N/A,#N/A,FALSE,"Tel - Manpower";#N/A,#N/A,FALSE,"Tel Sales Support";#N/A,#N/A,FALSE,"SI - TELCO";#N/A,#N/A,FALSE,"Sales - Telco";#N/A,#N/A,FALSE,"Tel - Mktg";#N/A,#N/A,FALSE,"Tel - Mktg"}</definedName>
    <definedName name="wrn.TELCO._1_3" localSheetId="10" hidden="1">{#N/A,#N/A,FALSE,"TEL Monthly Inc";#N/A,#N/A,FALSE,"TEL REVENUE";#N/A,#N/A,FALSE,"Tel - Manpower";#N/A,#N/A,FALSE,"Tel Sales Support";#N/A,#N/A,FALSE,"SI - TELCO";#N/A,#N/A,FALSE,"Sales - Telco";#N/A,#N/A,FALSE,"Tel - Mktg";#N/A,#N/A,FALSE,"Tel - Mktg"}</definedName>
    <definedName name="wrn.TELCO._1_3" hidden="1">{#N/A,#N/A,FALSE,"TEL Monthly Inc";#N/A,#N/A,FALSE,"TEL REVENUE";#N/A,#N/A,FALSE,"Tel - Manpower";#N/A,#N/A,FALSE,"Tel Sales Support";#N/A,#N/A,FALSE,"SI - TELCO";#N/A,#N/A,FALSE,"Sales - Telco";#N/A,#N/A,FALSE,"Tel - Mktg";#N/A,#N/A,FALSE,"Tel - Mktg"}</definedName>
    <definedName name="wrn.TELCO._1_4" localSheetId="10" hidden="1">{#N/A,#N/A,FALSE,"TEL Monthly Inc";#N/A,#N/A,FALSE,"TEL REVENUE";#N/A,#N/A,FALSE,"Tel - Manpower";#N/A,#N/A,FALSE,"Tel Sales Support";#N/A,#N/A,FALSE,"SI - TELCO";#N/A,#N/A,FALSE,"Sales - Telco";#N/A,#N/A,FALSE,"Tel - Mktg";#N/A,#N/A,FALSE,"Tel - Mktg"}</definedName>
    <definedName name="wrn.TELCO._1_4" hidden="1">{#N/A,#N/A,FALSE,"TEL Monthly Inc";#N/A,#N/A,FALSE,"TEL REVENUE";#N/A,#N/A,FALSE,"Tel - Manpower";#N/A,#N/A,FALSE,"Tel Sales Support";#N/A,#N/A,FALSE,"SI - TELCO";#N/A,#N/A,FALSE,"Sales - Telco";#N/A,#N/A,FALSE,"Tel - Mktg";#N/A,#N/A,FALSE,"Tel - Mktg"}</definedName>
    <definedName name="wrn.TELCO._1_5" localSheetId="10" hidden="1">{#N/A,#N/A,FALSE,"TEL Monthly Inc";#N/A,#N/A,FALSE,"TEL REVENUE";#N/A,#N/A,FALSE,"Tel - Manpower";#N/A,#N/A,FALSE,"Tel Sales Support";#N/A,#N/A,FALSE,"SI - TELCO";#N/A,#N/A,FALSE,"Sales - Telco";#N/A,#N/A,FALSE,"Tel - Mktg";#N/A,#N/A,FALSE,"Tel - Mktg"}</definedName>
    <definedName name="wrn.TELCO._1_5" hidden="1">{#N/A,#N/A,FALSE,"TEL Monthly Inc";#N/A,#N/A,FALSE,"TEL REVENUE";#N/A,#N/A,FALSE,"Tel - Manpower";#N/A,#N/A,FALSE,"Tel Sales Support";#N/A,#N/A,FALSE,"SI - TELCO";#N/A,#N/A,FALSE,"Sales - Telco";#N/A,#N/A,FALSE,"Tel - Mktg";#N/A,#N/A,FALSE,"Tel - Mktg"}</definedName>
    <definedName name="wrn.TELCO._2" localSheetId="10" hidden="1">{#N/A,#N/A,FALSE,"TEL Monthly Inc";#N/A,#N/A,FALSE,"TEL REVENUE";#N/A,#N/A,FALSE,"Tel - Manpower";#N/A,#N/A,FALSE,"Tel Sales Support";#N/A,#N/A,FALSE,"SI - TELCO";#N/A,#N/A,FALSE,"Sales - Telco";#N/A,#N/A,FALSE,"Tel - Mktg";#N/A,#N/A,FALSE,"Tel - Mktg"}</definedName>
    <definedName name="wrn.TELCO._2" hidden="1">{#N/A,#N/A,FALSE,"TEL Monthly Inc";#N/A,#N/A,FALSE,"TEL REVENUE";#N/A,#N/A,FALSE,"Tel - Manpower";#N/A,#N/A,FALSE,"Tel Sales Support";#N/A,#N/A,FALSE,"SI - TELCO";#N/A,#N/A,FALSE,"Sales - Telco";#N/A,#N/A,FALSE,"Tel - Mktg";#N/A,#N/A,FALSE,"Tel - Mktg"}</definedName>
    <definedName name="wrn.TELCO._2_1" localSheetId="10" hidden="1">{#N/A,#N/A,FALSE,"TEL Monthly Inc";#N/A,#N/A,FALSE,"TEL REVENUE";#N/A,#N/A,FALSE,"Tel - Manpower";#N/A,#N/A,FALSE,"Tel Sales Support";#N/A,#N/A,FALSE,"SI - TELCO";#N/A,#N/A,FALSE,"Sales - Telco";#N/A,#N/A,FALSE,"Tel - Mktg";#N/A,#N/A,FALSE,"Tel - Mktg"}</definedName>
    <definedName name="wrn.TELCO._2_1" hidden="1">{#N/A,#N/A,FALSE,"TEL Monthly Inc";#N/A,#N/A,FALSE,"TEL REVENUE";#N/A,#N/A,FALSE,"Tel - Manpower";#N/A,#N/A,FALSE,"Tel Sales Support";#N/A,#N/A,FALSE,"SI - TELCO";#N/A,#N/A,FALSE,"Sales - Telco";#N/A,#N/A,FALSE,"Tel - Mktg";#N/A,#N/A,FALSE,"Tel - Mktg"}</definedName>
    <definedName name="wrn.TELCO._2_2" localSheetId="10" hidden="1">{#N/A,#N/A,FALSE,"TEL Monthly Inc";#N/A,#N/A,FALSE,"TEL REVENUE";#N/A,#N/A,FALSE,"Tel - Manpower";#N/A,#N/A,FALSE,"Tel Sales Support";#N/A,#N/A,FALSE,"SI - TELCO";#N/A,#N/A,FALSE,"Sales - Telco";#N/A,#N/A,FALSE,"Tel - Mktg";#N/A,#N/A,FALSE,"Tel - Mktg"}</definedName>
    <definedName name="wrn.TELCO._2_2" hidden="1">{#N/A,#N/A,FALSE,"TEL Monthly Inc";#N/A,#N/A,FALSE,"TEL REVENUE";#N/A,#N/A,FALSE,"Tel - Manpower";#N/A,#N/A,FALSE,"Tel Sales Support";#N/A,#N/A,FALSE,"SI - TELCO";#N/A,#N/A,FALSE,"Sales - Telco";#N/A,#N/A,FALSE,"Tel - Mktg";#N/A,#N/A,FALSE,"Tel - Mktg"}</definedName>
    <definedName name="wrn.TELCO._2_3" localSheetId="10" hidden="1">{#N/A,#N/A,FALSE,"TEL Monthly Inc";#N/A,#N/A,FALSE,"TEL REVENUE";#N/A,#N/A,FALSE,"Tel - Manpower";#N/A,#N/A,FALSE,"Tel Sales Support";#N/A,#N/A,FALSE,"SI - TELCO";#N/A,#N/A,FALSE,"Sales - Telco";#N/A,#N/A,FALSE,"Tel - Mktg";#N/A,#N/A,FALSE,"Tel - Mktg"}</definedName>
    <definedName name="wrn.TELCO._2_3" hidden="1">{#N/A,#N/A,FALSE,"TEL Monthly Inc";#N/A,#N/A,FALSE,"TEL REVENUE";#N/A,#N/A,FALSE,"Tel - Manpower";#N/A,#N/A,FALSE,"Tel Sales Support";#N/A,#N/A,FALSE,"SI - TELCO";#N/A,#N/A,FALSE,"Sales - Telco";#N/A,#N/A,FALSE,"Tel - Mktg";#N/A,#N/A,FALSE,"Tel - Mktg"}</definedName>
    <definedName name="wrn.TELCO._2_4" localSheetId="10" hidden="1">{#N/A,#N/A,FALSE,"TEL Monthly Inc";#N/A,#N/A,FALSE,"TEL REVENUE";#N/A,#N/A,FALSE,"Tel - Manpower";#N/A,#N/A,FALSE,"Tel Sales Support";#N/A,#N/A,FALSE,"SI - TELCO";#N/A,#N/A,FALSE,"Sales - Telco";#N/A,#N/A,FALSE,"Tel - Mktg";#N/A,#N/A,FALSE,"Tel - Mktg"}</definedName>
    <definedName name="wrn.TELCO._2_4" hidden="1">{#N/A,#N/A,FALSE,"TEL Monthly Inc";#N/A,#N/A,FALSE,"TEL REVENUE";#N/A,#N/A,FALSE,"Tel - Manpower";#N/A,#N/A,FALSE,"Tel Sales Support";#N/A,#N/A,FALSE,"SI - TELCO";#N/A,#N/A,FALSE,"Sales - Telco";#N/A,#N/A,FALSE,"Tel - Mktg";#N/A,#N/A,FALSE,"Tel - Mktg"}</definedName>
    <definedName name="wrn.TELCO._2_5" localSheetId="10" hidden="1">{#N/A,#N/A,FALSE,"TEL Monthly Inc";#N/A,#N/A,FALSE,"TEL REVENUE";#N/A,#N/A,FALSE,"Tel - Manpower";#N/A,#N/A,FALSE,"Tel Sales Support";#N/A,#N/A,FALSE,"SI - TELCO";#N/A,#N/A,FALSE,"Sales - Telco";#N/A,#N/A,FALSE,"Tel - Mktg";#N/A,#N/A,FALSE,"Tel - Mktg"}</definedName>
    <definedName name="wrn.TELCO._2_5" hidden="1">{#N/A,#N/A,FALSE,"TEL Monthly Inc";#N/A,#N/A,FALSE,"TEL REVENUE";#N/A,#N/A,FALSE,"Tel - Manpower";#N/A,#N/A,FALSE,"Tel Sales Support";#N/A,#N/A,FALSE,"SI - TELCO";#N/A,#N/A,FALSE,"Sales - Telco";#N/A,#N/A,FALSE,"Tel - Mktg";#N/A,#N/A,FALSE,"Tel - Mktg"}</definedName>
    <definedName name="wrn.TELCO._3" localSheetId="10" hidden="1">{#N/A,#N/A,FALSE,"TEL Monthly Inc";#N/A,#N/A,FALSE,"TEL REVENUE";#N/A,#N/A,FALSE,"Tel - Manpower";#N/A,#N/A,FALSE,"Tel Sales Support";#N/A,#N/A,FALSE,"SI - TELCO";#N/A,#N/A,FALSE,"Sales - Telco";#N/A,#N/A,FALSE,"Tel - Mktg";#N/A,#N/A,FALSE,"Tel - Mktg"}</definedName>
    <definedName name="wrn.TELCO._3" hidden="1">{#N/A,#N/A,FALSE,"TEL Monthly Inc";#N/A,#N/A,FALSE,"TEL REVENUE";#N/A,#N/A,FALSE,"Tel - Manpower";#N/A,#N/A,FALSE,"Tel Sales Support";#N/A,#N/A,FALSE,"SI - TELCO";#N/A,#N/A,FALSE,"Sales - Telco";#N/A,#N/A,FALSE,"Tel - Mktg";#N/A,#N/A,FALSE,"Tel - Mktg"}</definedName>
    <definedName name="wrn.TELCO._3_1" localSheetId="10" hidden="1">{#N/A,#N/A,FALSE,"TEL Monthly Inc";#N/A,#N/A,FALSE,"TEL REVENUE";#N/A,#N/A,FALSE,"Tel - Manpower";#N/A,#N/A,FALSE,"Tel Sales Support";#N/A,#N/A,FALSE,"SI - TELCO";#N/A,#N/A,FALSE,"Sales - Telco";#N/A,#N/A,FALSE,"Tel - Mktg";#N/A,#N/A,FALSE,"Tel - Mktg"}</definedName>
    <definedName name="wrn.TELCO._3_1" hidden="1">{#N/A,#N/A,FALSE,"TEL Monthly Inc";#N/A,#N/A,FALSE,"TEL REVENUE";#N/A,#N/A,FALSE,"Tel - Manpower";#N/A,#N/A,FALSE,"Tel Sales Support";#N/A,#N/A,FALSE,"SI - TELCO";#N/A,#N/A,FALSE,"Sales - Telco";#N/A,#N/A,FALSE,"Tel - Mktg";#N/A,#N/A,FALSE,"Tel - Mktg"}</definedName>
    <definedName name="wrn.TELCO._3_2" localSheetId="10" hidden="1">{#N/A,#N/A,FALSE,"TEL Monthly Inc";#N/A,#N/A,FALSE,"TEL REVENUE";#N/A,#N/A,FALSE,"Tel - Manpower";#N/A,#N/A,FALSE,"Tel Sales Support";#N/A,#N/A,FALSE,"SI - TELCO";#N/A,#N/A,FALSE,"Sales - Telco";#N/A,#N/A,FALSE,"Tel - Mktg";#N/A,#N/A,FALSE,"Tel - Mktg"}</definedName>
    <definedName name="wrn.TELCO._3_2" hidden="1">{#N/A,#N/A,FALSE,"TEL Monthly Inc";#N/A,#N/A,FALSE,"TEL REVENUE";#N/A,#N/A,FALSE,"Tel - Manpower";#N/A,#N/A,FALSE,"Tel Sales Support";#N/A,#N/A,FALSE,"SI - TELCO";#N/A,#N/A,FALSE,"Sales - Telco";#N/A,#N/A,FALSE,"Tel - Mktg";#N/A,#N/A,FALSE,"Tel - Mktg"}</definedName>
    <definedName name="wrn.TELCO._3_3" localSheetId="10" hidden="1">{#N/A,#N/A,FALSE,"TEL Monthly Inc";#N/A,#N/A,FALSE,"TEL REVENUE";#N/A,#N/A,FALSE,"Tel - Manpower";#N/A,#N/A,FALSE,"Tel Sales Support";#N/A,#N/A,FALSE,"SI - TELCO";#N/A,#N/A,FALSE,"Sales - Telco";#N/A,#N/A,FALSE,"Tel - Mktg";#N/A,#N/A,FALSE,"Tel - Mktg"}</definedName>
    <definedName name="wrn.TELCO._3_3" hidden="1">{#N/A,#N/A,FALSE,"TEL Monthly Inc";#N/A,#N/A,FALSE,"TEL REVENUE";#N/A,#N/A,FALSE,"Tel - Manpower";#N/A,#N/A,FALSE,"Tel Sales Support";#N/A,#N/A,FALSE,"SI - TELCO";#N/A,#N/A,FALSE,"Sales - Telco";#N/A,#N/A,FALSE,"Tel - Mktg";#N/A,#N/A,FALSE,"Tel - Mktg"}</definedName>
    <definedName name="wrn.TELCO._3_4" localSheetId="10" hidden="1">{#N/A,#N/A,FALSE,"TEL Monthly Inc";#N/A,#N/A,FALSE,"TEL REVENUE";#N/A,#N/A,FALSE,"Tel - Manpower";#N/A,#N/A,FALSE,"Tel Sales Support";#N/A,#N/A,FALSE,"SI - TELCO";#N/A,#N/A,FALSE,"Sales - Telco";#N/A,#N/A,FALSE,"Tel - Mktg";#N/A,#N/A,FALSE,"Tel - Mktg"}</definedName>
    <definedName name="wrn.TELCO._3_4" hidden="1">{#N/A,#N/A,FALSE,"TEL Monthly Inc";#N/A,#N/A,FALSE,"TEL REVENUE";#N/A,#N/A,FALSE,"Tel - Manpower";#N/A,#N/A,FALSE,"Tel Sales Support";#N/A,#N/A,FALSE,"SI - TELCO";#N/A,#N/A,FALSE,"Sales - Telco";#N/A,#N/A,FALSE,"Tel - Mktg";#N/A,#N/A,FALSE,"Tel - Mktg"}</definedName>
    <definedName name="wrn.TELCO._3_5" localSheetId="10" hidden="1">{#N/A,#N/A,FALSE,"TEL Monthly Inc";#N/A,#N/A,FALSE,"TEL REVENUE";#N/A,#N/A,FALSE,"Tel - Manpower";#N/A,#N/A,FALSE,"Tel Sales Support";#N/A,#N/A,FALSE,"SI - TELCO";#N/A,#N/A,FALSE,"Sales - Telco";#N/A,#N/A,FALSE,"Tel - Mktg";#N/A,#N/A,FALSE,"Tel - Mktg"}</definedName>
    <definedName name="wrn.TELCO._3_5" hidden="1">{#N/A,#N/A,FALSE,"TEL Monthly Inc";#N/A,#N/A,FALSE,"TEL REVENUE";#N/A,#N/A,FALSE,"Tel - Manpower";#N/A,#N/A,FALSE,"Tel Sales Support";#N/A,#N/A,FALSE,"SI - TELCO";#N/A,#N/A,FALSE,"Sales - Telco";#N/A,#N/A,FALSE,"Tel - Mktg";#N/A,#N/A,FALSE,"Tel - Mktg"}</definedName>
    <definedName name="wrn.TELCO._4" localSheetId="10" hidden="1">{#N/A,#N/A,FALSE,"TEL Monthly Inc";#N/A,#N/A,FALSE,"TEL REVENUE";#N/A,#N/A,FALSE,"Tel - Manpower";#N/A,#N/A,FALSE,"Tel Sales Support";#N/A,#N/A,FALSE,"SI - TELCO";#N/A,#N/A,FALSE,"Sales - Telco";#N/A,#N/A,FALSE,"Tel - Mktg";#N/A,#N/A,FALSE,"Tel - Mktg"}</definedName>
    <definedName name="wrn.TELCO._4" hidden="1">{#N/A,#N/A,FALSE,"TEL Monthly Inc";#N/A,#N/A,FALSE,"TEL REVENUE";#N/A,#N/A,FALSE,"Tel - Manpower";#N/A,#N/A,FALSE,"Tel Sales Support";#N/A,#N/A,FALSE,"SI - TELCO";#N/A,#N/A,FALSE,"Sales - Telco";#N/A,#N/A,FALSE,"Tel - Mktg";#N/A,#N/A,FALSE,"Tel - Mktg"}</definedName>
    <definedName name="wrn.TELCO._5" localSheetId="10" hidden="1">{#N/A,#N/A,FALSE,"TEL Monthly Inc";#N/A,#N/A,FALSE,"TEL REVENUE";#N/A,#N/A,FALSE,"Tel - Manpower";#N/A,#N/A,FALSE,"Tel Sales Support";#N/A,#N/A,FALSE,"SI - TELCO";#N/A,#N/A,FALSE,"Sales - Telco";#N/A,#N/A,FALSE,"Tel - Mktg";#N/A,#N/A,FALSE,"Tel - Mktg"}</definedName>
    <definedName name="wrn.TELCO._5" hidden="1">{#N/A,#N/A,FALSE,"TEL Monthly Inc";#N/A,#N/A,FALSE,"TEL REVENUE";#N/A,#N/A,FALSE,"Tel - Manpower";#N/A,#N/A,FALSE,"Tel Sales Support";#N/A,#N/A,FALSE,"SI - TELCO";#N/A,#N/A,FALSE,"Sales - Telco";#N/A,#N/A,FALSE,"Tel - Mktg";#N/A,#N/A,FALSE,"Tel - Mktg"}</definedName>
    <definedName name="wrn.telem." localSheetId="10">{#N/A,#N/A,FALSE,"FS_Summary";#N/A,#N/A,FALSE,"Tomahawk";#N/A,#N/A,FALSE,"Medical Marketing";#N/A,#N/A,FALSE,"Epsilon";#N/A,#N/A,FALSE,"DIMAC";#N/A,#N/A,FALSE,"Direct";#N/A,#N/A,FALSE,"DIMAC(2)"}</definedName>
    <definedName name="wrn.telem.">{#N/A,#N/A,FALSE,"FS_Summary";#N/A,#N/A,FALSE,"Tomahawk";#N/A,#N/A,FALSE,"Medical Marketing";#N/A,#N/A,FALSE,"Epsilon";#N/A,#N/A,FALSE,"DIMAC";#N/A,#N/A,FALSE,"Direct";#N/A,#N/A,FALSE,"DIMAC(2)"}</definedName>
    <definedName name="wrn.TenQ." localSheetId="10">{"TenQ IS",#N/A,TRUE,"10Q Format IS";"TenQ BS",#N/A,TRUE,"10Q Format BS";"TenQ Csh Flo",#N/A,TRUE,"10Q Format Cash Flow";"TenQ Notes",#N/A,TRUE,"10Q Format Notes to Financials"}</definedName>
    <definedName name="wrn.TenQ.">{"TenQ IS",#N/A,TRUE,"10Q Format IS";"TenQ BS",#N/A,TRUE,"10Q Format BS";"TenQ Csh Flo",#N/A,TRUE,"10Q Format Cash Flow";"TenQ Notes",#N/A,TRUE,"10Q Format Notes to Financials"}</definedName>
    <definedName name="wrn.test." localSheetId="10" hidden="1">{"test2",#N/A,TRUE,"Prices"}</definedName>
    <definedName name="wrn.test." localSheetId="15" hidden="1">{"test2",#N/A,TRUE,"Prices"}</definedName>
    <definedName name="wrn.test." hidden="1">{"test2",#N/A,TRUE,"Prices"}</definedName>
    <definedName name="wrn.test._1" localSheetId="10" hidden="1">{"Cash Flow",#N/A,FALSE,"Cash Flow"}</definedName>
    <definedName name="wrn.test._1" hidden="1">{"Cash Flow",#N/A,FALSE,"Cash Flow"}</definedName>
    <definedName name="wrn.test1." localSheetId="10" hidden="1">{"Income Statement",#N/A,FALSE,"CFMODEL";"Balance Sheet",#N/A,FALSE,"CFMODEL"}</definedName>
    <definedName name="wrn.test1." hidden="1">{"Income Statement",#N/A,FALSE,"CFMODEL";"Balance Sheet",#N/A,FALSE,"CFMODEL"}</definedName>
    <definedName name="wrn.test2." localSheetId="10" hidden="1">{"F3 detail",#N/A,FALSE,"F3 ";"F3 Presentation",#N/A,FALSE,"F3 "}</definedName>
    <definedName name="wrn.test2." hidden="1">{"F3 detail",#N/A,FALSE,"F3 ";"F3 Presentation",#N/A,FALSE,"F3 "}</definedName>
    <definedName name="wrn.test3" localSheetId="10" hidden="1">{"F3 detail",#N/A,FALSE,"F3 ";"F3 Presentation",#N/A,FALSE,"F3 "}</definedName>
    <definedName name="wrn.test3" hidden="1">{"F3 detail",#N/A,FALSE,"F3 ";"F3 Presentation",#N/A,FALSE,"F3 "}</definedName>
    <definedName name="wrn.test3." localSheetId="10" hidden="1">{"F3 detail",#N/A,FALSE,"F1";"F3 Presentation",#N/A,FALSE,"F3 "}</definedName>
    <definedName name="wrn.test3." hidden="1">{"F3 detail",#N/A,FALSE,"F1";"F3 Presentation",#N/A,FALSE,"F3 "}</definedName>
    <definedName name="wrn.test4." localSheetId="10" hidden="1">{"SourcesUses",#N/A,TRUE,"FundsFlow";"TransOverview",#N/A,TRUE,"FundsFlow"}</definedName>
    <definedName name="wrn.test4." hidden="1">{"SourcesUses",#N/A,TRUE,"FundsFlow";"TransOverview",#N/A,TRUE,"FundsFlow"}</definedName>
    <definedName name="wrn.TESTcount." localSheetId="10" hidden="1">{#N/A,#N/A,FALSE,"TESTcount"}</definedName>
    <definedName name="wrn.TESTcount." hidden="1">{#N/A,#N/A,FALSE,"TESTcount"}</definedName>
    <definedName name="wrn.Textron." localSheetId="10" hidden="1">{#N/A,#N/A,FALSE,"IS";#N/A,#N/A,FALSE,"SG";#N/A,#N/A,FALSE,"FF";#N/A,#N/A,FALSE,"BS";#N/A,#N/A,FALSE,"DCF";#N/A,#N/A,FALSE,"EVA";#N/A,#N/A,FALSE,"Air";#N/A,#N/A,FALSE,"Car";#N/A,#N/A,FALSE,"Ind";#N/A,#N/A,FALSE,"Sys";#N/A,#N/A,FALSE,"Fin";#N/A,#N/A,FALSE,"Prl";#N/A,#N/A,FALSE,"Ces";#N/A,#N/A,FALSE,"Bell";#N/A,#N/A,FALSE,"Com1";#N/A,#N/A,FALSE,"Com2";#N/A,#N/A,FALSE,"IBES";#N/A,#N/A,FALSE,"EV hist"}</definedName>
    <definedName name="wrn.Textron." hidden="1">{#N/A,#N/A,FALSE,"IS";#N/A,#N/A,FALSE,"SG";#N/A,#N/A,FALSE,"FF";#N/A,#N/A,FALSE,"BS";#N/A,#N/A,FALSE,"DCF";#N/A,#N/A,FALSE,"EVA";#N/A,#N/A,FALSE,"Air";#N/A,#N/A,FALSE,"Car";#N/A,#N/A,FALSE,"Ind";#N/A,#N/A,FALSE,"Sys";#N/A,#N/A,FALSE,"Fin";#N/A,#N/A,FALSE,"Prl";#N/A,#N/A,FALSE,"Ces";#N/A,#N/A,FALSE,"Bell";#N/A,#N/A,FALSE,"Com1";#N/A,#N/A,FALSE,"Com2";#N/A,#N/A,FALSE,"IBES";#N/A,#N/A,FALSE,"EV hist"}</definedName>
    <definedName name="wrn.THOROLD._.MANPOWER._.ONLY." localSheetId="10" hidden="1">{"MANPOWER ONLY",#N/A,FALSE,"THOR_Mnpwr"}</definedName>
    <definedName name="wrn.THOROLD._.MANPOWER._.ONLY." hidden="1">{"MANPOWER ONLY",#N/A,FALSE,"THOR_Mnpwr"}</definedName>
    <definedName name="wrn.THOROLD._.NO._.ASSY._.COMPLETE." localSheetId="10" hidden="1">{"THOROLD NO ASSY COMPLETE",#N/A,FALSE,"THOR_Mnpwr"}</definedName>
    <definedName name="wrn.THOROLD._.NO._.ASSY._.COMPLETE." hidden="1">{"THOROLD NO ASSY COMPLETE",#N/A,FALSE,"THOR_Mnpwr"}</definedName>
    <definedName name="wrn.THOROLD._.WITH._.ASSY." localSheetId="10" hidden="1">{"THOROLD WITH ASSY",#N/A,FALSE,"THOR_Mnpwr"}</definedName>
    <definedName name="wrn.THOROLD._.WITH._.ASSY." hidden="1">{"THOROLD WITH ASSY",#N/A,FALSE,"THOR_Mnpwr"}</definedName>
    <definedName name="wrn.TIMESAVESTATS." localSheetId="10"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IMESAVESTATS._1" localSheetId="10" hidden="1">{"PAGE 1",#N/A,FALSE,"REVENUE STATS BY COMMODITY";"PAGE 2",#N/A,FALSE,"REVENUE STATS BY COMMODITY";"PAGE 3",#N/A,FALSE,"REVENUE STATS BY COMMODITY";"PAGE 4",#N/A,FALSE,"REVENUE STATS BY COMMODITY"}</definedName>
    <definedName name="wrn.TIMESAVESTATS._1" hidden="1">{"PAGE 1",#N/A,FALSE,"REVENUE STATS BY COMMODITY";"PAGE 2",#N/A,FALSE,"REVENUE STATS BY COMMODITY";"PAGE 3",#N/A,FALSE,"REVENUE STATS BY COMMODITY";"PAGE 4",#N/A,FALSE,"REVENUE STATS BY COMMODITY"}</definedName>
    <definedName name="wrn.TMCALL." localSheetId="10" hidden="1">{"tmccash",#N/A,FALSE,"INCX";"tmcinc",#N/A,FALSE,"INCX";"tmcpretx",#N/A,FALSE,"INCX";"tmcadrev",#N/A,FALSE,"INCX";"tmcbooks",#N/A,FALSE,"INCX"}</definedName>
    <definedName name="wrn.TMCALL." localSheetId="15" hidden="1">{"tmccash",#N/A,FALSE,"INCX";"tmcinc",#N/A,FALSE,"INCX";"tmcpretx",#N/A,FALSE,"INCX";"tmcadrev",#N/A,FALSE,"INCX";"tmcbooks",#N/A,FALSE,"INCX"}</definedName>
    <definedName name="wrn.TMCALL." hidden="1">{"tmccash",#N/A,FALSE,"INCX";"tmcinc",#N/A,FALSE,"INCX";"tmcpretx",#N/A,FALSE,"INCX";"tmcadrev",#N/A,FALSE,"INCX";"tmcbooks",#N/A,FALSE,"INCX"}</definedName>
    <definedName name="wrn.tobacco." localSheetId="10"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acco._1" localSheetId="10" hidden="1">{"income",#N/A,FALSE,"TOBACCO";"value",#N/A,FALSE,"TOBACCO";"assum1",#N/A,FALSE,"TOBACCO";"assum2",#N/A,FALSE,"TOBACCO";"swisher",#N/A,FALSE,"TOBACCO";"martin",#N/A,FALSE,"TOBACCO";"helme1",#N/A,FALSE,"TOBACCO";"helme2",#N/A,FALSE,"TOBACCO";"HELME3",#N/A,FALSE,"TOBACCO";"depmatrix",#N/A,FALSE,"TOBACCO"}</definedName>
    <definedName name="wrn.tobacco._1" hidden="1">{"income",#N/A,FALSE,"TOBACCO";"value",#N/A,FALSE,"TOBACCO";"assum1",#N/A,FALSE,"TOBACCO";"assum2",#N/A,FALSE,"TOBACCO";"swisher",#N/A,FALSE,"TOBACCO";"martin",#N/A,FALSE,"TOBACCO";"helme1",#N/A,FALSE,"TOBACCO";"helme2",#N/A,FALSE,"TOBACCO";"HELME3",#N/A,FALSE,"TOBACCO";"depmatrix",#N/A,FALSE,"TOBACCO"}</definedName>
    <definedName name="wrn.tobsum." localSheetId="10" hidden="1">{"income",#N/A,FALSE,"TOBACCO";"value",#N/A,FALSE,"TOBACCO";"assum1",#N/A,FALSE,"TOBACCO"}</definedName>
    <definedName name="wrn.tobsum." hidden="1">{"income",#N/A,FALSE,"TOBACCO";"value",#N/A,FALSE,"TOBACCO";"assum1",#N/A,FALSE,"TOBACCO"}</definedName>
    <definedName name="wrn.tobsum._1" localSheetId="10" hidden="1">{"income",#N/A,FALSE,"TOBACCO";"value",#N/A,FALSE,"TOBACCO";"assum1",#N/A,FALSE,"TOBACCO"}</definedName>
    <definedName name="wrn.tobsum._1" hidden="1">{"income",#N/A,FALSE,"TOBACCO";"value",#N/A,FALSE,"TOBACCO";"assum1",#N/A,FALSE,"TOBACCO"}</definedName>
    <definedName name="wrn.todo." localSheetId="10" hidden="1">{#N/A,#N/A,FALSE,"Hip.Bas";#N/A,#N/A,FALSE,"ventas";#N/A,#N/A,FALSE,"ingre-Año";#N/A,#N/A,FALSE,"ventas-Año";#N/A,#N/A,FALSE,"Costepro";#N/A,#N/A,FALSE,"inversion";#N/A,#N/A,FALSE,"personal";#N/A,#N/A,FALSE,"Gastos-V";#N/A,#N/A,FALSE,"Circulante";#N/A,#N/A,FALSE,"CONSOLI";#N/A,#N/A,FALSE,"Es-Fin";#N/A,#N/A,FALSE,"Margen-P"}</definedName>
    <definedName name="wrn.todo." localSheetId="15"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_.Division103a" localSheetId="10"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10"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10" hidden="1">{#N/A,#N/A,FALSE,"Trans-Sum";#N/A,#N/A,FALSE,"Accr-Dilu2";#N/A,#N/A,FALSE,"Contribution";#N/A,#N/A,FALSE,"Combined";#N/A,#N/A,FALSE,"ASTF";#N/A,#N/A,FALSE,"BRA";#N/A,#N/A,FALSE,"Bra_C";#N/A,#N/A,FALSE,"AcqMults";#N/A,#N/A,FALSE,"CompMults";#N/A,#N/A,FALSE,"DCF";#N/A,#N/A,FALSE,"WACC";#N/A,#N/A,FALSE,"LBO";#N/A,#N/A,FALSE,"Summary";#N/A,#N/A,FALSE,"StructSum"}</definedName>
    <definedName name="wrn.Total." localSheetId="15"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localSheetId="10">{#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10" hidden="1">{#N/A,"TCHEM",FALSE,"BSHIST.XLS"}</definedName>
    <definedName name="wrn.Total._.Chem._.Balance._.Sheet." hidden="1">{#N/A,"TCHEM",FALSE,"BSHIST.XLS"}</definedName>
    <definedName name="wrn.Total._.Company._.Reforecast._.Print." localSheetId="10">{#N/A,#N/A,FALSE,"RF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localSheetId="1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1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10"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10"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10"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10"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10"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10">{#N/A,#N/A,FALSE,"Sales Graph";#N/A,#N/A,FALSE,"BUC Graph";#N/A,#N/A,FALSE,"P&amp;L - YTD"}</definedName>
    <definedName name="wrn.Total._.Market._.Report.">{#N/A,#N/A,FALSE,"Sales Graph";#N/A,#N/A,FALSE,"BUC Graph";#N/A,#N/A,FALSE,"P&amp;L - YTD"}</definedName>
    <definedName name="wrn.Total._1" localSheetId="10" hidden="1">{#N/A,#N/A,FALSE,"Trans-Sum";#N/A,#N/A,FALSE,"Accr-Dilu2";#N/A,#N/A,FALSE,"Contribution";#N/A,#N/A,FALSE,"Combined";#N/A,#N/A,FALSE,"ASTF";#N/A,#N/A,FALSE,"BRA";#N/A,#N/A,FALSE,"Bra_C";#N/A,#N/A,FALSE,"AcqMults";#N/A,#N/A,FALSE,"CompMults";#N/A,#N/A,FALSE,"DCF";#N/A,#N/A,FALSE,"WACC";#N/A,#N/A,FALSE,"LBO";#N/A,#N/A,FALSE,"Summary";#N/A,#N/A,FALSE,"StructSum"}</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Division11" localSheetId="10"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10"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10"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10"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10"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0">{#N/A,#N/A,FALSE,"Inc Stmt";#N/A,#N/A,FALSE,"Indirect Costs";#N/A,#N/A,FALSE,"Capital"}</definedName>
    <definedName name="wrn.Track.">{#N/A,#N/A,FALSE,"Inc Stmt";#N/A,#N/A,FALSE,"Indirect Costs";#N/A,#N/A,FALSE,"Capital"}</definedName>
    <definedName name="wrn.Trading._.Summary." localSheetId="10" hidden="1">{#N/A,#N/A,FALSE,"Trading Summary"}</definedName>
    <definedName name="wrn.Trading._.Summary." hidden="1">{#N/A,#N/A,FALSE,"Trading Summary"}</definedName>
    <definedName name="wrn.TRANSPORT._.COSTS." localSheetId="10" hidden="1">{"TRANSPORT COSTS",#N/A,FALSE,"C.CENTRE"}</definedName>
    <definedName name="wrn.TRANSPORT._.COSTS." hidden="1">{"TRANSPORT COSTS",#N/A,FALSE,"C.CENTRE"}</definedName>
    <definedName name="wrn.TransPrcd_123." localSheetId="10" hidden="1">{#N/A,#N/A,TRUE,"TransPrcd 1";#N/A,#N/A,TRUE,"TransPrcd 2";#N/A,#N/A,TRUE,"TransPrcd 3"}</definedName>
    <definedName name="wrn.TransPrcd_123." localSheetId="15" hidden="1">{#N/A,#N/A,TRUE,"TransPrcd 1";#N/A,#N/A,TRUE,"TransPrcd 2";#N/A,#N/A,TRUE,"TransPrcd 3"}</definedName>
    <definedName name="wrn.TransPrcd_123." hidden="1">{#N/A,#N/A,TRUE,"TransPrcd 1";#N/A,#N/A,TRUE,"TransPrcd 2";#N/A,#N/A,TRUE,"TransPrcd 3"}</definedName>
    <definedName name="wrn.TransPrcd_123._1" localSheetId="10" hidden="1">{#N/A,#N/A,TRUE,"TransPrcd 1";#N/A,#N/A,TRUE,"TransPrcd 2";#N/A,#N/A,TRUE,"TransPrcd 3"}</definedName>
    <definedName name="wrn.TransPrcd_123._1" hidden="1">{#N/A,#N/A,TRUE,"TransPrcd 1";#N/A,#N/A,TRUE,"TransPrcd 2";#N/A,#N/A,TRUE,"TransPrcd 3"}</definedName>
    <definedName name="wrn.trball." localSheetId="10" hidden="1">{"trbcash",#N/A,FALSE,"INCPF";"trbinc",#N/A,FALSE,"INCPF";"trbchic",#N/A,FALSE,"INCPF";"trbadrev",#N/A,FALSE,"INCPF";"trbstns",#N/A,FALSE,"INCPF";"trbtvstns",#N/A,FALSE,"INCPF"}</definedName>
    <definedName name="wrn.trball." localSheetId="15"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end._.and._.projection." localSheetId="10" hidden="1">{#N/A,#N/A,TRUE,"Trend";#N/A,#N/A,TRUE,"Projection"}</definedName>
    <definedName name="wrn.Trend._.and._.projection." hidden="1">{#N/A,#N/A,TRUE,"Trend";#N/A,#N/A,TRUE,"Projection"}</definedName>
    <definedName name="wrn.Tweety." localSheetId="10" hidden="1">{#N/A,#N/A,FALSE,"A&amp;E";#N/A,#N/A,FALSE,"HighTop";#N/A,#N/A,FALSE,"JG";#N/A,#N/A,FALSE,"RI";#N/A,#N/A,FALSE,"woHT";#N/A,#N/A,FALSE,"woHT&amp;JG"}</definedName>
    <definedName name="wrn.Tweety." hidden="1">{#N/A,#N/A,FALSE,"A&amp;E";#N/A,#N/A,FALSE,"HighTop";#N/A,#N/A,FALSE,"JG";#N/A,#N/A,FALSE,"RI";#N/A,#N/A,FALSE,"woHT";#N/A,#N/A,FALSE,"woHT&amp;JG"}</definedName>
    <definedName name="wrn.Tweety._1" localSheetId="10" hidden="1">{#N/A,#N/A,FALSE,"A&amp;E";#N/A,#N/A,FALSE,"HighTop";#N/A,#N/A,FALSE,"JG";#N/A,#N/A,FALSE,"RI";#N/A,#N/A,FALSE,"woHT";#N/A,#N/A,FALSE,"woHT&amp;JG"}</definedName>
    <definedName name="wrn.Tweety._1" hidden="1">{#N/A,#N/A,FALSE,"A&amp;E";#N/A,#N/A,FALSE,"HighTop";#N/A,#N/A,FALSE,"JG";#N/A,#N/A,FALSE,"RI";#N/A,#N/A,FALSE,"woHT";#N/A,#N/A,FALSE,"woHT&amp;JG"}</definedName>
    <definedName name="wrn.Tycon._.Model." localSheetId="10" hidden="1">{"rtn",#N/A,FALSE,"RTN";"tables",#N/A,FALSE,"RTN";"cf",#N/A,FALSE,"CF";"stats",#N/A,FALSE,"Stats";"prop",#N/A,FALSE,"Prop"}</definedName>
    <definedName name="wrn.Tycon._.Model." hidden="1">{"rtn",#N/A,FALSE,"RTN";"tables",#N/A,FALSE,"RTN";"cf",#N/A,FALSE,"CF";"stats",#N/A,FALSE,"Stats";"prop",#N/A,FALSE,"Prop"}</definedName>
    <definedName name="wrn.Typhoon." localSheetId="10" hidden="1">{"Agg Output",#N/A,FALSE,"Operational Drivers Output";"NW Output",#N/A,FALSE,"Operational Drivers Output";"South Output",#N/A,FALSE,"Operational Drivers Output";"Central Output",#N/A,FALSE,"Operational Drivers Output"}</definedName>
    <definedName name="wrn.Typhoon." localSheetId="15"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U.S.._.Industries._.Inc.." localSheetId="10" hidden="1">{#N/A,#N/A,TRUE,"IS";#N/A,#N/A,TRUE,"SG";#N/A,#N/A,TRUE,"FF";#N/A,#N/A,TRUE,"BS";#N/A,#N/A,TRUE,"DCF";#N/A,#N/A,TRUE,"Int";#N/A,#N/A,TRUE,"Consumer";#N/A,#N/A,TRUE,"Building";#N/A,#N/A,TRUE,"Industrial"}</definedName>
    <definedName name="wrn.U.S.._.Industries._.Inc.." hidden="1">{#N/A,#N/A,TRUE,"IS";#N/A,#N/A,TRUE,"SG";#N/A,#N/A,TRUE,"FF";#N/A,#N/A,TRUE,"BS";#N/A,#N/A,TRUE,"DCF";#N/A,#N/A,TRUE,"Int";#N/A,#N/A,TRUE,"Consumer";#N/A,#N/A,TRUE,"Building";#N/A,#N/A,TRUE,"Industrial"}</definedName>
    <definedName name="wrn.U137ExpBur." localSheetId="10" hidden="1">{"U137ExpBur",#N/A,FALSE,"Uw-Burden"}</definedName>
    <definedName name="wrn.U137ExpBur." hidden="1">{"U137ExpBur",#N/A,FALSE,"Uw-Burden"}</definedName>
    <definedName name="wrn.U137ExpBurFut." localSheetId="10" hidden="1">{"U137ExpBurFut",#N/A,FALSE,"Uw-Burden"}</definedName>
    <definedName name="wrn.U137ExpBurFut." hidden="1">{"U137ExpBurFut",#N/A,FALSE,"Uw-Burden"}</definedName>
    <definedName name="wrn.U137ExpCos." localSheetId="10" hidden="1">{"U137ExpCos",#N/A,FALSE,"Uw-COS"}</definedName>
    <definedName name="wrn.U137ExpCos." hidden="1">{"U137ExpCos",#N/A,FALSE,"Uw-COS"}</definedName>
    <definedName name="wrn.U137ExpCosFut." localSheetId="10" hidden="1">{"U137ExpCosFut",#N/A,FALSE,"Uw-COS"}</definedName>
    <definedName name="wrn.U137ExpCosFut." hidden="1">{"U137ExpCosFut",#N/A,FALSE,"Uw-COS"}</definedName>
    <definedName name="wrn.U137ExpPay." localSheetId="10" hidden="1">{"U137ExpPay",#N/A,FALSE,"Uw-Payroll"}</definedName>
    <definedName name="wrn.U137ExpPay." hidden="1">{"U137ExpPay",#N/A,FALSE,"Uw-Payroll"}</definedName>
    <definedName name="wrn.U137ExpPayFut." localSheetId="10" hidden="1">{"U137ExpPayFut",#N/A,FALSE,"Uw-Payroll"}</definedName>
    <definedName name="wrn.U137ExpPayFut." hidden="1">{"U137ExpPayFut",#N/A,FALSE,"Uw-Payroll"}</definedName>
    <definedName name="wrn.U137ExpTotFut." localSheetId="10" hidden="1">{"U137ExpTotFut",#N/A,FALSE,"Uw-Total"}</definedName>
    <definedName name="wrn.U137ExpTotFut." hidden="1">{"U137ExpTotFut",#N/A,FALSE,"Uw-Total"}</definedName>
    <definedName name="wrn.U137ExpTtl." localSheetId="10" hidden="1">{"U137ExpTtl",#N/A,FALSE,"Uw-Total"}</definedName>
    <definedName name="wrn.U137ExpTtl." hidden="1">{"U137ExpTtl",#N/A,FALSE,"Uw-Total"}</definedName>
    <definedName name="wrn.uk." localSheetId="10" hidden="1">{"uk pounds",#N/A,FALSE,"UK earnings Pounds";"uk cdn",#N/A,FALSE,"UK earnings"}</definedName>
    <definedName name="wrn.uk." hidden="1">{"uk pounds",#N/A,FALSE,"UK earnings Pounds";"uk cdn",#N/A,FALSE,"UK earnings"}</definedName>
    <definedName name="wrn.Update._.certificate." localSheetId="10" hidden="1">{#N/A,#N/A,FALSE,"Update"}</definedName>
    <definedName name="wrn.Update._.certificate." hidden="1">{#N/A,#N/A,FALSE,"Update"}</definedName>
    <definedName name="wrn.upstairs." localSheetId="10" hidden="1">{"histincome",#N/A,FALSE,"hyfins";"closing balance",#N/A,FALSE,"hyfins"}</definedName>
    <definedName name="wrn.upstairs." localSheetId="15" hidden="1">{"histincome",#N/A,FALSE,"hyfins";"closing balance",#N/A,FALSE,"hyfins"}</definedName>
    <definedName name="wrn.upstairs." hidden="1">{"histincome",#N/A,FALSE,"hyfins";"closing balance",#N/A,FALSE,"hyfins"}</definedName>
    <definedName name="wrn.US._.Bank." localSheetId="10">{#N/A,#N/A,TRUE,"Cover_Page";#N/A,#N/A,TRUE,"Balance Sheet FY12";#N/A,#N/A,TRUE,"Debt Covenants_US Bank_Cons";#N/A,#N/A,TRUE,"Consolidated-Cash Flow";#N/A,#N/A,TRUE,"CY_Per Inc FY12";#N/A,#N/A,TRUE,"Income FY12";#N/A,#N/A,TRUE,"Consolidated"}</definedName>
    <definedName name="wrn.US._.Bank.">{#N/A,#N/A,TRUE,"Cover_Page";#N/A,#N/A,TRUE,"Balance Sheet FY12";#N/A,#N/A,TRUE,"Debt Covenants_US Bank_Cons";#N/A,#N/A,TRUE,"Consolidated-Cash Flow";#N/A,#N/A,TRUE,"CY_Per Inc FY12";#N/A,#N/A,TRUE,"Income FY12";#N/A,#N/A,TRUE,"Consolidated"}</definedName>
    <definedName name="wrn.US._.EARNINGS." localSheetId="10" hidden="1">{"US US",#N/A,FALSE,"US EARNINGS US$";"US CDN",#N/A,FALSE,"US EARNINGS CDN$"}</definedName>
    <definedName name="wrn.US._.EARNINGS." hidden="1">{"US US",#N/A,FALSE,"US EARNINGS US$";"US CDN",#N/A,FALSE,"US EARNINGS CDN$"}</definedName>
    <definedName name="wrn.USA._.Consolidated._.Report." localSheetId="10" hidden="1">{#N/A,#N/A,TRUE,"Consolidated B Sheet";#N/A,#N/A,TRUE,"Consolidated Cashflow";#N/A,#N/A,TRUE,"P&amp;L CONSOLIDATED"}</definedName>
    <definedName name="wrn.USA._.Consolidated._.Report." hidden="1">{#N/A,#N/A,TRUE,"Consolidated B Sheet";#N/A,#N/A,TRUE,"Consolidated Cashflow";#N/A,#N/A,TRUE,"P&amp;L CONSOLIDATED"}</definedName>
    <definedName name="wrn.USF._.GROUP." localSheetId="10" hidden="1">{"USFGROUP",#N/A,FALSE,"USF GROUP CONSOL"}</definedName>
    <definedName name="wrn.USF._.GROUP." hidden="1">{"USFGROUP",#N/A,FALSE,"USF GROUP CONSOL"}</definedName>
    <definedName name="wrn.uslaurier._.earnings." localSheetId="10" hidden="1">{"uslaur cdn",#N/A,FALSE,"USLR earnings";"uslaur us",#N/A,FALSE,"USLR EARNINGS US$";"uslaur cons cdn",#N/A,FALSE,"USLR CONSOL cdn EARNINGS";"uslaur cons us",#N/A,FALSE,"USLR CONSOL us EARNINGS"}</definedName>
    <definedName name="wrn.uslaurier._.earnings." hidden="1">{"uslaur cdn",#N/A,FALSE,"USLR earnings";"uslaur us",#N/A,FALSE,"USLR EARNINGS US$";"uslaur cons cdn",#N/A,FALSE,"USLR CONSOL cdn EARNINGS";"uslaur cons us",#N/A,FALSE,"USLR CONSOL us EARNINGS"}</definedName>
    <definedName name="wrn.USR." localSheetId="10" hidden="1">{#N/A,#N/A,FALSE,"TopTen Failures";#N/A,#N/A,FALSE,"Top Ten %";#N/A,#N/A,FALSE,"Fail Code 5 mo. Totals (%)"}</definedName>
    <definedName name="wrn.USR." hidden="1">{#N/A,#N/A,FALSE,"TopTen Failures";#N/A,#N/A,FALSE,"Top Ten %";#N/A,#N/A,FALSE,"Fail Code 5 mo. Totals (%)"}</definedName>
    <definedName name="wrn.UTILITIES." localSheetId="10" hidden="1">{#N/A,#N/A,FALSE,"UTIL Monthly Inc ";#N/A,#N/A,FALSE,"Capital";#N/A,#N/A,FALSE,"UTIL REVENUE";#N/A,#N/A,FALSE,"RM REVENUE";#N/A,#N/A,FALSE,"Manpower";#N/A,#N/A,FALSE,"SI - UTIL";#N/A,#N/A,FALSE,"Sales - Utili"}</definedName>
    <definedName name="wrn.UTILITIES." hidden="1">{#N/A,#N/A,FALSE,"UTIL Monthly Inc ";#N/A,#N/A,FALSE,"Capital";#N/A,#N/A,FALSE,"UTIL REVENUE";#N/A,#N/A,FALSE,"RM REVENUE";#N/A,#N/A,FALSE,"Manpower";#N/A,#N/A,FALSE,"SI - UTIL";#N/A,#N/A,FALSE,"Sales - Utili"}</definedName>
    <definedName name="wrn.UTILITIES._1" localSheetId="10" hidden="1">{#N/A,#N/A,FALSE,"UTIL Monthly Inc ";#N/A,#N/A,FALSE,"Capital";#N/A,#N/A,FALSE,"UTIL REVENUE";#N/A,#N/A,FALSE,"RM REVENUE";#N/A,#N/A,FALSE,"Manpower";#N/A,#N/A,FALSE,"SI - UTIL";#N/A,#N/A,FALSE,"Sales - Utili"}</definedName>
    <definedName name="wrn.UTILITIES._1" hidden="1">{#N/A,#N/A,FALSE,"UTIL Monthly Inc ";#N/A,#N/A,FALSE,"Capital";#N/A,#N/A,FALSE,"UTIL REVENUE";#N/A,#N/A,FALSE,"RM REVENUE";#N/A,#N/A,FALSE,"Manpower";#N/A,#N/A,FALSE,"SI - UTIL";#N/A,#N/A,FALSE,"Sales - Utili"}</definedName>
    <definedName name="wrn.UTILITIES._1_1" localSheetId="10" hidden="1">{#N/A,#N/A,FALSE,"UTIL Monthly Inc ";#N/A,#N/A,FALSE,"Capital";#N/A,#N/A,FALSE,"UTIL REVENUE";#N/A,#N/A,FALSE,"RM REVENUE";#N/A,#N/A,FALSE,"Manpower";#N/A,#N/A,FALSE,"SI - UTIL";#N/A,#N/A,FALSE,"Sales - Utili"}</definedName>
    <definedName name="wrn.UTILITIES._1_1" hidden="1">{#N/A,#N/A,FALSE,"UTIL Monthly Inc ";#N/A,#N/A,FALSE,"Capital";#N/A,#N/A,FALSE,"UTIL REVENUE";#N/A,#N/A,FALSE,"RM REVENUE";#N/A,#N/A,FALSE,"Manpower";#N/A,#N/A,FALSE,"SI - UTIL";#N/A,#N/A,FALSE,"Sales - Utili"}</definedName>
    <definedName name="wrn.UTILITIES._1_1_1" localSheetId="10" hidden="1">{#N/A,#N/A,FALSE,"UTIL Monthly Inc ";#N/A,#N/A,FALSE,"Capital";#N/A,#N/A,FALSE,"UTIL REVENUE";#N/A,#N/A,FALSE,"RM REVENUE";#N/A,#N/A,FALSE,"Manpower";#N/A,#N/A,FALSE,"SI - UTIL";#N/A,#N/A,FALSE,"Sales - Utili"}</definedName>
    <definedName name="wrn.UTILITIES._1_1_1" hidden="1">{#N/A,#N/A,FALSE,"UTIL Monthly Inc ";#N/A,#N/A,FALSE,"Capital";#N/A,#N/A,FALSE,"UTIL REVENUE";#N/A,#N/A,FALSE,"RM REVENUE";#N/A,#N/A,FALSE,"Manpower";#N/A,#N/A,FALSE,"SI - UTIL";#N/A,#N/A,FALSE,"Sales - Utili"}</definedName>
    <definedName name="wrn.UTILITIES._1_1_2" localSheetId="10" hidden="1">{#N/A,#N/A,FALSE,"UTIL Monthly Inc ";#N/A,#N/A,FALSE,"Capital";#N/A,#N/A,FALSE,"UTIL REVENUE";#N/A,#N/A,FALSE,"RM REVENUE";#N/A,#N/A,FALSE,"Manpower";#N/A,#N/A,FALSE,"SI - UTIL";#N/A,#N/A,FALSE,"Sales - Utili"}</definedName>
    <definedName name="wrn.UTILITIES._1_1_2" hidden="1">{#N/A,#N/A,FALSE,"UTIL Monthly Inc ";#N/A,#N/A,FALSE,"Capital";#N/A,#N/A,FALSE,"UTIL REVENUE";#N/A,#N/A,FALSE,"RM REVENUE";#N/A,#N/A,FALSE,"Manpower";#N/A,#N/A,FALSE,"SI - UTIL";#N/A,#N/A,FALSE,"Sales - Utili"}</definedName>
    <definedName name="wrn.UTILITIES._1_1_3" localSheetId="10" hidden="1">{#N/A,#N/A,FALSE,"UTIL Monthly Inc ";#N/A,#N/A,FALSE,"Capital";#N/A,#N/A,FALSE,"UTIL REVENUE";#N/A,#N/A,FALSE,"RM REVENUE";#N/A,#N/A,FALSE,"Manpower";#N/A,#N/A,FALSE,"SI - UTIL";#N/A,#N/A,FALSE,"Sales - Utili"}</definedName>
    <definedName name="wrn.UTILITIES._1_1_3" hidden="1">{#N/A,#N/A,FALSE,"UTIL Monthly Inc ";#N/A,#N/A,FALSE,"Capital";#N/A,#N/A,FALSE,"UTIL REVENUE";#N/A,#N/A,FALSE,"RM REVENUE";#N/A,#N/A,FALSE,"Manpower";#N/A,#N/A,FALSE,"SI - UTIL";#N/A,#N/A,FALSE,"Sales - Utili"}</definedName>
    <definedName name="wrn.UTILITIES._1_1_4" localSheetId="10" hidden="1">{#N/A,#N/A,FALSE,"UTIL Monthly Inc ";#N/A,#N/A,FALSE,"Capital";#N/A,#N/A,FALSE,"UTIL REVENUE";#N/A,#N/A,FALSE,"RM REVENUE";#N/A,#N/A,FALSE,"Manpower";#N/A,#N/A,FALSE,"SI - UTIL";#N/A,#N/A,FALSE,"Sales - Utili"}</definedName>
    <definedName name="wrn.UTILITIES._1_1_4" hidden="1">{#N/A,#N/A,FALSE,"UTIL Monthly Inc ";#N/A,#N/A,FALSE,"Capital";#N/A,#N/A,FALSE,"UTIL REVENUE";#N/A,#N/A,FALSE,"RM REVENUE";#N/A,#N/A,FALSE,"Manpower";#N/A,#N/A,FALSE,"SI - UTIL";#N/A,#N/A,FALSE,"Sales - Utili"}</definedName>
    <definedName name="wrn.UTILITIES._1_1_5" localSheetId="10" hidden="1">{#N/A,#N/A,FALSE,"UTIL Monthly Inc ";#N/A,#N/A,FALSE,"Capital";#N/A,#N/A,FALSE,"UTIL REVENUE";#N/A,#N/A,FALSE,"RM REVENUE";#N/A,#N/A,FALSE,"Manpower";#N/A,#N/A,FALSE,"SI - UTIL";#N/A,#N/A,FALSE,"Sales - Utili"}</definedName>
    <definedName name="wrn.UTILITIES._1_1_5" hidden="1">{#N/A,#N/A,FALSE,"UTIL Monthly Inc ";#N/A,#N/A,FALSE,"Capital";#N/A,#N/A,FALSE,"UTIL REVENUE";#N/A,#N/A,FALSE,"RM REVENUE";#N/A,#N/A,FALSE,"Manpower";#N/A,#N/A,FALSE,"SI - UTIL";#N/A,#N/A,FALSE,"Sales - Utili"}</definedName>
    <definedName name="wrn.UTILITIES._1_2" localSheetId="10" hidden="1">{#N/A,#N/A,FALSE,"UTIL Monthly Inc ";#N/A,#N/A,FALSE,"Capital";#N/A,#N/A,FALSE,"UTIL REVENUE";#N/A,#N/A,FALSE,"RM REVENUE";#N/A,#N/A,FALSE,"Manpower";#N/A,#N/A,FALSE,"SI - UTIL";#N/A,#N/A,FALSE,"Sales - Utili"}</definedName>
    <definedName name="wrn.UTILITIES._1_2" hidden="1">{#N/A,#N/A,FALSE,"UTIL Monthly Inc ";#N/A,#N/A,FALSE,"Capital";#N/A,#N/A,FALSE,"UTIL REVENUE";#N/A,#N/A,FALSE,"RM REVENUE";#N/A,#N/A,FALSE,"Manpower";#N/A,#N/A,FALSE,"SI - UTIL";#N/A,#N/A,FALSE,"Sales - Utili"}</definedName>
    <definedName name="wrn.UTILITIES._1_3" localSheetId="10" hidden="1">{#N/A,#N/A,FALSE,"UTIL Monthly Inc ";#N/A,#N/A,FALSE,"Capital";#N/A,#N/A,FALSE,"UTIL REVENUE";#N/A,#N/A,FALSE,"RM REVENUE";#N/A,#N/A,FALSE,"Manpower";#N/A,#N/A,FALSE,"SI - UTIL";#N/A,#N/A,FALSE,"Sales - Utili"}</definedName>
    <definedName name="wrn.UTILITIES._1_3" hidden="1">{#N/A,#N/A,FALSE,"UTIL Monthly Inc ";#N/A,#N/A,FALSE,"Capital";#N/A,#N/A,FALSE,"UTIL REVENUE";#N/A,#N/A,FALSE,"RM REVENUE";#N/A,#N/A,FALSE,"Manpower";#N/A,#N/A,FALSE,"SI - UTIL";#N/A,#N/A,FALSE,"Sales - Utili"}</definedName>
    <definedName name="wrn.UTILITIES._1_4" localSheetId="10" hidden="1">{#N/A,#N/A,FALSE,"UTIL Monthly Inc ";#N/A,#N/A,FALSE,"Capital";#N/A,#N/A,FALSE,"UTIL REVENUE";#N/A,#N/A,FALSE,"RM REVENUE";#N/A,#N/A,FALSE,"Manpower";#N/A,#N/A,FALSE,"SI - UTIL";#N/A,#N/A,FALSE,"Sales - Utili"}</definedName>
    <definedName name="wrn.UTILITIES._1_4" hidden="1">{#N/A,#N/A,FALSE,"UTIL Monthly Inc ";#N/A,#N/A,FALSE,"Capital";#N/A,#N/A,FALSE,"UTIL REVENUE";#N/A,#N/A,FALSE,"RM REVENUE";#N/A,#N/A,FALSE,"Manpower";#N/A,#N/A,FALSE,"SI - UTIL";#N/A,#N/A,FALSE,"Sales - Utili"}</definedName>
    <definedName name="wrn.UTILITIES._1_5" localSheetId="10" hidden="1">{#N/A,#N/A,FALSE,"UTIL Monthly Inc ";#N/A,#N/A,FALSE,"Capital";#N/A,#N/A,FALSE,"UTIL REVENUE";#N/A,#N/A,FALSE,"RM REVENUE";#N/A,#N/A,FALSE,"Manpower";#N/A,#N/A,FALSE,"SI - UTIL";#N/A,#N/A,FALSE,"Sales - Utili"}</definedName>
    <definedName name="wrn.UTILITIES._1_5" hidden="1">{#N/A,#N/A,FALSE,"UTIL Monthly Inc ";#N/A,#N/A,FALSE,"Capital";#N/A,#N/A,FALSE,"UTIL REVENUE";#N/A,#N/A,FALSE,"RM REVENUE";#N/A,#N/A,FALSE,"Manpower";#N/A,#N/A,FALSE,"SI - UTIL";#N/A,#N/A,FALSE,"Sales - Utili"}</definedName>
    <definedName name="wrn.UTILITIES._2" localSheetId="10" hidden="1">{#N/A,#N/A,FALSE,"UTIL Monthly Inc ";#N/A,#N/A,FALSE,"Capital";#N/A,#N/A,FALSE,"UTIL REVENUE";#N/A,#N/A,FALSE,"RM REVENUE";#N/A,#N/A,FALSE,"Manpower";#N/A,#N/A,FALSE,"SI - UTIL";#N/A,#N/A,FALSE,"Sales - Utili"}</definedName>
    <definedName name="wrn.UTILITIES._2" hidden="1">{#N/A,#N/A,FALSE,"UTIL Monthly Inc ";#N/A,#N/A,FALSE,"Capital";#N/A,#N/A,FALSE,"UTIL REVENUE";#N/A,#N/A,FALSE,"RM REVENUE";#N/A,#N/A,FALSE,"Manpower";#N/A,#N/A,FALSE,"SI - UTIL";#N/A,#N/A,FALSE,"Sales - Utili"}</definedName>
    <definedName name="wrn.UTILITIES._2_1" localSheetId="10" hidden="1">{#N/A,#N/A,FALSE,"UTIL Monthly Inc ";#N/A,#N/A,FALSE,"Capital";#N/A,#N/A,FALSE,"UTIL REVENUE";#N/A,#N/A,FALSE,"RM REVENUE";#N/A,#N/A,FALSE,"Manpower";#N/A,#N/A,FALSE,"SI - UTIL";#N/A,#N/A,FALSE,"Sales - Utili"}</definedName>
    <definedName name="wrn.UTILITIES._2_1" hidden="1">{#N/A,#N/A,FALSE,"UTIL Monthly Inc ";#N/A,#N/A,FALSE,"Capital";#N/A,#N/A,FALSE,"UTIL REVENUE";#N/A,#N/A,FALSE,"RM REVENUE";#N/A,#N/A,FALSE,"Manpower";#N/A,#N/A,FALSE,"SI - UTIL";#N/A,#N/A,FALSE,"Sales - Utili"}</definedName>
    <definedName name="wrn.UTILITIES._2_2" localSheetId="10" hidden="1">{#N/A,#N/A,FALSE,"UTIL Monthly Inc ";#N/A,#N/A,FALSE,"Capital";#N/A,#N/A,FALSE,"UTIL REVENUE";#N/A,#N/A,FALSE,"RM REVENUE";#N/A,#N/A,FALSE,"Manpower";#N/A,#N/A,FALSE,"SI - UTIL";#N/A,#N/A,FALSE,"Sales - Utili"}</definedName>
    <definedName name="wrn.UTILITIES._2_2" hidden="1">{#N/A,#N/A,FALSE,"UTIL Monthly Inc ";#N/A,#N/A,FALSE,"Capital";#N/A,#N/A,FALSE,"UTIL REVENUE";#N/A,#N/A,FALSE,"RM REVENUE";#N/A,#N/A,FALSE,"Manpower";#N/A,#N/A,FALSE,"SI - UTIL";#N/A,#N/A,FALSE,"Sales - Utili"}</definedName>
    <definedName name="wrn.UTILITIES._2_3" localSheetId="10" hidden="1">{#N/A,#N/A,FALSE,"UTIL Monthly Inc ";#N/A,#N/A,FALSE,"Capital";#N/A,#N/A,FALSE,"UTIL REVENUE";#N/A,#N/A,FALSE,"RM REVENUE";#N/A,#N/A,FALSE,"Manpower";#N/A,#N/A,FALSE,"SI - UTIL";#N/A,#N/A,FALSE,"Sales - Utili"}</definedName>
    <definedName name="wrn.UTILITIES._2_3" hidden="1">{#N/A,#N/A,FALSE,"UTIL Monthly Inc ";#N/A,#N/A,FALSE,"Capital";#N/A,#N/A,FALSE,"UTIL REVENUE";#N/A,#N/A,FALSE,"RM REVENUE";#N/A,#N/A,FALSE,"Manpower";#N/A,#N/A,FALSE,"SI - UTIL";#N/A,#N/A,FALSE,"Sales - Utili"}</definedName>
    <definedName name="wrn.UTILITIES._2_4" localSheetId="10" hidden="1">{#N/A,#N/A,FALSE,"UTIL Monthly Inc ";#N/A,#N/A,FALSE,"Capital";#N/A,#N/A,FALSE,"UTIL REVENUE";#N/A,#N/A,FALSE,"RM REVENUE";#N/A,#N/A,FALSE,"Manpower";#N/A,#N/A,FALSE,"SI - UTIL";#N/A,#N/A,FALSE,"Sales - Utili"}</definedName>
    <definedName name="wrn.UTILITIES._2_4" hidden="1">{#N/A,#N/A,FALSE,"UTIL Monthly Inc ";#N/A,#N/A,FALSE,"Capital";#N/A,#N/A,FALSE,"UTIL REVENUE";#N/A,#N/A,FALSE,"RM REVENUE";#N/A,#N/A,FALSE,"Manpower";#N/A,#N/A,FALSE,"SI - UTIL";#N/A,#N/A,FALSE,"Sales - Utili"}</definedName>
    <definedName name="wrn.UTILITIES._2_5" localSheetId="10" hidden="1">{#N/A,#N/A,FALSE,"UTIL Monthly Inc ";#N/A,#N/A,FALSE,"Capital";#N/A,#N/A,FALSE,"UTIL REVENUE";#N/A,#N/A,FALSE,"RM REVENUE";#N/A,#N/A,FALSE,"Manpower";#N/A,#N/A,FALSE,"SI - UTIL";#N/A,#N/A,FALSE,"Sales - Utili"}</definedName>
    <definedName name="wrn.UTILITIES._2_5" hidden="1">{#N/A,#N/A,FALSE,"UTIL Monthly Inc ";#N/A,#N/A,FALSE,"Capital";#N/A,#N/A,FALSE,"UTIL REVENUE";#N/A,#N/A,FALSE,"RM REVENUE";#N/A,#N/A,FALSE,"Manpower";#N/A,#N/A,FALSE,"SI - UTIL";#N/A,#N/A,FALSE,"Sales - Utili"}</definedName>
    <definedName name="wrn.UTILITIES._3" localSheetId="10" hidden="1">{#N/A,#N/A,FALSE,"UTIL Monthly Inc ";#N/A,#N/A,FALSE,"Capital";#N/A,#N/A,FALSE,"UTIL REVENUE";#N/A,#N/A,FALSE,"RM REVENUE";#N/A,#N/A,FALSE,"Manpower";#N/A,#N/A,FALSE,"SI - UTIL";#N/A,#N/A,FALSE,"Sales - Utili"}</definedName>
    <definedName name="wrn.UTILITIES._3" hidden="1">{#N/A,#N/A,FALSE,"UTIL Monthly Inc ";#N/A,#N/A,FALSE,"Capital";#N/A,#N/A,FALSE,"UTIL REVENUE";#N/A,#N/A,FALSE,"RM REVENUE";#N/A,#N/A,FALSE,"Manpower";#N/A,#N/A,FALSE,"SI - UTIL";#N/A,#N/A,FALSE,"Sales - Utili"}</definedName>
    <definedName name="wrn.UTILITIES._3_1" localSheetId="10" hidden="1">{#N/A,#N/A,FALSE,"UTIL Monthly Inc ";#N/A,#N/A,FALSE,"Capital";#N/A,#N/A,FALSE,"UTIL REVENUE";#N/A,#N/A,FALSE,"RM REVENUE";#N/A,#N/A,FALSE,"Manpower";#N/A,#N/A,FALSE,"SI - UTIL";#N/A,#N/A,FALSE,"Sales - Utili"}</definedName>
    <definedName name="wrn.UTILITIES._3_1" hidden="1">{#N/A,#N/A,FALSE,"UTIL Monthly Inc ";#N/A,#N/A,FALSE,"Capital";#N/A,#N/A,FALSE,"UTIL REVENUE";#N/A,#N/A,FALSE,"RM REVENUE";#N/A,#N/A,FALSE,"Manpower";#N/A,#N/A,FALSE,"SI - UTIL";#N/A,#N/A,FALSE,"Sales - Utili"}</definedName>
    <definedName name="wrn.UTILITIES._3_2" localSheetId="10" hidden="1">{#N/A,#N/A,FALSE,"UTIL Monthly Inc ";#N/A,#N/A,FALSE,"Capital";#N/A,#N/A,FALSE,"UTIL REVENUE";#N/A,#N/A,FALSE,"RM REVENUE";#N/A,#N/A,FALSE,"Manpower";#N/A,#N/A,FALSE,"SI - UTIL";#N/A,#N/A,FALSE,"Sales - Utili"}</definedName>
    <definedName name="wrn.UTILITIES._3_2" hidden="1">{#N/A,#N/A,FALSE,"UTIL Monthly Inc ";#N/A,#N/A,FALSE,"Capital";#N/A,#N/A,FALSE,"UTIL REVENUE";#N/A,#N/A,FALSE,"RM REVENUE";#N/A,#N/A,FALSE,"Manpower";#N/A,#N/A,FALSE,"SI - UTIL";#N/A,#N/A,FALSE,"Sales - Utili"}</definedName>
    <definedName name="wrn.UTILITIES._3_3" localSheetId="10" hidden="1">{#N/A,#N/A,FALSE,"UTIL Monthly Inc ";#N/A,#N/A,FALSE,"Capital";#N/A,#N/A,FALSE,"UTIL REVENUE";#N/A,#N/A,FALSE,"RM REVENUE";#N/A,#N/A,FALSE,"Manpower";#N/A,#N/A,FALSE,"SI - UTIL";#N/A,#N/A,FALSE,"Sales - Utili"}</definedName>
    <definedName name="wrn.UTILITIES._3_3" hidden="1">{#N/A,#N/A,FALSE,"UTIL Monthly Inc ";#N/A,#N/A,FALSE,"Capital";#N/A,#N/A,FALSE,"UTIL REVENUE";#N/A,#N/A,FALSE,"RM REVENUE";#N/A,#N/A,FALSE,"Manpower";#N/A,#N/A,FALSE,"SI - UTIL";#N/A,#N/A,FALSE,"Sales - Utili"}</definedName>
    <definedName name="wrn.UTILITIES._3_4" localSheetId="10" hidden="1">{#N/A,#N/A,FALSE,"UTIL Monthly Inc ";#N/A,#N/A,FALSE,"Capital";#N/A,#N/A,FALSE,"UTIL REVENUE";#N/A,#N/A,FALSE,"RM REVENUE";#N/A,#N/A,FALSE,"Manpower";#N/A,#N/A,FALSE,"SI - UTIL";#N/A,#N/A,FALSE,"Sales - Utili"}</definedName>
    <definedName name="wrn.UTILITIES._3_4" hidden="1">{#N/A,#N/A,FALSE,"UTIL Monthly Inc ";#N/A,#N/A,FALSE,"Capital";#N/A,#N/A,FALSE,"UTIL REVENUE";#N/A,#N/A,FALSE,"RM REVENUE";#N/A,#N/A,FALSE,"Manpower";#N/A,#N/A,FALSE,"SI - UTIL";#N/A,#N/A,FALSE,"Sales - Utili"}</definedName>
    <definedName name="wrn.UTILITIES._3_5" localSheetId="10" hidden="1">{#N/A,#N/A,FALSE,"UTIL Monthly Inc ";#N/A,#N/A,FALSE,"Capital";#N/A,#N/A,FALSE,"UTIL REVENUE";#N/A,#N/A,FALSE,"RM REVENUE";#N/A,#N/A,FALSE,"Manpower";#N/A,#N/A,FALSE,"SI - UTIL";#N/A,#N/A,FALSE,"Sales - Utili"}</definedName>
    <definedName name="wrn.UTILITIES._3_5" hidden="1">{#N/A,#N/A,FALSE,"UTIL Monthly Inc ";#N/A,#N/A,FALSE,"Capital";#N/A,#N/A,FALSE,"UTIL REVENUE";#N/A,#N/A,FALSE,"RM REVENUE";#N/A,#N/A,FALSE,"Manpower";#N/A,#N/A,FALSE,"SI - UTIL";#N/A,#N/A,FALSE,"Sales - Utili"}</definedName>
    <definedName name="wrn.UTILITIES._4" localSheetId="10" hidden="1">{#N/A,#N/A,FALSE,"UTIL Monthly Inc ";#N/A,#N/A,FALSE,"Capital";#N/A,#N/A,FALSE,"UTIL REVENUE";#N/A,#N/A,FALSE,"RM REVENUE";#N/A,#N/A,FALSE,"Manpower";#N/A,#N/A,FALSE,"SI - UTIL";#N/A,#N/A,FALSE,"Sales - Utili"}</definedName>
    <definedName name="wrn.UTILITIES._4" hidden="1">{#N/A,#N/A,FALSE,"UTIL Monthly Inc ";#N/A,#N/A,FALSE,"Capital";#N/A,#N/A,FALSE,"UTIL REVENUE";#N/A,#N/A,FALSE,"RM REVENUE";#N/A,#N/A,FALSE,"Manpower";#N/A,#N/A,FALSE,"SI - UTIL";#N/A,#N/A,FALSE,"Sales - Utili"}</definedName>
    <definedName name="wrn.UTILITIES._5" localSheetId="10" hidden="1">{#N/A,#N/A,FALSE,"UTIL Monthly Inc ";#N/A,#N/A,FALSE,"Capital";#N/A,#N/A,FALSE,"UTIL REVENUE";#N/A,#N/A,FALSE,"RM REVENUE";#N/A,#N/A,FALSE,"Manpower";#N/A,#N/A,FALSE,"SI - UTIL";#N/A,#N/A,FALSE,"Sales - Utili"}</definedName>
    <definedName name="wrn.UTILITIES._5" hidden="1">{#N/A,#N/A,FALSE,"UTIL Monthly Inc ";#N/A,#N/A,FALSE,"Capital";#N/A,#N/A,FALSE,"UTIL REVENUE";#N/A,#N/A,FALSE,"RM REVENUE";#N/A,#N/A,FALSE,"Manpower";#N/A,#N/A,FALSE,"SI - UTIL";#N/A,#N/A,FALSE,"Sales - Utili"}</definedName>
    <definedName name="wrn.Utility._.Accrual." localSheetId="10" hidden="1">{"Balt Util Water",#N/A,TRUE,"UTIL";"Balt Util Elect",#N/A,TRUE,"UTIL";"Balt Util JE",#N/A,TRUE,"UTIL"}</definedName>
    <definedName name="wrn.Utility._.Accrual." hidden="1">{"Balt Util Water",#N/A,TRUE,"UTIL";"Balt Util Elect",#N/A,TRUE,"UTIL";"Balt Util JE",#N/A,TRUE,"UTIL"}</definedName>
    <definedName name="wrn.VALUATION." localSheetId="10" hidden="1">{#N/A,#N/A,FALSE,"Pooling";#N/A,#N/A,FALSE,"income";#N/A,#N/A,FALSE,"valuation"}</definedName>
    <definedName name="wrn.VALUATION." localSheetId="15" hidden="1">{#N/A,#N/A,FALSE,"Pooling";#N/A,#N/A,FALSE,"income";#N/A,#N/A,FALSE,"valuation"}</definedName>
    <definedName name="wrn.VALUATION." hidden="1">{#N/A,#N/A,FALSE,"Pooling";#N/A,#N/A,FALSE,"income";#N/A,#N/A,FALSE,"valuation"}</definedName>
    <definedName name="wrn.Valuation._.Package._.1." localSheetId="1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1" localSheetId="10" hidden="1">{#N/A,#N/A,FALSE,"Pooling";#N/A,#N/A,FALSE,"income";#N/A,#N/A,FALSE,"valuation"}</definedName>
    <definedName name="wrn.VALUATION._1" hidden="1">{#N/A,#N/A,FALSE,"Pooling";#N/A,#N/A,FALSE,"income";#N/A,#N/A,FALSE,"valuation"}</definedName>
    <definedName name="wrn.Value." localSheetId="10" hidden="1">{"NOPCAPEVA",#N/A,FALSE,"Nopat";"FCFCSTAR",#N/A,FALSE,"FCFVAL";"EVAVL",#N/A,FALSE,"EVAVAL";"LEASE",#N/A,FALSE,"OpLease"}</definedName>
    <definedName name="wrn.Value." hidden="1">{"NOPCAPEVA",#N/A,FALSE,"Nopat";"FCFCSTAR",#N/A,FALSE,"FCFVAL";"EVAVL",#N/A,FALSE,"EVAVAL";"LEASE",#N/A,FALSE,"OpLease"}</definedName>
    <definedName name="wrn.value2" localSheetId="10" hidden="1">{"NOPCAPEVA",#N/A,FALSE,"Nopat";"FCFCSTAR",#N/A,FALSE,"FCFVAL";"EVAVL",#N/A,FALSE,"EVAVAL";"LEASE",#N/A,FALSE,"OpLease"}</definedName>
    <definedName name="wrn.value2" hidden="1">{"NOPCAPEVA",#N/A,FALSE,"Nopat";"FCFCSTAR",#N/A,FALSE,"FCFVAL";"EVAVL",#N/A,FALSE,"EVAVAL";"LEASE",#N/A,FALSE,"OpLease"}</definedName>
    <definedName name="wrn.value3" localSheetId="10" hidden="1">{"NOPCAPEVA",#N/A,FALSE,"Nopat";"FCFCSTAR",#N/A,FALSE,"FCFVAL";"EVAVL",#N/A,FALSE,"EVAVAL";"LEASE",#N/A,FALSE,"OpLease"}</definedName>
    <definedName name="wrn.value3" hidden="1">{"NOPCAPEVA",#N/A,FALSE,"Nopat";"FCFCSTAR",#N/A,FALSE,"FCFVAL";"EVAVL",#N/A,FALSE,"EVAVAL";"LEASE",#N/A,FALSE,"OpLease"}</definedName>
    <definedName name="wrn.value4" localSheetId="10" hidden="1">{"NOPCAPEVA",#N/A,FALSE,"Nopat";"FCFCSTAR",#N/A,FALSE,"FCFVAL";"EVAVL",#N/A,FALSE,"EVAVAL";"LEASE",#N/A,FALSE,"OpLease"}</definedName>
    <definedName name="wrn.value4" hidden="1">{"NOPCAPEVA",#N/A,FALSE,"Nopat";"FCFCSTAR",#N/A,FALSE,"FCFVAL";"EVAVL",#N/A,FALSE,"EVAVAL";"LEASE",#N/A,FALSE,"OpLease"}</definedName>
    <definedName name="wrn.variance." localSheetId="10" hidden="1">{"2.variance",#N/A,FALSE,"2.Operations 6100";"1.variance",#N/A,FALSE,"1.Product Management 3500"}</definedName>
    <definedName name="wrn.variance." localSheetId="15" hidden="1">{"2.variance",#N/A,FALSE,"2.Operations 6100";"1.variance",#N/A,FALSE,"1.Product Management 3500"}</definedName>
    <definedName name="wrn.variance." hidden="1">{"2.variance",#N/A,FALSE,"2.Operations 6100";"1.variance",#N/A,FALSE,"1.Product Management 3500"}</definedName>
    <definedName name="wrn.VARIANCES." localSheetId="10" hidden="1">{"VARIANCE_Q3",#N/A,FALSE,"BS";"VARIANCE_Q2",#N/A,FALSE,"BS";"VARIANCE_Q1",#N/A,FALSE,"BS";"VARIANCE_FY96",#N/A,FALSE,"BS"}</definedName>
    <definedName name="wrn.VARIANCES." hidden="1">{"VARIANCE_Q3",#N/A,FALSE,"BS";"VARIANCE_Q2",#N/A,FALSE,"BS";"VARIANCE_Q1",#N/A,FALSE,"BS";"VARIANCE_FY96",#N/A,FALSE,"BS"}</definedName>
    <definedName name="wrn.Virg._.Worksheets." localSheetId="10" hidden="1">{#N/A,#N/A,FALSE,"1F";#N/A,#N/A,FALSE,"2Aand2B";#N/A,#N/A,FALSE,"2Cand2D";#N/A,#N/A,FALSE,"2F";#N/A,#N/A,FALSE,"2G";#N/A,#N/A,FALSE,"2H";#N/A,#N/A,FALSE,"2Land2M";#N/A,#N/A,FALSE,"2N";#N/A,#N/A,FALSE,"2T";#N/A,#N/A,FALSE,"2Uand2Ui";#N/A,#N/A,FALSE,"2V";#N/A,#N/A,FALSE,"2Xand2X1";#N/A,#N/A,FALSE,"2Y";#N/A,#N/A,FALSE,"2Z";#N/A,#N/A,FALSE,"2AA";#N/A,#N/A,FALSE,"2CCand2CC1";#N/A,#N/A,FALSE,"2LL1"}</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ol._.only." localSheetId="10" hidden="1">{"Vol Qtr 1",#N/A,TRUE,"Wk-CV";"Vol Qtr 2",#N/A,TRUE,"Wk-CV";"Vol Qtr 3",#N/A,TRUE,"Wk-CV";"Vol Qtr 4",#N/A,TRUE,"Wk-CV"}</definedName>
    <definedName name="wrn.Vol._.only." hidden="1">{"Vol Qtr 1",#N/A,TRUE,"Wk-CV";"Vol Qtr 2",#N/A,TRUE,"Wk-CV";"Vol Qtr 3",#N/A,TRUE,"Wk-CV";"Vol Qtr 4",#N/A,TRUE,"Wk-CV"}</definedName>
    <definedName name="wrn.W126ExpBurFut." localSheetId="10" hidden="1">{"W126ExpBurFut",#N/A,FALSE,"Wn-Burden"}</definedName>
    <definedName name="wrn.W126ExpBurFut." hidden="1">{"W126ExpBurFut",#N/A,FALSE,"Wn-Burden"}</definedName>
    <definedName name="wrn.W126ExpCosFut." localSheetId="10" hidden="1">{"W126ExpCosFut",#N/A,FALSE,"Wn-COS"}</definedName>
    <definedName name="wrn.W126ExpCosFut." hidden="1">{"W126ExpCosFut",#N/A,FALSE,"Wn-COS"}</definedName>
    <definedName name="wrn.W126ExpTotFut." localSheetId="10" hidden="1">{"W126ExpTotFut",#N/A,FALSE,"Wn-Total"}</definedName>
    <definedName name="wrn.W126ExpTotFut." hidden="1">{"W126ExpTotFut",#N/A,FALSE,"Wn-Total"}</definedName>
    <definedName name="wrn.W127ExpPayFut." localSheetId="10" hidden="1">{"W126ExpPayFut",#N/A,FALSE,"Wn-Payroll"}</definedName>
    <definedName name="wrn.W127ExpPayFut." hidden="1">{"W126ExpPayFut",#N/A,FALSE,"Wn-Payroll"}</definedName>
    <definedName name="wrn.Wacc." localSheetId="10" hidden="1">{"Area1",#N/A,FALSE,"OREWACC";"Area2",#N/A,FALSE,"OREWACC"}</definedName>
    <definedName name="wrn.Wacc." localSheetId="15" hidden="1">{"Area1",#N/A,FALSE,"OREWACC";"Area2",#N/A,FALSE,"OREWACC"}</definedName>
    <definedName name="wrn.Wacc." hidden="1">{"Area1",#N/A,FALSE,"OREWACC";"Area2",#N/A,FALSE,"OREWACC"}</definedName>
    <definedName name="wrn.Wacc._1" localSheetId="10" hidden="1">{"Area1",#N/A,FALSE,"OREWACC";"Area2",#N/A,FALSE,"OREWACC"}</definedName>
    <definedName name="wrn.Wacc._1" hidden="1">{"Area1",#N/A,FALSE,"OREWACC";"Area2",#N/A,FALSE,"OREWACC"}</definedName>
    <definedName name="wrn.Wacc._2" localSheetId="10" hidden="1">{"Area1",#N/A,FALSE,"OREWACC";"Area2",#N/A,FALSE,"OREWACC"}</definedName>
    <definedName name="wrn.Wacc._2" hidden="1">{"Area1",#N/A,FALSE,"OREWACC";"Area2",#N/A,FALSE,"OREWACC"}</definedName>
    <definedName name="wrn.Wacc._3" localSheetId="10" hidden="1">{"Area1",#N/A,FALSE,"OREWACC";"Area2",#N/A,FALSE,"OREWACC"}</definedName>
    <definedName name="wrn.Wacc._3" hidden="1">{"Area1",#N/A,FALSE,"OREWACC";"Area2",#N/A,FALSE,"OREWACC"}</definedName>
    <definedName name="wrn.Wacc._4" localSheetId="10" hidden="1">{"Area1",#N/A,FALSE,"OREWACC";"Area2",#N/A,FALSE,"OREWACC"}</definedName>
    <definedName name="wrn.Wacc._4" hidden="1">{"Area1",#N/A,FALSE,"OREWACC";"Area2",#N/A,FALSE,"OREWACC"}</definedName>
    <definedName name="wrn.Wacc._5" localSheetId="10" hidden="1">{"Area1",#N/A,FALSE,"OREWACC";"Area2",#N/A,FALSE,"OREWACC"}</definedName>
    <definedName name="wrn.Wacc._5" hidden="1">{"Area1",#N/A,FALSE,"OREWACC";"Area2",#N/A,FALSE,"OREWACC"}</definedName>
    <definedName name="wrn.WATERTOWN._.BUDGET." localSheetId="10" hidden="1">{#N/A,#N/A,TRUE,"Inc. St.";#N/A,#N/A,TRUE,"SalesLabor";#N/A,#N/A,TRUE,"Labor";#N/A,#N/A,TRUE,"TEMP.";#N/A,#N/A,TRUE,"Manuf.";#N/A,#N/A,TRUE,"Repairs";#N/A,#N/A,TRUE,"G&amp;A";#N/A,#N/A,TRUE,"Inv.";#N/A,#N/A,TRUE,"Cap.X";#N/A,#N/A,TRUE,"Leases"}</definedName>
    <definedName name="wrn.WATERTOWN._.BUDGET." localSheetId="15"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localSheetId="10" hidden="1">{#N/A,#N/A,FALSE,"WC OMM III";#N/A,#N/A,FALSE,"WC 1995 PLAN";#N/A,#N/A,FALSE,"WC 1995 ADJUSTED"}</definedName>
    <definedName name="wrn.WCTRNDS." localSheetId="15" hidden="1">{#N/A,#N/A,FALSE,"WC OMM III";#N/A,#N/A,FALSE,"WC 1995 PLAN";#N/A,#N/A,FALSE,"WC 1995 ADJUSTED"}</definedName>
    <definedName name="wrn.WCTRNDS." hidden="1">{#N/A,#N/A,FALSE,"WC OMM III";#N/A,#N/A,FALSE,"WC 1995 PLAN";#N/A,#N/A,FALSE,"WC 1995 ADJUSTED"}</definedName>
    <definedName name="wrn.Web._.Portfolio._.Companies._.June._.2000."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_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localSheetId="10" hidden="1">{"ebit summary",#N/A,TRUE,"FXWEEKLY";"The Age",#N/A,TRUE,"FXWEEKLY";"Sunday Age",#N/A,TRUE,"FXWEEKLY";"View Magazine",#N/A,TRUE,"FXWEEKLY";"Statistics",#N/A,TRUE,"FXWEEKLY"}</definedName>
    <definedName name="wrn.Weekly." hidden="1">{"ebit summary",#N/A,TRUE,"FXWEEKLY";"The Age",#N/A,TRUE,"FXWEEKLY";"Sunday Age",#N/A,TRUE,"FXWEEKLY";"View Magazine",#N/A,TRUE,"FXWEEKLY";"Statistics",#N/A,TRUE,"FXWEEKLY"}</definedName>
    <definedName name="wrn.Weekly._.Forecast." localSheetId="1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wrn.Weekly._.Forecast."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wrn.WeeklyReport." localSheetId="10" hidden="1">{#N/A,#N/A,FALSE,"Week 2002";#N/A,#N/A,FALSE,"YTD 2002";#N/A,#N/A,FALSE,"Quarterly Trend(Q3)"}</definedName>
    <definedName name="wrn.WeeklyReport." hidden="1">{#N/A,#N/A,FALSE,"Week 2002";#N/A,#N/A,FALSE,"YTD 2002";#N/A,#N/A,FALSE,"Quarterly Trend(Q3)"}</definedName>
    <definedName name="wrn.Western._.Metal." localSheetId="10" hidden="1">{#N/A,#N/A,FALSE,"Western";#N/A,#N/A,FALSE,"Inc. St.";#N/A,#N/A,FALSE,"Hist.";#N/A,#N/A,FALSE,"SalesLabor";#N/A,#N/A,FALSE,"Labor";#N/A,#N/A,FALSE,"Manuf.";#N/A,#N/A,FALSE,"Repairs";#N/A,#N/A,FALSE,"G&amp;A";#N/A,#N/A,FALSE,"Inv.";#N/A,#N/A,FALSE,"Cap. X"}</definedName>
    <definedName name="wrn.Western._.Metal." localSheetId="15"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HOLE." localSheetId="10"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10" hidden="1">{"page 1",#N/A,FALSE,"A";"page 2",#N/A,FALSE,"A";"page 3",#N/A,FALSE,"A";"page 4",#N/A,FALSE,"A";"page 5",#N/A,FALSE,"A";"page 6",#N/A,FALSE,"A";"page 7",#N/A,FALSE,"A";"page 8",#N/A,FALSE,"A";"page 9",#N/A,FALSE,"A";"page 10",#N/A,FALSE,"A";"page 11",#N/A,FALSE,"A";"page 12",#N/A,FALSE,"A";"page 13",#N/A,FALSE,"A";"page 14",#N/A,FALSE,"A"}</definedName>
    <definedName name="wrn.whole._.document." localSheetId="15"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Pkg." localSheetId="10"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holeShabang."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0" hidden="1">{#N/A,#N/A,FALSE,"FACTSHEETS";#N/A,#N/A,FALSE,"pump";#N/A,#N/A,FALSE,"filter"}</definedName>
    <definedName name="wrn.wicor." localSheetId="15" hidden="1">{#N/A,#N/A,FALSE,"FACTSHEETS";#N/A,#N/A,FALSE,"pump";#N/A,#N/A,FALSE,"filter"}</definedName>
    <definedName name="wrn.wicor." hidden="1">{#N/A,#N/A,FALSE,"FACTSHEETS";#N/A,#N/A,FALSE,"pump";#N/A,#N/A,FALSE,"filter"}</definedName>
    <definedName name="wrn.wicor._1" localSheetId="10" hidden="1">{#N/A,#N/A,FALSE,"FACTSHEETS";#N/A,#N/A,FALSE,"pump";#N/A,#N/A,FALSE,"filter"}</definedName>
    <definedName name="wrn.wicor._1" hidden="1">{#N/A,#N/A,FALSE,"FACTSHEETS";#N/A,#N/A,FALSE,"pump";#N/A,#N/A,FALSE,"filter"}</definedName>
    <definedName name="wrn.Wireless." localSheetId="10">{#N/A,#N/A,TRUE,"Monthly Wireless";#N/A,#N/A,TRUE,"Qrt Wireless";#N/A,#N/A,TRUE,"FY Wireless";#N/A,#N/A,TRUE,"1Q Wireless";#N/A,#N/A,TRUE,"2Q Wireless";#N/A,#N/A,TRUE,"3Q Wireless";#N/A,#N/A,TRUE,"4Q Wireless"}</definedName>
    <definedName name="wrn.Wireless.">{#N/A,#N/A,TRUE,"Monthly Wireless";#N/A,#N/A,TRUE,"Qrt Wireless";#N/A,#N/A,TRUE,"FY Wireless";#N/A,#N/A,TRUE,"1Q Wireless";#N/A,#N/A,TRUE,"2Q Wireless";#N/A,#N/A,TRUE,"3Q Wireless";#N/A,#N/A,TRUE,"4Q Wireless"}</definedName>
    <definedName name="wrn.without._.Wireless._.All._.Periods." localSheetId="10">{#N/A,#N/A,TRUE,"Monthly w|o Wireless";#N/A,#N/A,TRUE,"Qrt w|o Wireless";#N/A,#N/A,TRUE,"FY w|o Wireless";#N/A,#N/A,TRUE,"1Q w|o Wireless";#N/A,#N/A,TRUE,"2Q w|o Wireless";#N/A,#N/A,TRUE,"3Q w|o Wireless";#N/A,#N/A,TRUE,"4Q w|o Wireless"}</definedName>
    <definedName name="wrn.without._.Wireless._.All._.Periods.">{#N/A,#N/A,TRUE,"Monthly w|o Wireless";#N/A,#N/A,TRUE,"Qrt w|o Wireless";#N/A,#N/A,TRUE,"FY w|o Wireless";#N/A,#N/A,TRUE,"1Q w|o Wireless";#N/A,#N/A,TRUE,"2Q w|o Wireless";#N/A,#N/A,TRUE,"3Q w|o Wireless";#N/A,#N/A,TRUE,"4Q w|o Wireless"}</definedName>
    <definedName name="wrn.Wn126ExpBur." localSheetId="10" hidden="1">{"Wn126ExpBur",#N/A,FALSE,"Wn-Burden"}</definedName>
    <definedName name="wrn.Wn126ExpBur." hidden="1">{"Wn126ExpBur",#N/A,FALSE,"Wn-Burden"}</definedName>
    <definedName name="wrn.Wn126ExpCos." localSheetId="10" hidden="1">{"Wn126ExpCos",#N/A,FALSE,"Wn-COS"}</definedName>
    <definedName name="wrn.Wn126ExpCos." hidden="1">{"Wn126ExpCos",#N/A,FALSE,"Wn-COS"}</definedName>
    <definedName name="wrn.Wn126ExpPay." localSheetId="10" hidden="1">{"Wn126ExpPay",#N/A,FALSE,"Wn-Payroll"}</definedName>
    <definedName name="wrn.Wn126ExpPay." hidden="1">{"Wn126ExpPay",#N/A,FALSE,"Wn-Payroll"}</definedName>
    <definedName name="wrn.Wn126ExpTtl." localSheetId="10" hidden="1">{"WN126ExpTtl",#N/A,FALSE,"Wn-Total"}</definedName>
    <definedName name="wrn.Wn126ExpTtl." hidden="1">{"WN126ExpTtl",#N/A,FALSE,"Wn-Total"}</definedName>
    <definedName name="wrn.WorkCap." localSheetId="10" hidden="1">{"WorkCap",#N/A,FALSE,"cashflw"}</definedName>
    <definedName name="wrn.WorkCap." localSheetId="15" hidden="1">{"WorkCap",#N/A,FALSE,"cashflw"}</definedName>
    <definedName name="wrn.WorkCap." hidden="1">{"WorkCap",#N/A,FALSE,"cashflw"}</definedName>
    <definedName name="wrn.Working._.Version." localSheetId="10"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localSheetId="10"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localSheetId="15"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_.Only." localSheetId="10"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15"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s._.expense." localSheetId="10" hidden="1">{"works expense",#N/A,FALSE,"WORKS EXPENSE"}</definedName>
    <definedName name="wrn.works._.expense." hidden="1">{"works expense",#N/A,FALSE,"WORKS EXPENSE"}</definedName>
    <definedName name="wrn.wpoall." localSheetId="10" hidden="1">{"wpocash",#N/A,FALSE,"WPOALLT";"wpoinc",#N/A,FALSE,"WPOALLT";"wpoexcl",#N/A,FALSE,"WPOALLT";"wpocable",#N/A,FALSE,"WPOALLT";"wpobroad",#N/A,FALSE,"WPOALLT";"wpopost",#N/A,FALSE,"WPOALLT";"wponwsweek",#N/A,FALSE,"WPOALLT"}</definedName>
    <definedName name="wrn.wpoall." localSheetId="15"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wr." localSheetId="10" hidden="1">{#N/A,#N/A,FALSE,"WHITE-RODGERS SK";#N/A,#N/A,FALSE,"WHITE-RODGERS RG";#N/A,#N/A,FALSE,"WHITE-RODGERS SK BC";#N/A,#N/A,FALSE,"WHITE-RODGERS RG BC";#N/A,#N/A,FALSE,"GENERAL CONTROLS SK";#N/A,#N/A,FALSE,"GENERAL CONTROLS RG";#N/A,#N/A,FALSE,"PACTROL SK";#N/A,#N/A,FALSE,"PACTROL RG"}</definedName>
    <definedName name="wrn.wr." hidden="1">{#N/A,#N/A,FALSE,"WHITE-RODGERS SK";#N/A,#N/A,FALSE,"WHITE-RODGERS RG";#N/A,#N/A,FALSE,"WHITE-RODGERS SK BC";#N/A,#N/A,FALSE,"WHITE-RODGERS RG BC";#N/A,#N/A,FALSE,"GENERAL CONTROLS SK";#N/A,#N/A,FALSE,"GENERAL CONTROLS RG";#N/A,#N/A,FALSE,"PACTROL SK";#N/A,#N/A,FALSE,"PACTROL RG"}</definedName>
    <definedName name="wrn.WWY." localSheetId="10" hidden="1">{#N/A,#N/A,FALSE,"WWY"}</definedName>
    <definedName name="wrn.WWY." hidden="1">{#N/A,#N/A,FALSE,"WWY"}</definedName>
    <definedName name="wrn.X." localSheetId="10">{#N/A,#N/A,FALSE,"Other";#N/A,#N/A,FALSE,"Corp. Dev.";#N/A,#N/A,FALSE,"Alloc. E.B. &amp; Occy";"Quarter",#N/A,FALSE,"Side by Side"}</definedName>
    <definedName name="wrn.X.">{#N/A,#N/A,FALSE,"Other";#N/A,#N/A,FALSE,"Corp. Dev.";#N/A,#N/A,FALSE,"Alloc. E.B. &amp; Occy";"Quarter",#N/A,FALSE,"Side by Side"}</definedName>
    <definedName name="wrn.X140." localSheetId="10" hidden="1">{"page1",#N/A,FALSE,"X140withReclasses";"page2",#N/A,FALSE,"X140withReclasses";"page3",#N/A,FALSE,"X140withReclasses"}</definedName>
    <definedName name="wrn.X140." hidden="1">{"page1",#N/A,FALSE,"X140withReclasses";"page2",#N/A,FALSE,"X140withReclasses";"page3",#N/A,FALSE,"X140withReclasses"}</definedName>
    <definedName name="wrn.xrates." localSheetId="10" hidden="1">{#N/A,#N/A,FALSE,"1996";#N/A,#N/A,FALSE,"1995";#N/A,#N/A,FALSE,"1994"}</definedName>
    <definedName name="wrn.xrates." localSheetId="15" hidden="1">{#N/A,#N/A,FALSE,"1996";#N/A,#N/A,FALSE,"1995";#N/A,#N/A,FALSE,"1994"}</definedName>
    <definedName name="wrn.xrates." hidden="1">{#N/A,#N/A,FALSE,"1996";#N/A,#N/A,FALSE,"1995";#N/A,#N/A,FALSE,"1994"}</definedName>
    <definedName name="wrn.Y95current." localSheetId="10" hidden="1">{"Y95current",#N/A,FALSE,"Sheet4"}</definedName>
    <definedName name="wrn.Y95current." localSheetId="15" hidden="1">{"Y95current",#N/A,FALSE,"Sheet4"}</definedName>
    <definedName name="wrn.Y95current." hidden="1">{"Y95current",#N/A,FALSE,"Sheet4"}</definedName>
    <definedName name="wrn.Y95qtrs." localSheetId="10" hidden="1">{"Y95qtrs",#N/A,FALSE,"Sheet4"}</definedName>
    <definedName name="wrn.Y95qtrs." localSheetId="15" hidden="1">{"Y95qtrs",#N/A,FALSE,"Sheet4"}</definedName>
    <definedName name="wrn.Y95qtrs." hidden="1">{"Y95qtrs",#N/A,FALSE,"Sheet4"}</definedName>
    <definedName name="wrn.YTD." localSheetId="10" hidden="1">{#N/A,#N/A,FALSE,"YTD"}</definedName>
    <definedName name="wrn.YTD." hidden="1">{#N/A,#N/A,FALSE,"YTD"}</definedName>
    <definedName name="wrn.YTD._.Cash._.Flow." localSheetId="10">{#N/A,#N/A,TRUE,"E&amp;Y Cash Flow"}</definedName>
    <definedName name="wrn.YTD._.Cash._.Flow.">{#N/A,#N/A,TRUE,"E&amp;Y Cash Flow"}</definedName>
    <definedName name="wrn.YTD._.CON._.VS._.BUD." localSheetId="10"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10"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10"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10"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PACKAGE." localSheetId="10" hidden="1">{"YD PACKAGE",#N/A,FALSE,"YTD"}</definedName>
    <definedName name="wrn.YTD._.PACKAGE." hidden="1">{"YD PACKAGE",#N/A,FALSE,"YTD"}</definedName>
    <definedName name="wrn.YTD._.PRS." localSheetId="10" hidden="1">{"YD PRS",#N/A,FALSE,"YTD"}</definedName>
    <definedName name="wrn.YTD._.PRS." hidden="1">{"YD PRS",#N/A,FALSE,"YTD"}</definedName>
    <definedName name="wrn.YTD._.WLLC._.STMTS." localSheetId="10"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10"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localSheetId="10" hidden="1">{#N/A,#N/A,FALSE,"YTD"}</definedName>
    <definedName name="wrn.ytd.4" hidden="1">{#N/A,#N/A,FALSE,"YTD"}</definedName>
    <definedName name="wrn.ytd.t6" localSheetId="10" hidden="1">{#N/A,#N/A,FALSE,"YTD"}</definedName>
    <definedName name="wrn.ytd.t6" hidden="1">{#N/A,#N/A,FALSE,"YTD"}</definedName>
    <definedName name="wrn.YTD_ALL." localSheetId="10"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10" hidden="1">{"YD GENERALH2",#N/A,FALSE,"YTD"}</definedName>
    <definedName name="wrn.YTD_GENERALH2." hidden="1">{"YD GENERALH2",#N/A,FALSE,"YTD"}</definedName>
    <definedName name="wrn.YTD_LAPORTE_O2N2." localSheetId="10" hidden="1">{"YD LAPO2",#N/A,FALSE,"YTD"}</definedName>
    <definedName name="wrn.YTD_LAPORTE_O2N2." hidden="1">{"YD LAPO2",#N/A,FALSE,"YTD"}</definedName>
    <definedName name="wrn.YTD_LOUISIANA." localSheetId="10" hidden="1">{"YD LOUISIANA",#N/A,FALSE,"YTD"}</definedName>
    <definedName name="wrn.YTD_LOUISIANA." hidden="1">{"YD LOUISIANA",#N/A,FALSE,"YTD"}</definedName>
    <definedName name="wrn.YTD_OTHER." localSheetId="10" hidden="1">{"YD OTHER",#N/A,FALSE,"YTD"}</definedName>
    <definedName name="wrn.YTD_OTHER." hidden="1">{"YD OTHER",#N/A,FALSE,"YTD"}</definedName>
    <definedName name="wrn.YTD_TEXAS._.HYCO." localSheetId="10" hidden="1">{"YD LPH2",#N/A,FALSE,"YTD"}</definedName>
    <definedName name="wrn.YTD_TEXAS._.HYCO." hidden="1">{"YD LPH2",#N/A,FALSE,"YTD"}</definedName>
    <definedName name="wrn.ytd4" localSheetId="10" hidden="1">{#N/A,#N/A,FALSE,"YTD"}</definedName>
    <definedName name="wrn.ytd4" hidden="1">{#N/A,#N/A,FALSE,"YTD"}</definedName>
    <definedName name="wrn.YTDvsBud." localSheetId="10" hidden="1">{"Pg1",#N/A,FALSE,"OpExYTDvsBud";"Pg2",#N/A,FALSE,"OpExYTDvsBud"}</definedName>
    <definedName name="wrn.YTDvsBud." hidden="1">{"Pg1",#N/A,FALSE,"OpExYTDvsBud";"Pg2",#N/A,FALSE,"OpExYTDvsBud"}</definedName>
    <definedName name="wrn.YTDvsPY." localSheetId="10" hidden="1">{"Pa1",#N/A,FALSE,"OpExYTDvsPY";"Pa2",#N/A,FALSE,"OpExYTDvsPY"}</definedName>
    <definedName name="wrn.YTDvsPY." hidden="1">{"Pa1",#N/A,FALSE,"OpExYTDvsPY";"Pa2",#N/A,FALSE,"OpExYTDvsPY"}</definedName>
    <definedName name="wrn.z_ALL."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_1"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1_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2" localSheetId="1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_2"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ELLERS." localSheetId="10" hidden="1">{"ZELPG1",#N/A,FALSE,"1995";"ZELPG2",#N/A,FALSE,"1995";"ZELPG3",#N/A,FALSE,"1995"}</definedName>
    <definedName name="wrn.ZELLERS." localSheetId="15" hidden="1">{"ZELPG1",#N/A,FALSE,"1995";"ZELPG2",#N/A,FALSE,"1995";"ZELPG3",#N/A,FALSE,"1995"}</definedName>
    <definedName name="wrn.ZELLERS." hidden="1">{"ZELPG1",#N/A,FALSE,"1995";"ZELPG2",#N/A,FALSE,"1995";"ZELPG3",#N/A,FALSE,"1995"}</definedName>
    <definedName name="wrn.דוח_מרכז." localSheetId="10" hidden="1">{"רווח והפסד",#N/A,FALSE,"תכנית לבנק (2)";"באור_ראשון",#N/A,FALSE,"תכנית לבנק (2)";"באור_שני",#N/A,FALSE,"תכנית לבנק (2)";"מכירות",#N/A,FALSE,"SALES"}</definedName>
    <definedName name="wrn.דוח_מרכז." hidden="1">{"רווח והפסד",#N/A,FALSE,"תכנית לבנק (2)";"באור_ראשון",#N/A,FALSE,"תכנית לבנק (2)";"באור_שני",#N/A,FALSE,"תכנית לבנק (2)";"מכירות",#N/A,FALSE,"SALES"}</definedName>
    <definedName name="wrn.דוח_מרכז._1" localSheetId="10" hidden="1">{"רווח והפסד",#N/A,FALSE,"תכנית לבנק (2)";"באור_ראשון",#N/A,FALSE,"תכנית לבנק (2)";"באור_שני",#N/A,FALSE,"תכנית לבנק (2)";"מכירות",#N/A,FALSE,"SALES"}</definedName>
    <definedName name="wrn.דוח_מרכז._1" hidden="1">{"רווח והפסד",#N/A,FALSE,"תכנית לבנק (2)";"באור_ראשון",#N/A,FALSE,"תכנית לבנק (2)";"באור_שני",#N/A,FALSE,"תכנית לבנק (2)";"מכירות",#N/A,FALSE,"SALES"}</definedName>
    <definedName name="wrn.הערות._.רבעון._.3." localSheetId="10" hidden="1">{"הערות",#N/A,FALSE,"תקציב מול ביצוע (2)"}</definedName>
    <definedName name="wrn.הערות._.רבעון._.3." hidden="1">{"הערות",#N/A,FALSE,"תקציב מול ביצוע (2)"}</definedName>
    <definedName name="wrn.הערות._.רבעון._.3._1" localSheetId="10" hidden="1">{"הערות",#N/A,FALSE,"תקציב מול ביצוע (2)"}</definedName>
    <definedName name="wrn.הערות._.רבעון._.3._1" hidden="1">{"הערות",#N/A,FALSE,"תקציב מול ביצוע (2)"}</definedName>
    <definedName name="wrn.השקעות." localSheetId="10" hidden="1">{"השקעות",#N/A,FALSE,"investments";"מפעל חדש",#N/A,FALSE,"nf"}</definedName>
    <definedName name="wrn.השקעות." hidden="1">{"השקעות",#N/A,FALSE,"investments";"מפעל חדש",#N/A,FALSE,"nf"}</definedName>
    <definedName name="wrn.השקעות._1" localSheetId="10" hidden="1">{"השקעות",#N/A,FALSE,"investments";"מפעל חדש",#N/A,FALSE,"nf"}</definedName>
    <definedName name="wrn.השקעות._1" hidden="1">{"השקעות",#N/A,FALSE,"investments";"מפעל חדש",#N/A,FALSE,"nf"}</definedName>
    <definedName name="wrn.טבלאות_עזר." localSheetId="10" hidden="1">{"ניסוי_אירופה",#N/A,FALSE,"ct-eu";"ניסוי_ארהב",#N/A,FALSE,"ct-us";"רמות",#N/A,FALSE,"RAMOT";"יועצי_מופ",#N/A,FALSE,"r&amp;d_consultants";"יועצים",#N/A,FALSE,"r&amp;d_subcontractors";"הוצאות_רכב",#N/A,FALSE,"car+phone"}</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טבלאות_עזר._1" localSheetId="10" hidden="1">{"ניסוי_אירופה",#N/A,FALSE,"ct-eu";"ניסוי_ארהב",#N/A,FALSE,"ct-us";"רמות",#N/A,FALSE,"RAMOT";"יועצי_מופ",#N/A,FALSE,"r&amp;d_consultants";"יועצים",#N/A,FALSE,"r&amp;d_subcontractors";"הוצאות_רכב",#N/A,FALSE,"car+phone"}</definedName>
    <definedName name="wrn.טבלאות_עזר._1" hidden="1">{"ניסוי_אירופה",#N/A,FALSE,"ct-eu";"ניסוי_ארהב",#N/A,FALSE,"ct-us";"רמות",#N/A,FALSE,"RAMOT";"יועצי_מופ",#N/A,FALSE,"r&amp;d_consultants";"יועצים",#N/A,FALSE,"r&amp;d_subcontractors";"הוצאות_רכב",#N/A,FALSE,"car+phone"}</definedName>
    <definedName name="wrn.מאזן." localSheetId="10" hidden="1">{"מאזן",#N/A,FALSE,"מאזן בוחן"}</definedName>
    <definedName name="wrn.מאזן." hidden="1">{"מאזן",#N/A,FALSE,"מאזן בוחן"}</definedName>
    <definedName name="wrn.מאזן._1" localSheetId="10" hidden="1">{"מאזן",#N/A,FALSE,"מאזן בוחן"}</definedName>
    <definedName name="wrn.מאזן._1" hidden="1">{"מאזן",#N/A,FALSE,"מאזן בוחן"}</definedName>
    <definedName name="wrn.מאזן_בוחן_כללי." localSheetId="10" hidden="1">{#N/A,#N/A,FALSE,"מאזן בוחן";"כל_מאזן_בוחן",#N/A,FALSE,"מאזן בוחן"}</definedName>
    <definedName name="wrn.מאזן_בוחן_כללי." hidden="1">{#N/A,#N/A,FALSE,"מאזן בוחן";"כל_מאזן_בוחן",#N/A,FALSE,"מאזן בוחן"}</definedName>
    <definedName name="wrn.מאזן_בוחן_כללי._1" localSheetId="10" hidden="1">{#N/A,#N/A,FALSE,"מאזן בוחן";"כל_מאזן_בוחן",#N/A,FALSE,"מאזן בוחן"}</definedName>
    <definedName name="wrn.מאזן_בוחן_כללי._1" hidden="1">{#N/A,#N/A,FALSE,"מאזן בוחן";"כל_מאזן_בוחן",#N/A,FALSE,"מאזן בוחן"}</definedName>
    <definedName name="wrn.מופ." localSheetId="10" hidden="1">{"באור_מופ",#N/A,FALSE,"R&amp;D";"מופ_לפי_מוצרים",#N/A,FALSE,"R&amp;D"}</definedName>
    <definedName name="wrn.מופ." hidden="1">{"באור_מופ",#N/A,FALSE,"R&amp;D";"מופ_לפי_מוצרים",#N/A,FALSE,"R&amp;D"}</definedName>
    <definedName name="wrn.מופ._1" localSheetId="10" hidden="1">{"באור_מופ",#N/A,FALSE,"R&amp;D";"מופ_לפי_מוצרים",#N/A,FALSE,"R&amp;D"}</definedName>
    <definedName name="wrn.מופ._1" hidden="1">{"באור_מופ",#N/A,FALSE,"R&amp;D";"מופ_לפי_מוצרים",#N/A,FALSE,"R&amp;D"}</definedName>
    <definedName name="wrn.סעיפי_מאזן_בוחן."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localSheetId="10" hidden="1">{"רווה",#N/A,FALSE,"מאזן בוחן"}</definedName>
    <definedName name="wrn.רווה." hidden="1">{"רווה",#N/A,FALSE,"מאזן בוחן"}</definedName>
    <definedName name="wrn.רווה._1" localSheetId="10" hidden="1">{"רווה",#N/A,FALSE,"מאזן בוחן"}</definedName>
    <definedName name="wrn.רווה._1" hidden="1">{"רווה",#N/A,FALSE,"מאזן בוחן"}</definedName>
    <definedName name="wrn.רווה_לפי_מוצרים." localSheetId="10" hidden="1">{"ossix",#N/A,FALSE,"ossix";"דרמיקול",#N/A,FALSE,"dermicol";"reflux",#N/A,FALSE,"reflux";"מופ_לפי_מוצרים",#N/A,FALSE,"R&amp;D"}</definedName>
    <definedName name="wrn.רווה_לפי_מוצרים." hidden="1">{"ossix",#N/A,FALSE,"ossix";"דרמיקול",#N/A,FALSE,"dermicol";"reflux",#N/A,FALSE,"reflux";"מופ_לפי_מוצרים",#N/A,FALSE,"R&amp;D"}</definedName>
    <definedName name="wrn.רווה_לפי_מוצרים._1" localSheetId="10" hidden="1">{"ossix",#N/A,FALSE,"ossix";"דרמיקול",#N/A,FALSE,"dermicol";"reflux",#N/A,FALSE,"reflux";"מופ_לפי_מוצרים",#N/A,FALSE,"R&amp;D"}</definedName>
    <definedName name="wrn.רווה_לפי_מוצרים._1" hidden="1">{"ossix",#N/A,FALSE,"ossix";"דרמיקול",#N/A,FALSE,"dermicol";"reflux",#N/A,FALSE,"reflux";"מופ_לפי_מוצרים",#N/A,FALSE,"R&amp;D"}</definedName>
    <definedName name="wrn.שכר_כולל." localSheetId="1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localSheetId="1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_1"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localSheetId="10" hidden="1">{"תזרים",#N/A,FALSE,"cf"}</definedName>
    <definedName name="wrn.תזרים." hidden="1">{"תזרים",#N/A,FALSE,"cf"}</definedName>
    <definedName name="wrn.תזרים._1" localSheetId="10" hidden="1">{"תזרים",#N/A,FALSE,"cf"}</definedName>
    <definedName name="wrn.תזרים._1" hidden="1">{"תזרים",#N/A,FALSE,"cf"}</definedName>
    <definedName name="wrn_eva" localSheetId="10" hidden="1">{"EVA",#N/A,FALSE,"EVA";"WACC",#N/A,FALSE,"WACC"}</definedName>
    <definedName name="wrn_eva" localSheetId="15" hidden="1">{"EVA",#N/A,FALSE,"EVA";"WACC",#N/A,FALSE,"WACC"}</definedName>
    <definedName name="wrn_eva" hidden="1">{"EVA",#N/A,FALSE,"EVA";"WACC",#N/A,FALSE,"WACC"}</definedName>
    <definedName name="wrn_eva_1" localSheetId="10" hidden="1">{"EVA",#N/A,FALSE,"EVA";"WACC",#N/A,FALSE,"WACC"}</definedName>
    <definedName name="wrn_eva_1" hidden="1">{"EVA",#N/A,FALSE,"EVA";"WACC",#N/A,FALSE,"WACC"}</definedName>
    <definedName name="wrn_otpt" localSheetId="10" hidden="1">{"DCF","UPSIDE CASE",FALSE,"Sheet1";"DCF","BASE CASE",FALSE,"Sheet1";"DCF","DOWNSIDE CASE",FALSE,"Sheet1"}</definedName>
    <definedName name="wrn_otpt" localSheetId="15" hidden="1">{"DCF","UPSIDE CASE",FALSE,"Sheet1";"DCF","BASE CASE",FALSE,"Sheet1";"DCF","DOWNSIDE CASE",FALSE,"Sheet1"}</definedName>
    <definedName name="wrn_otpt" hidden="1">{"DCF","UPSIDE CASE",FALSE,"Sheet1";"DCF","BASE CASE",FALSE,"Sheet1";"DCF","DOWNSIDE CASE",FALSE,"Sheet1"}</definedName>
    <definedName name="wrn_otpt_1" localSheetId="10" hidden="1">{"DCF","UPSIDE CASE",FALSE,"Sheet1";"DCF","BASE CASE",FALSE,"Sheet1";"DCF","DOWNSIDE CASE",FALSE,"Sheet1"}</definedName>
    <definedName name="wrn_otpt_1" hidden="1">{"DCF","UPSIDE CASE",FALSE,"Sheet1";"DCF","BASE CASE",FALSE,"Sheet1";"DCF","DOWNSIDE CASE",FALSE,"Sheet1"}</definedName>
    <definedName name="WRN1.ALL" localSheetId="10">{#N/A,#N/A,FALSE,"RH1";#N/A,#N/A,FALSE,"SP2";#N/A,#N/A,FALSE,"MB3";#N/A,#N/A,FALSE,"WV5";#N/A,#N/A,FALSE,"LB6";#N/A,#N/A,FALSE,"NB7";#N/A,#N/A,FALSE,"MV8";#N/A,#N/A,FALSE,"ALL STORES (7)";#N/A,#N/A,FALSE,"MATURE STORES (3)";#N/A,#N/A,FALSE,"BASE STORES (5)";#N/A,#N/A,FALSE,"NEW STORES (2)"}</definedName>
    <definedName name="WRN1.ALL">{#N/A,#N/A,FALSE,"RH1";#N/A,#N/A,FALSE,"SP2";#N/A,#N/A,FALSE,"MB3";#N/A,#N/A,FALSE,"WV5";#N/A,#N/A,FALSE,"LB6";#N/A,#N/A,FALSE,"NB7";#N/A,#N/A,FALSE,"MV8";#N/A,#N/A,FALSE,"ALL STORES (7)";#N/A,#N/A,FALSE,"MATURE STORES (3)";#N/A,#N/A,FALSE,"BASE STORES (5)";#N/A,#N/A,FALSE,"NEW STORES (2)"}</definedName>
    <definedName name="wrn1.CCM" localSheetId="10"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urrent._.Month._.Everything" localSheetId="1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ull." localSheetId="10" hidden="1">{#N/A,#N/A,TRUE,"1998_Summary";#N/A,#N/A,TRUE,"1999_Summary";#N/A,#N/A,TRUE,"1998_IS";#N/A,#N/A,TRUE,"1999_IS"}</definedName>
    <definedName name="wrn1.full." hidden="1">{#N/A,#N/A,TRUE,"1998_Summary";#N/A,#N/A,TRUE,"1999_Summary";#N/A,#N/A,TRUE,"1998_IS";#N/A,#N/A,TRUE,"1999_IS"}</definedName>
    <definedName name="wrn1.PRINT." localSheetId="10" hidden="1">{"DOWNLOAD",#N/A,FALSE,"GLDownload";"UPLOAD",#N/A,FALSE,"GLUpload"}</definedName>
    <definedName name="wrn1.PRINT." hidden="1">{"DOWNLOAD",#N/A,FALSE,"GLDownload";"UPLOAD",#N/A,FALSE,"GLUpload"}</definedName>
    <definedName name="wrn1.summary" localSheetId="10" hidden="1">{#N/A,#N/A,TRUE,"Notes";#N/A,#N/A,TRUE,"Cap Struct";#N/A,#N/A,TRUE,"OBS";#N/A,#N/A,TRUE,"bal Sheet";#N/A,#N/A,TRUE,"Inc stmt";#N/A,#N/A,TRUE,"csh flw";#N/A,#N/A,TRUE,"debt";#N/A,#N/A,TRUE,"detail 96,97";#N/A,#N/A,TRUE,"Covenants"}</definedName>
    <definedName name="wrn1.summary" localSheetId="15" hidden="1">{#N/A,#N/A,TRUE,"Notes";#N/A,#N/A,TRUE,"Cap Struct";#N/A,#N/A,TRUE,"OBS";#N/A,#N/A,TRUE,"bal Sheet";#N/A,#N/A,TRUE,"Inc stmt";#N/A,#N/A,TRUE,"csh flw";#N/A,#N/A,TRUE,"debt";#N/A,#N/A,TRUE,"detail 96,97";#N/A,#N/A,TRUE,"Covenants"}</definedName>
    <definedName name="wrn1.summary" hidden="1">{#N/A,#N/A,TRUE,"Notes";#N/A,#N/A,TRUE,"Cap Struct";#N/A,#N/A,TRUE,"OBS";#N/A,#N/A,TRUE,"bal Sheet";#N/A,#N/A,TRUE,"Inc stmt";#N/A,#N/A,TRUE,"csh flw";#N/A,#N/A,TRUE,"debt";#N/A,#N/A,TRUE,"detail 96,97";#N/A,#N/A,TRUE,"Covenants"}</definedName>
    <definedName name="wrn2.all." localSheetId="10" hidden="1">{#N/A,#N/A,FALSE,"CDC";#N/A,#N/A,FALSE,"SYSTEMDEV";#N/A,#N/A,FALSE,"PRINT CHG";#N/A,#N/A,FALSE,"PRINT INV";#N/A,#N/A,FALSE,"EU ADMN";#N/A,#N/A,FALSE,"ADALLOC";#N/A,#N/A,FALSE,"SURPLUS"}</definedName>
    <definedName name="wrn2.all." hidden="1">{#N/A,#N/A,FALSE,"CDC";#N/A,#N/A,FALSE,"SYSTEMDEV";#N/A,#N/A,FALSE,"PRINT CHG";#N/A,#N/A,FALSE,"PRINT INV";#N/A,#N/A,FALSE,"EU ADMN";#N/A,#N/A,FALSE,"ADALLOC";#N/A,#N/A,FALSE,"SURPLUS"}</definedName>
    <definedName name="wrn2.Basic" localSheetId="10" hidden="1">{#N/A,#N/A,FALSE,"e-Svc Level";#N/A,#N/A,FALSE,"e-Hosted";#N/A,#N/A,FALSE,"e-Licensed";#N/A,#N/A,FALSE,"Assumptions"}</definedName>
    <definedName name="wrn2.Basic" hidden="1">{#N/A,#N/A,FALSE,"e-Svc Level";#N/A,#N/A,FALSE,"e-Hosted";#N/A,#N/A,FALSE,"e-Licensed";#N/A,#N/A,FALSE,"Assumptions"}</definedName>
    <definedName name="wrn2.Basic." localSheetId="10" hidden="1">{#N/A,#N/A,FALSE,"e-Svc Level";#N/A,#N/A,FALSE,"e-Hosted";#N/A,#N/A,FALSE,"e-Licensed";#N/A,#N/A,FALSE,"Assumptions"}</definedName>
    <definedName name="wrn2.Basic." hidden="1">{#N/A,#N/A,FALSE,"e-Svc Level";#N/A,#N/A,FALSE,"e-Hosted";#N/A,#N/A,FALSE,"e-Licensed";#N/A,#N/A,FALSE,"Assumptions"}</definedName>
    <definedName name="wrn2.Basic._1" localSheetId="10" hidden="1">{#N/A,#N/A,FALSE,"e-Svc Level";#N/A,#N/A,FALSE,"e-Hosted";#N/A,#N/A,FALSE,"e-Licensed";#N/A,#N/A,FALSE,"Assumptions"}</definedName>
    <definedName name="wrn2.Basic._1" hidden="1">{#N/A,#N/A,FALSE,"e-Svc Level";#N/A,#N/A,FALSE,"e-Hosted";#N/A,#N/A,FALSE,"e-Licensed";#N/A,#N/A,FALSE,"Assumptions"}</definedName>
    <definedName name="wrn2.Basic_1" localSheetId="10" hidden="1">{#N/A,#N/A,FALSE,"e-Svc Level";#N/A,#N/A,FALSE,"e-Hosted";#N/A,#N/A,FALSE,"e-Licensed";#N/A,#N/A,FALSE,"Assumptions"}</definedName>
    <definedName name="wrn2.Basic_1" hidden="1">{#N/A,#N/A,FALSE,"e-Svc Level";#N/A,#N/A,FALSE,"e-Hosted";#N/A,#N/A,FALSE,"e-Licensed";#N/A,#N/A,FALSE,"Assumptions"}</definedName>
    <definedName name="wrn2.capital" localSheetId="10" hidden="1">{"capital",#N/A,FALSE,"CAPITAL_DEP'N"}</definedName>
    <definedName name="wrn2.capital" hidden="1">{"capital",#N/A,FALSE,"CAPITAL_DEP'N"}</definedName>
    <definedName name="wrn2.cashreceipt." localSheetId="10" hidden="1">{"GOCR",#N/A,FALSE,"GO";"HMCR",#N/A,FALSE,"HM";"KRCR",#N/A,FALSE,"KR";"LOCR",#N/A,FALSE,"LO";"OTCR",#N/A,FALSE,"OT";"TRCR",#N/A,FALSE,"TR"}</definedName>
    <definedName name="wrn2.cashreceipt." hidden="1">{"GOCR",#N/A,FALSE,"GO";"HMCR",#N/A,FALSE,"HM";"KRCR",#N/A,FALSE,"KR";"LOCR",#N/A,FALSE,"LO";"OTCR",#N/A,FALSE,"OT";"TRCR",#N/A,FALSE,"TR"}</definedName>
    <definedName name="wrn2.investment._.review." localSheetId="10" hidden="1">{#N/A,#N/A,FALSE,"MONTHLY INVESTMENT REPORT";#N/A,#N/A,FALSE,"MONTHLY INVESTMENT ANALYSIS"}</definedName>
    <definedName name="wrn2.investment._.review." hidden="1">{#N/A,#N/A,FALSE,"MONTHLY INVESTMENT REPORT";#N/A,#N/A,FALSE,"MONTHLY INVESTMENT ANALYSIS"}</definedName>
    <definedName name="wrn2.manpower" localSheetId="10" hidden="1">{"manpower",#N/A,FALSE,"MANPOWER_PAYROLL"}</definedName>
    <definedName name="wrn2.manpower" hidden="1">{"manpower",#N/A,FALSE,"MANPOWER_PAYROLL"}</definedName>
    <definedName name="wrn2.numnsf." localSheetId="10" hidden="1">{"GO",#N/A,FALSE,"GO";"HM",#N/A,FALSE,"HM";"KR",#N/A,FALSE,"KR";"LO",#N/A,FALSE,"LO";"OT",#N/A,FALSE,"OT";"TR",#N/A,FALSE,"TR"}</definedName>
    <definedName name="wrn2.numnsf." hidden="1">{"GO",#N/A,FALSE,"GO";"HM",#N/A,FALSE,"HM";"KR",#N/A,FALSE,"KR";"LO",#N/A,FALSE,"LO";"OT",#N/A,FALSE,"OT";"TR",#N/A,FALSE,"TR"}</definedName>
    <definedName name="wrn2.product._.cost." localSheetId="10" hidden="1">{"product cost",#N/A,FALSE,"P&amp;L STATEMENT"}</definedName>
    <definedName name="wrn2.product._.cost." hidden="1">{"product cost",#N/A,FALSE,"P&amp;L STATEMENT"}</definedName>
    <definedName name="wrn2.profit._.statement." localSheetId="10" hidden="1">{"profit statement",#N/A,FALSE,"P&amp;L STATEMENT"}</definedName>
    <definedName name="wrn2.profit._.statement." hidden="1">{"profit statement",#N/A,FALSE,"P&amp;L STATEMENT"}</definedName>
    <definedName name="wrn2.sga._.expense." localSheetId="10" hidden="1">{"sga expense",#N/A,FALSE,"S,G&amp;A EXP"}</definedName>
    <definedName name="wrn2.sga._.expense." hidden="1">{"sga expense",#N/A,FALSE,"S,G&amp;A EXP"}</definedName>
    <definedName name="wrn2.summary" localSheetId="10" hidden="1">{#N/A,#N/A,TRUE,"Notes";#N/A,#N/A,TRUE,"Cap Struct";#N/A,#N/A,TRUE,"OBS";#N/A,#N/A,TRUE,"bal Sheet";#N/A,#N/A,TRUE,"Inc stmt";#N/A,#N/A,TRUE,"csh flw";#N/A,#N/A,TRUE,"debt";#N/A,#N/A,TRUE,"detail 96,97";#N/A,#N/A,TRUE,"Covenants"}</definedName>
    <definedName name="wrn2.summary" localSheetId="15" hidden="1">{#N/A,#N/A,TRUE,"Notes";#N/A,#N/A,TRUE,"Cap Struct";#N/A,#N/A,TRUE,"OBS";#N/A,#N/A,TRUE,"bal Sheet";#N/A,#N/A,TRUE,"Inc stmt";#N/A,#N/A,TRUE,"csh flw";#N/A,#N/A,TRUE,"debt";#N/A,#N/A,TRUE,"detail 96,97";#N/A,#N/A,TRUE,"Covenants"}</definedName>
    <definedName name="wrn2.summary" hidden="1">{#N/A,#N/A,TRUE,"Notes";#N/A,#N/A,TRUE,"Cap Struct";#N/A,#N/A,TRUE,"OBS";#N/A,#N/A,TRUE,"bal Sheet";#N/A,#N/A,TRUE,"Inc stmt";#N/A,#N/A,TRUE,"csh flw";#N/A,#N/A,TRUE,"debt";#N/A,#N/A,TRUE,"detail 96,97";#N/A,#N/A,TRUE,"Covenants"}</definedName>
    <definedName name="wrn2.works._.expense." localSheetId="10" hidden="1">{"works expense",#N/A,FALSE,"WORKS EXPENSE"}</definedName>
    <definedName name="wrn2.works._.expense." hidden="1">{"works expense",#N/A,FALSE,"WORKS EXPENSE"}</definedName>
    <definedName name="wrn2a.summary" localSheetId="10" hidden="1">{#N/A,#N/A,TRUE,"Notes";#N/A,#N/A,TRUE,"Cap Struct";#N/A,#N/A,TRUE,"OBS";#N/A,#N/A,TRUE,"bal Sheet";#N/A,#N/A,TRUE,"Inc stmt";#N/A,#N/A,TRUE,"csh flw";#N/A,#N/A,TRUE,"debt";#N/A,#N/A,TRUE,"detail 96,97";#N/A,#N/A,TRUE,"Covenants"}</definedName>
    <definedName name="wrn2a.summary" localSheetId="15" hidden="1">{#N/A,#N/A,TRUE,"Notes";#N/A,#N/A,TRUE,"Cap Struct";#N/A,#N/A,TRUE,"OBS";#N/A,#N/A,TRUE,"bal Sheet";#N/A,#N/A,TRUE,"Inc stmt";#N/A,#N/A,TRUE,"csh flw";#N/A,#N/A,TRUE,"debt";#N/A,#N/A,TRUE,"detail 96,97";#N/A,#N/A,TRUE,"Covenants"}</definedName>
    <definedName name="wrn2a.summary" hidden="1">{#N/A,#N/A,TRUE,"Notes";#N/A,#N/A,TRUE,"Cap Struct";#N/A,#N/A,TRUE,"OBS";#N/A,#N/A,TRUE,"bal Sheet";#N/A,#N/A,TRUE,"Inc stmt";#N/A,#N/A,TRUE,"csh flw";#N/A,#N/A,TRUE,"debt";#N/A,#N/A,TRUE,"detail 96,97";#N/A,#N/A,TRUE,"Covenants"}</definedName>
    <definedName name="wrn3.ALL." localSheetId="10"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5._.Pagers.5" localSheetId="10" hidden="1">{"Cover",#N/A,FALSE,"Cover";"Summary",#N/A,FALSE,"Summarpage"}</definedName>
    <definedName name="wrn5._.Pagers.5" hidden="1">{"Cover",#N/A,FALSE,"Cover";"Summary",#N/A,FALSE,"Summarpage"}</definedName>
    <definedName name="wrna.prod" localSheetId="10">{#N/A,#N/A,FALSE,"1";#N/A,#N/A,FALSE,"2";#N/A,#N/A,FALSE,"16 - 17";#N/A,#N/A,FALSE,"18 - 19";#N/A,#N/A,FALSE,"26";#N/A,#N/A,FALSE,"27";#N/A,#N/A,FALSE,"28"}</definedName>
    <definedName name="wrna.prod">{#N/A,#N/A,FALSE,"1";#N/A,#N/A,FALSE,"2";#N/A,#N/A,FALSE,"16 - 17";#N/A,#N/A,FALSE,"18 - 19";#N/A,#N/A,FALSE,"26";#N/A,#N/A,FALSE,"27";#N/A,#N/A,FALSE,"28"}</definedName>
    <definedName name="wrnaboth" localSheetId="10" hidden="1">{"detail",#N/A,FALSE,"mfg";"summary",#N/A,FALSE,"mfg"}</definedName>
    <definedName name="wrnaboth" hidden="1">{"detail",#N/A,FALSE,"mfg";"summary",#N/A,FALSE,"mfg"}</definedName>
    <definedName name="wrnats" localSheetId="10"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10" hidden="1">{"detail",#N/A,FALSE,"mfg";"summary",#N/A,FALSE,"mfg"}</definedName>
    <definedName name="wrnavboth" hidden="1">{"detail",#N/A,FALSE,"mfg";"summary",#N/A,FALSE,"mfg"}</definedName>
    <definedName name="wrnavpucspadd" localSheetId="10" hidden="1">{#N/A,"PURCHM",FALSE,"Business Analysis";#N/A,"SPADD",FALSE,"Business Analysis"}</definedName>
    <definedName name="wrnavpucspadd" hidden="1">{#N/A,"PURCHM",FALSE,"Business Analysis";#N/A,"SPADD",FALSE,"Business Analysis"}</definedName>
    <definedName name="wrnb213" localSheetId="10" hidden="1">{"detail",#N/A,FALSE,"mfg";"summary",#N/A,FALSE,"mfg"}</definedName>
    <definedName name="wrnb213" hidden="1">{"detail",#N/A,FALSE,"mfg";"summary",#N/A,FALSE,"mfg"}</definedName>
    <definedName name="wrnb412" localSheetId="10" hidden="1">{"detail",#N/A,FALSE,"mfg";"summary",#N/A,FALSE,"mfg"}</definedName>
    <definedName name="wrnb412" hidden="1">{"detail",#N/A,FALSE,"mfg";"summary",#N/A,FALSE,"mfg"}</definedName>
    <definedName name="wrnboth14a" localSheetId="10" hidden="1">{"detail",#N/A,FALSE,"mfg";"summary",#N/A,FALSE,"mfg"}</definedName>
    <definedName name="wrnboth14a" hidden="1">{"detail",#N/A,FALSE,"mfg";"summary",#N/A,FALSE,"mfg"}</definedName>
    <definedName name="wrnfy97" localSheetId="10" hidden="1">{#N/A,#N/A,FALSE,"FY97";#N/A,#N/A,FALSE,"FY98";#N/A,#N/A,FALSE,"FY99";#N/A,#N/A,FALSE,"FY00";#N/A,#N/A,FALSE,"FY01"}</definedName>
    <definedName name="wrnfy97" localSheetId="15" hidden="1">{#N/A,#N/A,FALSE,"FY97";#N/A,#N/A,FALSE,"FY98";#N/A,#N/A,FALSE,"FY99";#N/A,#N/A,FALSE,"FY00";#N/A,#N/A,FALSE,"FY01"}</definedName>
    <definedName name="wrnfy97" hidden="1">{#N/A,#N/A,FALSE,"FY97";#N/A,#N/A,FALSE,"FY98";#N/A,#N/A,FALSE,"FY99";#N/A,#N/A,FALSE,"FY00";#N/A,#N/A,FALSE,"FY01"}</definedName>
    <definedName name="wrnn" localSheetId="10" hidden="1">{"comps",#N/A,FALSE,"public comps";"backup",#N/A,FALSE,"public comps"}</definedName>
    <definedName name="wrnn" hidden="1">{"comps",#N/A,FALSE,"public comps";"backup",#N/A,FALSE,"public comps"}</definedName>
    <definedName name="WRNP41" localSheetId="10" hidden="1">{#N/A,"PURCHM",FALSE,"Business Analysis";#N/A,"SPADD",FALSE,"Business Analysis"}</definedName>
    <definedName name="WRNP41" hidden="1">{#N/A,"PURCHM",FALSE,"Business Analysis";#N/A,"SPADD",FALSE,"Business Analysis"}</definedName>
    <definedName name="wrnp61" localSheetId="10" hidden="1">{#N/A,"PURCHM",FALSE,"Business Analysis";#N/A,"SPADD",FALSE,"Business Analysis"}</definedName>
    <definedName name="wrnp61" hidden="1">{#N/A,"PURCHM",FALSE,"Business Analysis";#N/A,"SPADD",FALSE,"Business Analysis"}</definedName>
    <definedName name="wrnpav" localSheetId="10" hidden="1">{#N/A,"PURCHM",FALSE,"Business Analysis";#N/A,"SPADD",FALSE,"Business Analysis"}</definedName>
    <definedName name="wrnpav" hidden="1">{#N/A,"PURCHM",FALSE,"Business Analysis";#N/A,"SPADD",FALSE,"Business Analysis"}</definedName>
    <definedName name="wrnpuc213" localSheetId="10" hidden="1">{#N/A,"PURCHM",FALSE,"Business Analysis";#N/A,"SPADD",FALSE,"Business Analysis"}</definedName>
    <definedName name="wrnpuc213" hidden="1">{#N/A,"PURCHM",FALSE,"Business Analysis";#N/A,"SPADD",FALSE,"Business Analysis"}</definedName>
    <definedName name="wrnpuc2412" localSheetId="10" hidden="1">{#N/A,"PURCHM",FALSE,"Business Analysis";#N/A,"SPADD",FALSE,"Business Analysis"}</definedName>
    <definedName name="wrnpuc2412" hidden="1">{#N/A,"PURCHM",FALSE,"Business Analysis";#N/A,"SPADD",FALSE,"Business Analysis"}</definedName>
    <definedName name="wrnpuc412" localSheetId="10" hidden="1">{#N/A,"PURCHM",FALSE,"Business Analysis";#N/A,"SPADD",FALSE,"Business Analysis"}</definedName>
    <definedName name="wrnpuc412" hidden="1">{#N/A,"PURCHM",FALSE,"Business Analysis";#N/A,"SPADD",FALSE,"Business Analysis"}</definedName>
    <definedName name="wrnpucs213" localSheetId="10" hidden="1">{#N/A,"PURCHM",FALSE,"Business Analysis";#N/A,"SPADD",FALSE,"Business Analysis"}</definedName>
    <definedName name="wrnpucs213" hidden="1">{#N/A,"PURCHM",FALSE,"Business Analysis";#N/A,"SPADD",FALSE,"Business Analysis"}</definedName>
    <definedName name="wrnpucspadd32" localSheetId="10" hidden="1">{#N/A,"PURCHM",FALSE,"Business Analysis";#N/A,"SPADD",FALSE,"Business Analysis"}</definedName>
    <definedName name="wrnpucspadd32" hidden="1">{#N/A,"PURCHM",FALSE,"Business Analysis";#N/A,"SPADD",FALSE,"Business Analysis"}</definedName>
    <definedName name="wrnpucspaddza103" localSheetId="10" hidden="1">{#N/A,"PURCHM",FALSE,"Business Analysis";#N/A,"SPADD",FALSE,"Business Analysis"}</definedName>
    <definedName name="wrnpucspaddza103" hidden="1">{#N/A,"PURCHM",FALSE,"Business Analysis";#N/A,"SPADD",FALSE,"Business Analysis"}</definedName>
    <definedName name="wrnpucspvd" localSheetId="10" hidden="1">{#N/A,"PURCHM",FALSE,"Business Analysis";#N/A,"SPADD",FALSE,"Business Analysis"}</definedName>
    <definedName name="wrnpucspvd" hidden="1">{#N/A,"PURCHM",FALSE,"Business Analysis";#N/A,"SPADD",FALSE,"Business Analysis"}</definedName>
    <definedName name="wrnpvcs" localSheetId="10" hidden="1">{#N/A,"PURCHM",FALSE,"Business Analysis";#N/A,"SPADD",FALSE,"Business Analysis"}</definedName>
    <definedName name="wrnpvcs" hidden="1">{#N/A,"PURCHM",FALSE,"Business Analysis";#N/A,"SPADD",FALSE,"Business Analysis"}</definedName>
    <definedName name="wrnt51" localSheetId="10"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10"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10"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10"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10"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10"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10"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10"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10"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o.schedules" localSheetId="10" hidden="1">{#N/A,#N/A,FALSE,"1a-Income - FS format";#N/A,#N/A,FALSE,"2a-Balance sheets";#N/A,#N/A,FALSE,"3a-FS expense detail";#N/A,#N/A,FALSE,"4a-(6Yr Avg of Earnings)";#N/A,#N/A,FALSE,"5a-Cost of capital - build-up"}</definedName>
    <definedName name="wro.schedules" localSheetId="15" hidden="1">{#N/A,#N/A,FALSE,"1a-Income - FS format";#N/A,#N/A,FALSE,"2a-Balance sheets";#N/A,#N/A,FALSE,"3a-FS expense detail";#N/A,#N/A,FALSE,"4a-(6Yr Avg of Earnings)";#N/A,#N/A,FALSE,"5a-Cost of capital - build-up"}</definedName>
    <definedName name="wro.schedules" hidden="1">{#N/A,#N/A,FALSE,"1a-Income - FS format";#N/A,#N/A,FALSE,"2a-Balance sheets";#N/A,#N/A,FALSE,"3a-FS expense detail";#N/A,#N/A,FALSE,"4a-(6Yr Avg of Earnings)";#N/A,#N/A,FALSE,"5a-Cost of capital - build-up"}</definedName>
    <definedName name="WRR" localSheetId="10">{#N/A,#N/A,FALSE,"Pharm";#N/A,#N/A,FALSE,"WWCM"}</definedName>
    <definedName name="WRR">{#N/A,#N/A,FALSE,"Pharm";#N/A,#N/A,FALSE,"WWCM"}</definedName>
    <definedName name="wrre" localSheetId="1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10">{#N/A,#N/A,FALSE,"REPORT"}</definedName>
    <definedName name="wrrrrr">{#N/A,#N/A,FALSE,"REPORT"}</definedName>
    <definedName name="wrwer" localSheetId="10" hidden="1">{#N/A,#N/A,FALSE,"Umsatz 99";#N/A,#N/A,FALSE,"ER 99 "}</definedName>
    <definedName name="wrwer" hidden="1">{#N/A,#N/A,FALSE,"Umsatz 99";#N/A,#N/A,FALSE,"ER 99 "}</definedName>
    <definedName name="wrxave" localSheetId="10"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10" hidden="1">{"YD LAPO2",#N/A,FALSE,"YTD"}</definedName>
    <definedName name="wry" hidden="1">{"YD LAPO2",#N/A,FALSE,"YTD"}</definedName>
    <definedName name="wssssssssssssw" hidden="1">#REF!</definedName>
    <definedName name="wt" localSheetId="10" hidden="1">{#N/A,#N/A,FALSE,"FY97";#N/A,#N/A,FALSE,"FY98";#N/A,#N/A,FALSE,"FY99";#N/A,#N/A,FALSE,"FY00";#N/A,#N/A,FALSE,"FY01"}</definedName>
    <definedName name="wt" localSheetId="15" hidden="1">{#N/A,#N/A,FALSE,"FY97";#N/A,#N/A,FALSE,"FY98";#N/A,#N/A,FALSE,"FY99";#N/A,#N/A,FALSE,"FY00";#N/A,#N/A,FALSE,"FY01"}</definedName>
    <definedName name="wt" hidden="1">{#N/A,#N/A,FALSE,"FY97";#N/A,#N/A,FALSE,"FY98";#N/A,#N/A,FALSE,"FY99";#N/A,#N/A,FALSE,"FY00";#N/A,#N/A,FALSE,"FY01"}</definedName>
    <definedName name="wtyerw" localSheetId="10">#REF!</definedName>
    <definedName name="wtyerw">#REF!</definedName>
    <definedName name="wv" localSheetId="10">{#N/A,#N/A,FALSE,"Pharm";#N/A,#N/A,FALSE,"WWCM"}</definedName>
    <definedName name="wv">{#N/A,#N/A,FALSE,"Pharm";#N/A,#N/A,FALSE,"WWCM"}</definedName>
    <definedName name="wvbub"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localSheetId="10"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localSheetId="15"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10" hidden="1">{TRUE,TRUE,-1.25,-15.5,456.75,279.75,FALSE,FALSE,TRUE,TRUE,0,1,18,1,199,6,3,4,TRUE,TRUE,3,TRUE,1,TRUE,100,"Swvu.cash.","ACwvu.cash.",1,FALSE,FALSE,0.511811023622047,0.511811023622047,0.511811023622047,0.511811023622047,1,"","",FALSE,FALSE,FALSE,FALSE,1,#N/A,1,1,#DIV/0!,FALSE,"Rwvu.cash.",#N/A,FALSE,FALSE}</definedName>
    <definedName name="wvu.cash." localSheetId="15"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10"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localSheetId="15"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10"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localSheetId="15"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profits."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wvu.profits." localSheetId="15"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 localSheetId="10">{TRUE,TRUE,-1.25,-15.5,484.5,297,FALSE,FALSE,TRUE,TRUE,0,1,#N/A,1,#N/A,8.19318181818182,15,1,FALSE,FALSE,3,TRUE,1,FALSE,100,"Swvu.Summary.","ACwvu.Summary.",#N/A,FALSE,FALSE,0.5,0.5,0.5,0.5,2,"","&amp;L\AA4",TRUE,FALSE,FALSE,FALSE,1,71,#N/A,#N/A,"=R153C1:R187C21",FALSE,#N/A,#N/A,FALSE,FALSE,TRUE,1,65532,65532,FALSE,FALSE,TRUE,TRUE,TRUE}</definedName>
    <definedName name="wvu.Summary.">{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wvu.turnover." localSheetId="15"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b41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10" hidden="1">{#N/A,#N/A,FALSE,"INPUTS";#N/A,#N/A,FALSE,"PROFORMA BSHEET";#N/A,#N/A,FALSE,"COMBINED";#N/A,#N/A,FALSE,"ACQUIROR";#N/A,#N/A,FALSE,"TARGET 1";#N/A,#N/A,FALSE,"TARGET 2";#N/A,#N/A,FALSE,"HIGH YIELD";#N/A,#N/A,FALSE,"OVERFUND"}</definedName>
    <definedName name="ww" localSheetId="15" hidden="1">{#N/A,#N/A,FALSE,"INPUTS";#N/A,#N/A,FALSE,"PROFORMA BSHEET";#N/A,#N/A,FALSE,"COMBINED";#N/A,#N/A,FALSE,"ACQUIROR";#N/A,#N/A,FALSE,"TARGET 1";#N/A,#N/A,FALSE,"TARGET 2";#N/A,#N/A,FALSE,"HIGH YIELD";#N/A,#N/A,FALSE,"OVERFUND"}</definedName>
    <definedName name="ww" hidden="1">{#N/A,#N/A,FALSE,"INPUTS";#N/A,#N/A,FALSE,"PROFORMA BSHEET";#N/A,#N/A,FALSE,"COMBINED";#N/A,#N/A,FALSE,"ACQUIROR";#N/A,#N/A,FALSE,"TARGET 1";#N/A,#N/A,FALSE,"TARGET 2";#N/A,#N/A,FALSE,"HIGH YIELD";#N/A,#N/A,FALSE,"OVERFUND"}</definedName>
    <definedName name="ww.Rele" localSheetId="10" hidden="1">{#N/A,#N/A,FALSE,"Title Page";#N/A,#N/A,FALSE,"Conclusions";#N/A,#N/A,FALSE,"Assum.";#N/A,#N/A,FALSE,"Sun  DCF-WC-Dep";#N/A,#N/A,FALSE,"MarketValue";#N/A,#N/A,FALSE,"BalSheet";#N/A,#N/A,FALSE,"WACC";#N/A,#N/A,FALSE,"PC+ Info.";#N/A,#N/A,FALSE,"PC+Info_2"}</definedName>
    <definedName name="ww.Rele">#REF!</definedName>
    <definedName name="wwe.kkjk" localSheetId="10"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r" localSheetId="10" hidden="1">{#N/A,#N/A,FALSE,"ALCO SK";#N/A,#N/A,FALSE,"ALCO RG";#N/A,#N/A,FALSE,"ALCO SK BC";#N/A,#N/A,FALSE,"ALCO RG BC";#N/A,#N/A,FALSE,"VALY SK";#N/A,#N/A,FALSE,"VALY RG"}</definedName>
    <definedName name="wwr" hidden="1">{#N/A,#N/A,FALSE,"ALCO SK";#N/A,#N/A,FALSE,"ALCO RG";#N/A,#N/A,FALSE,"ALCO SK BC";#N/A,#N/A,FALSE,"ALCO RG BC";#N/A,#N/A,FALSE,"VALY SK";#N/A,#N/A,FALSE,"VALY RG"}</definedName>
    <definedName name="wwt" localSheetId="10" hidden="1">{"YD LAPO2",#N/A,FALSE,"YTD"}</definedName>
    <definedName name="wwt" hidden="1">{"YD LAPO2",#N/A,FALSE,"YTD"}</definedName>
    <definedName name="WWW" localSheetId="10" hidden="1">{#N/A,#N/A,FALSE,"Est97";#N/A,#N/A,FALSE,"Plan98";#N/A,#N/A,FALSE,"Graphs";#N/A,#N/A,FALSE,"5Yr"}</definedName>
    <definedName name="WWW" localSheetId="15" hidden="1">{#N/A,#N/A,FALSE,"Est97";#N/A,#N/A,FALSE,"Plan98";#N/A,#N/A,FALSE,"Graphs";#N/A,#N/A,FALSE,"5Yr"}</definedName>
    <definedName name="WWW" hidden="1">{#N/A,#N/A,FALSE,"Est97";#N/A,#N/A,FALSE,"Plan98";#N/A,#N/A,FALSE,"Graphs";#N/A,#N/A,FALSE,"5Yr"}</definedName>
    <definedName name="www.reve." localSheetId="10">{"rev_summary2",#N/A,FALSE,"historical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w" localSheetId="10" hidden="1">{#N/A,#N/A,FALSE,"Produkte Erw.";#N/A,#N/A,FALSE,"Produkte Plan";#N/A,#N/A,FALSE,"Leistungen Erw.";#N/A,#N/A,FALSE,"Leistungen Plan";#N/A,#N/A,FALSE,"KA Allg.Kosten (2)";#N/A,#N/A,FALSE,"KA All.Kosten"}</definedName>
    <definedName name="wwww" hidden="1">{#N/A,#N/A,FALSE,"Produkte Erw.";#N/A,#N/A,FALSE,"Produkte Plan";#N/A,#N/A,FALSE,"Leistungen Erw.";#N/A,#N/A,FALSE,"Leistungen Plan";#N/A,#N/A,FALSE,"KA Allg.Kosten (2)";#N/A,#N/A,FALSE,"KA All.Kosten"}</definedName>
    <definedName name="wwwww" hidden="1">#REF!</definedName>
    <definedName name="wwwwwwwcw" hidden="1">#REF!</definedName>
    <definedName name="wwwwwwww" localSheetId="10">{"SUMMARY",#N/A,TRUE,"RIGGIN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cdx" hidden="1">#REF!</definedName>
    <definedName name="wwwwwwwww" localSheetId="10" hidden="1">{"YTD",#N/A,FALSE,"SUM"}</definedName>
    <definedName name="wwwwwwwww" hidden="1">{"YTD",#N/A,FALSE,"SUM"}</definedName>
    <definedName name="wwwwwwwwwww" localSheetId="10" hidden="1">{"YD PACKAGE",#N/A,FALSE,"YTD"}</definedName>
    <definedName name="wwwwwwwwwww" hidden="1">{"YD PACKAGE",#N/A,FALSE,"YTD"}</definedName>
    <definedName name="wwwwwwwwwwwwww" localSheetId="10" hidden="1">{"detail",#N/A,FALSE,"mfg";"summary",#N/A,FALSE,"mfg"}</definedName>
    <definedName name="wwwwwwwwwwwwww" hidden="1">{"detail",#N/A,FALSE,"mfg";"summary",#N/A,FALSE,"mfg"}</definedName>
    <definedName name="wx" localSheetId="10">{#N/A,#N/A,FALSE,"Pharm";#N/A,#N/A,FALSE,"WWCM"}</definedName>
    <definedName name="wx">{#N/A,#N/A,FALSE,"Pharm";#N/A,#N/A,FALSE,"WWCM"}</definedName>
    <definedName name="x" localSheetId="10" hidden="1">#REF!</definedName>
    <definedName name="x" localSheetId="9" hidden="1">#REF!</definedName>
    <definedName name="x" localSheetId="8" hidden="1">#REF!</definedName>
    <definedName name="x" localSheetId="16" hidden="1">#REF!</definedName>
    <definedName name="x" hidden="1">#REF!</definedName>
    <definedName name="x_1" localSheetId="10" hidden="1">{#N/A,#N/A,TRUE,"BusPlan Indx";#N/A,#N/A,TRUE,"P&amp;L BusPl";"CF BusPlan",#N/A,TRUE,"FCashflow";"BS QU&amp;Yr Overview",#N/A,TRUE,"BS";"CapEx Yearly",#N/A,TRUE,"CapEx";#N/A,#N/A,TRUE,"BusPlan Info"}</definedName>
    <definedName name="x_1" hidden="1">{#N/A,#N/A,TRUE,"BusPlan Indx";#N/A,#N/A,TRUE,"P&amp;L BusPl";"CF BusPlan",#N/A,TRUE,"FCashflow";"BS QU&amp;Yr Overview",#N/A,TRUE,"BS";"CapEx Yearly",#N/A,TRUE,"CapEx";#N/A,#N/A,TRUE,"BusPlan Info"}</definedName>
    <definedName name="x_2" localSheetId="10" hidden="1">{#N/A,#N/A,TRUE,"BusPlan Indx";#N/A,#N/A,TRUE,"P&amp;L BusPl";"CF BusPlan",#N/A,TRUE,"FCashflow";"BS QU&amp;Yr Overview",#N/A,TRUE,"BS";"CapEx Yearly",#N/A,TRUE,"CapEx";#N/A,#N/A,TRUE,"BusPlan Info"}</definedName>
    <definedName name="x_2" hidden="1">{#N/A,#N/A,TRUE,"BusPlan Indx";#N/A,#N/A,TRUE,"P&amp;L BusPl";"CF BusPlan",#N/A,TRUE,"FCashflow";"BS QU&amp;Yr Overview",#N/A,TRUE,"BS";"CapEx Yearly",#N/A,TRUE,"CapEx";#N/A,#N/A,TRUE,"BusPlan Info"}</definedName>
    <definedName name="x_3" localSheetId="10" hidden="1">{#N/A,#N/A,TRUE,"BusPlan Indx";#N/A,#N/A,TRUE,"P&amp;L BusPl";"CF BusPlan",#N/A,TRUE,"FCashflow";"BS QU&amp;Yr Overview",#N/A,TRUE,"BS";"CapEx Yearly",#N/A,TRUE,"CapEx";#N/A,#N/A,TRUE,"BusPlan Info"}</definedName>
    <definedName name="x_3" hidden="1">{#N/A,#N/A,TRUE,"BusPlan Indx";#N/A,#N/A,TRUE,"P&amp;L BusPl";"CF BusPlan",#N/A,TRUE,"FCashflow";"BS QU&amp;Yr Overview",#N/A,TRUE,"BS";"CapEx Yearly",#N/A,TRUE,"CapEx";#N/A,#N/A,TRUE,"BusPlan Info"}</definedName>
    <definedName name="x_4" localSheetId="10" hidden="1">{#N/A,#N/A,TRUE,"BusPlan Indx";#N/A,#N/A,TRUE,"P&amp;L BusPl";"CF BusPlan",#N/A,TRUE,"FCashflow";"BS QU&amp;Yr Overview",#N/A,TRUE,"BS";"CapEx Yearly",#N/A,TRUE,"CapEx";#N/A,#N/A,TRUE,"BusPlan Info"}</definedName>
    <definedName name="x_4" hidden="1">{#N/A,#N/A,TRUE,"BusPlan Indx";#N/A,#N/A,TRUE,"P&amp;L BusPl";"CF BusPlan",#N/A,TRUE,"FCashflow";"BS QU&amp;Yr Overview",#N/A,TRUE,"BS";"CapEx Yearly",#N/A,TRUE,"CapEx";#N/A,#N/A,TRUE,"BusPlan Info"}</definedName>
    <definedName name="x_5" localSheetId="10" hidden="1">{#N/A,#N/A,TRUE,"BusPlan Indx";#N/A,#N/A,TRUE,"P&amp;L BusPl";"CF BusPlan",#N/A,TRUE,"FCashflow";"BS QU&amp;Yr Overview",#N/A,TRUE,"BS";"CapEx Yearly",#N/A,TRUE,"CapEx";#N/A,#N/A,TRUE,"BusPlan Info"}</definedName>
    <definedName name="x_5" hidden="1">{#N/A,#N/A,TRUE,"BusPlan Indx";#N/A,#N/A,TRUE,"P&amp;L BusPl";"CF BusPlan",#N/A,TRUE,"FCashflow";"BS QU&amp;Yr Overview",#N/A,TRUE,"BS";"CapEx Yearly",#N/A,TRUE,"CapEx";#N/A,#N/A,TRUE,"BusPlan Info"}</definedName>
    <definedName name="x5x" localSheetId="10" hidden="1">#REF!</definedName>
    <definedName name="x5x" localSheetId="9" hidden="1">#REF!</definedName>
    <definedName name="x5x" localSheetId="8" hidden="1">#REF!</definedName>
    <definedName name="x5x" localSheetId="16" hidden="1">#REF!</definedName>
    <definedName name="x5x" hidden="1">#REF!</definedName>
    <definedName name="xb" localSheetId="10" hidden="1">{"BA detail",#N/A,FALSE,"Q3YTD "}</definedName>
    <definedName name="xb" hidden="1">{"BA detail",#N/A,FALSE,"Q3YTD "}</definedName>
    <definedName name="xbxvc" localSheetId="10" hidden="1">{"capital",#N/A,FALSE,"CAPITAL_DEP'N"}</definedName>
    <definedName name="xbxvc" hidden="1">{"capital",#N/A,FALSE,"CAPITAL_DEP'N"}</definedName>
    <definedName name="xc"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 localSheetId="1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0">{#N/A,#N/A,FALSE,"Pharm";#N/A,#N/A,FALSE,"WWCM"}</definedName>
    <definedName name="xcv">{#N/A,#N/A,FALSE,"Pharm";#N/A,#N/A,FALSE,"WWCM"}</definedName>
    <definedName name="xcvbxcvbcx" localSheetId="10"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xc" localSheetId="10"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localSheetId="10">{#N/A,#N/A,FALSE,"AD_Purchase";#N/A,#N/A,FALSE,"Credit";#N/A,#N/A,FALSE,"PF Acquisition";#N/A,#N/A,FALSE,"PF Offering"}</definedName>
    <definedName name="xcxzc">{#N/A,#N/A,FALSE,"AD_Purchase";#N/A,#N/A,FALSE,"Credit";#N/A,#N/A,FALSE,"PF Acquisition";#N/A,#N/A,FALSE,"PF Offering"}</definedName>
    <definedName name="xdif_RefreshIncludeLists" hidden="1">TRUE</definedName>
    <definedName name="XFDG" localSheetId="10" hidden="1">{TRUE,TRUE,-1.25,-15.5,456.75,279.75,FALSE,FALSE,TRUE,TRUE,0,1,18,1,199,6,3,4,TRUE,TRUE,3,TRUE,1,TRUE,100,"Swvu.cash.","ACwvu.cash.",1,FALSE,FALSE,0.511811023622047,0.511811023622047,0.511811023622047,0.511811023622047,1,"","",FALSE,FALSE,FALSE,FALSE,1,#N/A,1,1,#DIV/0!,FALSE,"Rwvu.cash.",#N/A,FALSE,FALSE}</definedName>
    <definedName name="XFDG" localSheetId="15"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gf" localSheetId="10" hidden="1">{"product cost",#N/A,FALSE,"P&amp;L STATEMENT"}</definedName>
    <definedName name="xgf" hidden="1">{"product cost",#N/A,FALSE,"P&amp;L STATEMENT"}</definedName>
    <definedName name="xjey1" localSheetId="10" hidden="1">#REF!</definedName>
    <definedName name="xjey1" localSheetId="9" hidden="1">#REF!</definedName>
    <definedName name="xjey1" localSheetId="8" hidden="1">#REF!</definedName>
    <definedName name="xjey1" localSheetId="16" hidden="1">#REF!</definedName>
    <definedName name="xjey1" hidden="1">#REF!</definedName>
    <definedName name="XLIA_GLTransaction_Temp1" hidden="1">#REF!</definedName>
    <definedName name="XLIA_GLTransaction_Temp2" hidden="1">#REF!</definedName>
    <definedName name="XLIA_GLTransaction_Temp3" hidden="1">#REF!</definedName>
    <definedName name="XLIA_GLTransaction_Temp4" hidden="1">#REF!</definedName>
    <definedName name="XLIA_GLTransaction_Temp5" hidden="1">#REF!</definedName>
    <definedName name="xlx" localSheetId="10"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10" hidden="1">{"oct_res_comm",#N/A,FALSE,"VarToBud"}</definedName>
    <definedName name="xn" hidden="1">{"oct_res_comm",#N/A,FALSE,"VarToBud"}</definedName>
    <definedName name="XREF_COLUMN_1" localSheetId="10" hidden="1">#REF!</definedName>
    <definedName name="XREF_COLUMN_1" localSheetId="9" hidden="1">#REF!</definedName>
    <definedName name="XREF_COLUMN_1" localSheetId="8" hidden="1">#REF!</definedName>
    <definedName name="XREF_COLUMN_1" localSheetId="16" hidden="1">#REF!</definedName>
    <definedName name="XREF_COLUMN_1" hidden="1">#REF!</definedName>
    <definedName name="XREF_COLUMN_2" localSheetId="10" hidden="1">#REF!</definedName>
    <definedName name="XREF_COLUMN_2" localSheetId="9" hidden="1">#REF!</definedName>
    <definedName name="XREF_COLUMN_2" localSheetId="8" hidden="1">#REF!</definedName>
    <definedName name="XREF_COLUMN_2" localSheetId="16" hidden="1">#REF!</definedName>
    <definedName name="XREF_COLUMN_2" hidden="1">#REF!</definedName>
    <definedName name="XREF_COLUMN_3" localSheetId="10" hidden="1">#REF!</definedName>
    <definedName name="XREF_COLUMN_3" localSheetId="9" hidden="1">#REF!</definedName>
    <definedName name="XREF_COLUMN_3" localSheetId="8" hidden="1">#REF!</definedName>
    <definedName name="XREF_COLUMN_3" localSheetId="16" hidden="1">#REF!</definedName>
    <definedName name="XREF_COLUMN_3" hidden="1">#REF!</definedName>
    <definedName name="XREF_COLUMN_4" hidden="1">#REF!</definedName>
    <definedName name="XREF_COLUMN_5" hidden="1">#REF!</definedName>
    <definedName name="XREF_COLUMN_6" localSheetId="10" hidden="1">#REF!</definedName>
    <definedName name="XREF_COLUMN_6" localSheetId="9" hidden="1">#REF!</definedName>
    <definedName name="XREF_COLUMN_6" localSheetId="8" hidden="1">#REF!</definedName>
    <definedName name="XREF_COLUMN_6" localSheetId="16" hidden="1">#REF!</definedName>
    <definedName name="XREF_COLUMN_6" hidden="1">#REF!</definedName>
    <definedName name="xref1" hidden="1">7</definedName>
    <definedName name="XRefActiveRow" localSheetId="10" hidden="1">#REF!</definedName>
    <definedName name="XRefActiveRow" localSheetId="9" hidden="1">#REF!</definedName>
    <definedName name="XRefActiveRow" localSheetId="8" hidden="1">#REF!</definedName>
    <definedName name="XRefActiveRow" localSheetId="16" hidden="1">#REF!</definedName>
    <definedName name="XRefActiveRow" hidden="1">#REF!</definedName>
    <definedName name="XRefColumnsCount" hidden="1">3</definedName>
    <definedName name="XRefCopy1" localSheetId="10" hidden="1">#REF!</definedName>
    <definedName name="XRefCopy1" localSheetId="9" hidden="1">#REF!</definedName>
    <definedName name="XRefCopy1" localSheetId="8" hidden="1">#REF!</definedName>
    <definedName name="XRefCopy1" localSheetId="16" hidden="1">#REF!</definedName>
    <definedName name="XRefCopy1" hidden="1">#REF!</definedName>
    <definedName name="XRefCopy12Row" localSheetId="10" hidden="1">#REF!</definedName>
    <definedName name="XRefCopy12Row" localSheetId="9" hidden="1">#REF!</definedName>
    <definedName name="XRefCopy12Row" localSheetId="8" hidden="1">#REF!</definedName>
    <definedName name="XRefCopy12Row" localSheetId="16" hidden="1">#REF!</definedName>
    <definedName name="XRefCopy12Row" hidden="1">#REF!</definedName>
    <definedName name="XRefCopy13Row" localSheetId="10" hidden="1">#REF!</definedName>
    <definedName name="XRefCopy13Row" localSheetId="9" hidden="1">#REF!</definedName>
    <definedName name="XRefCopy13Row" localSheetId="8" hidden="1">#REF!</definedName>
    <definedName name="XRefCopy13Row" localSheetId="16" hidden="1">#REF!</definedName>
    <definedName name="XRefCopy13Row" hidden="1">#REF!</definedName>
    <definedName name="XRefCopy14" localSheetId="10" hidden="1">#REF!</definedName>
    <definedName name="XRefCopy14" localSheetId="9" hidden="1">#REF!</definedName>
    <definedName name="XRefCopy14" localSheetId="8" hidden="1">#REF!</definedName>
    <definedName name="XRefCopy14" localSheetId="16" hidden="1">#REF!</definedName>
    <definedName name="XRefCopy14" hidden="1">#REF!</definedName>
    <definedName name="XRefCopy1Row" localSheetId="10" hidden="1">#REF!</definedName>
    <definedName name="XRefCopy1Row" localSheetId="9" hidden="1">#REF!</definedName>
    <definedName name="XRefCopy1Row" localSheetId="8" hidden="1">#REF!</definedName>
    <definedName name="XRefCopy1Row" localSheetId="16" hidden="1">#REF!</definedName>
    <definedName name="XRefCopy1Row" hidden="1">#REF!</definedName>
    <definedName name="XRefCopy2" localSheetId="10" hidden="1">#REF!</definedName>
    <definedName name="XRefCopy2" localSheetId="9" hidden="1">#REF!</definedName>
    <definedName name="XRefCopy2" localSheetId="8" hidden="1">#REF!</definedName>
    <definedName name="XRefCopy2" localSheetId="16" hidden="1">#REF!</definedName>
    <definedName name="XRefCopy2" hidden="1">#REF!</definedName>
    <definedName name="XRefCopy2Row" localSheetId="10" hidden="1">#REF!</definedName>
    <definedName name="XRefCopy2Row" localSheetId="9" hidden="1">#REF!</definedName>
    <definedName name="XRefCopy2Row" localSheetId="8" hidden="1">#REF!</definedName>
    <definedName name="XRefCopy2Row" localSheetId="16" hidden="1">#REF!</definedName>
    <definedName name="XRefCopy2Row" hidden="1">#REF!</definedName>
    <definedName name="XRefCopy3" hidden="1">#REF!</definedName>
    <definedName name="XRefCopy3Row" localSheetId="10" hidden="1">#REF!</definedName>
    <definedName name="XRefCopy3Row" localSheetId="9" hidden="1">#REF!</definedName>
    <definedName name="XRefCopy3Row" localSheetId="8" hidden="1">#REF!</definedName>
    <definedName name="XRefCopy3Row" localSheetId="16" hidden="1">#REF!</definedName>
    <definedName name="XRefCopy3Row" hidden="1">#REF!</definedName>
    <definedName name="XRefCopy4" hidden="1">#REF!</definedName>
    <definedName name="XRefCopy4Row" localSheetId="10" hidden="1">#REF!</definedName>
    <definedName name="XRefCopy4Row" localSheetId="9" hidden="1">#REF!</definedName>
    <definedName name="XRefCopy4Row" localSheetId="8" hidden="1">#REF!</definedName>
    <definedName name="XRefCopy4Row" localSheetId="16" hidden="1">#REF!</definedName>
    <definedName name="XRefCopy4Row" hidden="1">#REF!</definedName>
    <definedName name="XRefCopy5" hidden="1">#REF!</definedName>
    <definedName name="XRefCopy5Row" localSheetId="10" hidden="1">#REF!</definedName>
    <definedName name="XRefCopy5Row" localSheetId="9" hidden="1">#REF!</definedName>
    <definedName name="XRefCopy5Row" localSheetId="8" hidden="1">#REF!</definedName>
    <definedName name="XRefCopy5Row" localSheetId="16" hidden="1">#REF!</definedName>
    <definedName name="XRefCopy5Row" hidden="1">#REF!</definedName>
    <definedName name="XRefCopy6" hidden="1">#REF!</definedName>
    <definedName name="XRefCopy6Row" hidden="1">#REF!</definedName>
    <definedName name="XRefCopy7" hidden="1">#REF!</definedName>
    <definedName name="XRefCopy7Row" localSheetId="10" hidden="1">#REF!</definedName>
    <definedName name="XRefCopy7Row" localSheetId="9" hidden="1">#REF!</definedName>
    <definedName name="XRefCopy7Row" localSheetId="8" hidden="1">#REF!</definedName>
    <definedName name="XRefCopy7Row" localSheetId="16" hidden="1">#REF!</definedName>
    <definedName name="XRefCopy7Row" hidden="1">#REF!</definedName>
    <definedName name="XRefCopy8" hidden="1">#REF!</definedName>
    <definedName name="XRefCopy8Row" hidden="1">#REF!</definedName>
    <definedName name="XRefCopyRangeCount" hidden="1">5</definedName>
    <definedName name="XRefPaste1" localSheetId="10" hidden="1">#REF!</definedName>
    <definedName name="XRefPaste1" localSheetId="9" hidden="1">#REF!</definedName>
    <definedName name="XRefPaste1" localSheetId="8" hidden="1">#REF!</definedName>
    <definedName name="XRefPaste1" localSheetId="16" hidden="1">#REF!</definedName>
    <definedName name="XRefPaste1" hidden="1">#REF!</definedName>
    <definedName name="XRefPaste10Row" localSheetId="10" hidden="1">#REF!</definedName>
    <definedName name="XRefPaste10Row" localSheetId="9" hidden="1">#REF!</definedName>
    <definedName name="XRefPaste10Row" localSheetId="8" hidden="1">#REF!</definedName>
    <definedName name="XRefPaste10Row" localSheetId="16" hidden="1">#REF!</definedName>
    <definedName name="XRefPaste10Row" hidden="1">#REF!</definedName>
    <definedName name="XRefPaste11Row" localSheetId="10" hidden="1">#REF!</definedName>
    <definedName name="XRefPaste11Row" localSheetId="9" hidden="1">#REF!</definedName>
    <definedName name="XRefPaste11Row" localSheetId="8" hidden="1">#REF!</definedName>
    <definedName name="XRefPaste11Row" localSheetId="16" hidden="1">#REF!</definedName>
    <definedName name="XRefPaste11Row" hidden="1">#REF!</definedName>
    <definedName name="XRefPaste12Row" localSheetId="10" hidden="1">#REF!</definedName>
    <definedName name="XRefPaste12Row" localSheetId="9" hidden="1">#REF!</definedName>
    <definedName name="XRefPaste12Row" localSheetId="8" hidden="1">#REF!</definedName>
    <definedName name="XRefPaste12Row" localSheetId="16" hidden="1">#REF!</definedName>
    <definedName name="XRefPaste12Row" hidden="1">#REF!</definedName>
    <definedName name="XRefPaste13Row" localSheetId="10" hidden="1">#REF!</definedName>
    <definedName name="XRefPaste13Row" localSheetId="9" hidden="1">#REF!</definedName>
    <definedName name="XRefPaste13Row" localSheetId="8" hidden="1">#REF!</definedName>
    <definedName name="XRefPaste13Row" localSheetId="16" hidden="1">#REF!</definedName>
    <definedName name="XRefPaste13Row" hidden="1">#REF!</definedName>
    <definedName name="XRefPaste14Row" localSheetId="10" hidden="1">#REF!</definedName>
    <definedName name="XRefPaste14Row" localSheetId="9" hidden="1">#REF!</definedName>
    <definedName name="XRefPaste14Row" localSheetId="8" hidden="1">#REF!</definedName>
    <definedName name="XRefPaste14Row" localSheetId="16" hidden="1">#REF!</definedName>
    <definedName name="XRefPaste14Row" hidden="1">#REF!</definedName>
    <definedName name="XRefPaste16Row" localSheetId="10" hidden="1">#REF!</definedName>
    <definedName name="XRefPaste16Row" localSheetId="9" hidden="1">#REF!</definedName>
    <definedName name="XRefPaste16Row" localSheetId="8" hidden="1">#REF!</definedName>
    <definedName name="XRefPaste16Row" localSheetId="16" hidden="1">#REF!</definedName>
    <definedName name="XRefPaste16Row" hidden="1">#REF!</definedName>
    <definedName name="XRefPaste1Row" localSheetId="10" hidden="1">#REF!</definedName>
    <definedName name="XRefPaste1Row" localSheetId="9" hidden="1">#REF!</definedName>
    <definedName name="XRefPaste1Row" localSheetId="8" hidden="1">#REF!</definedName>
    <definedName name="XRefPaste1Row" localSheetId="16" hidden="1">#REF!</definedName>
    <definedName name="XRefPaste1Row" hidden="1">#REF!</definedName>
    <definedName name="XRefPaste2" hidden="1">#REF!</definedName>
    <definedName name="XRefPaste20Row" localSheetId="10" hidden="1">#REF!</definedName>
    <definedName name="XRefPaste20Row" localSheetId="9" hidden="1">#REF!</definedName>
    <definedName name="XRefPaste20Row" localSheetId="8" hidden="1">#REF!</definedName>
    <definedName name="XRefPaste20Row" localSheetId="16" hidden="1">#REF!</definedName>
    <definedName name="XRefPaste20Row" hidden="1">#REF!</definedName>
    <definedName name="XRefPaste27Row" localSheetId="10" hidden="1">#REF!</definedName>
    <definedName name="XRefPaste27Row" localSheetId="9" hidden="1">#REF!</definedName>
    <definedName name="XRefPaste27Row" localSheetId="8" hidden="1">#REF!</definedName>
    <definedName name="XRefPaste27Row" localSheetId="16" hidden="1">#REF!</definedName>
    <definedName name="XRefPaste27Row" hidden="1">#REF!</definedName>
    <definedName name="XRefPaste28Row" localSheetId="10" hidden="1">#REF!</definedName>
    <definedName name="XRefPaste28Row" localSheetId="9" hidden="1">#REF!</definedName>
    <definedName name="XRefPaste28Row" localSheetId="8" hidden="1">#REF!</definedName>
    <definedName name="XRefPaste28Row" localSheetId="16" hidden="1">#REF!</definedName>
    <definedName name="XRefPaste28Row" hidden="1">#REF!</definedName>
    <definedName name="XRefPaste2Row" localSheetId="10" hidden="1">#REF!</definedName>
    <definedName name="XRefPaste2Row" localSheetId="9" hidden="1">#REF!</definedName>
    <definedName name="XRefPaste2Row" localSheetId="8" hidden="1">#REF!</definedName>
    <definedName name="XRefPaste2Row" localSheetId="16" hidden="1">#REF!</definedName>
    <definedName name="XRefPaste2Row" hidden="1">#REF!</definedName>
    <definedName name="XRefPaste3Row" localSheetId="10" hidden="1">#REF!</definedName>
    <definedName name="XRefPaste3Row" localSheetId="9" hidden="1">#REF!</definedName>
    <definedName name="XRefPaste3Row" localSheetId="8" hidden="1">#REF!</definedName>
    <definedName name="XRefPaste3Row" localSheetId="16" hidden="1">#REF!</definedName>
    <definedName name="XRefPaste3Row" hidden="1">#REF!</definedName>
    <definedName name="XRefPaste4Row" localSheetId="10" hidden="1">#REF!</definedName>
    <definedName name="XRefPaste4Row" localSheetId="9" hidden="1">#REF!</definedName>
    <definedName name="XRefPaste4Row" localSheetId="8" hidden="1">#REF!</definedName>
    <definedName name="XRefPaste4Row" localSheetId="16" hidden="1">#REF!</definedName>
    <definedName name="XRefPaste4Row" hidden="1">#REF!</definedName>
    <definedName name="XRefPaste5Row" localSheetId="10" hidden="1">#REF!</definedName>
    <definedName name="XRefPaste5Row" localSheetId="9" hidden="1">#REF!</definedName>
    <definedName name="XRefPaste5Row" localSheetId="8" hidden="1">#REF!</definedName>
    <definedName name="XRefPaste5Row" localSheetId="16" hidden="1">#REF!</definedName>
    <definedName name="XRefPaste5Row" hidden="1">#REF!</definedName>
    <definedName name="XRefPaste6Row" localSheetId="10" hidden="1">#REF!</definedName>
    <definedName name="XRefPaste6Row" localSheetId="9" hidden="1">#REF!</definedName>
    <definedName name="XRefPaste6Row" localSheetId="8" hidden="1">#REF!</definedName>
    <definedName name="XRefPaste6Row" localSheetId="16" hidden="1">#REF!</definedName>
    <definedName name="XRefPaste6Row" hidden="1">#REF!</definedName>
    <definedName name="XRefPaste7Row" localSheetId="10" hidden="1">#REF!</definedName>
    <definedName name="XRefPaste7Row" localSheetId="9" hidden="1">#REF!</definedName>
    <definedName name="XRefPaste7Row" localSheetId="8" hidden="1">#REF!</definedName>
    <definedName name="XRefPaste7Row" localSheetId="16" hidden="1">#REF!</definedName>
    <definedName name="XRefPaste7Row" hidden="1">#REF!</definedName>
    <definedName name="XRefPaste8Row" localSheetId="10" hidden="1">#REF!</definedName>
    <definedName name="XRefPaste8Row" localSheetId="9" hidden="1">#REF!</definedName>
    <definedName name="XRefPaste8Row" localSheetId="8" hidden="1">#REF!</definedName>
    <definedName name="XRefPaste8Row" localSheetId="16" hidden="1">#REF!</definedName>
    <definedName name="XRefPaste8Row" hidden="1">#REF!</definedName>
    <definedName name="XRefPaste9Row" localSheetId="10" hidden="1">#REF!</definedName>
    <definedName name="XRefPaste9Row" localSheetId="9" hidden="1">#REF!</definedName>
    <definedName name="XRefPaste9Row" localSheetId="8" hidden="1">#REF!</definedName>
    <definedName name="XRefPaste9Row" localSheetId="16" hidden="1">#REF!</definedName>
    <definedName name="XRefPaste9Row" hidden="1">#REF!</definedName>
    <definedName name="XRefPasteRangeCount" hidden="1">13</definedName>
    <definedName name="xs" localSheetId="10" hidden="1">{#N/A,"PURCHM",FALSE,"Business Analysis";#N/A,"SPADD",FALSE,"Business Analysis"}</definedName>
    <definedName name="xs" hidden="1">{#N/A,"PURCHM",FALSE,"Business Analysis";#N/A,"SPADD",FALSE,"Business Analysis"}</definedName>
    <definedName name="xsd" localSheetId="10" hidden="1">{"detail",#N/A,FALSE,"mfg";"summary",#N/A,FALSE,"mfg"}</definedName>
    <definedName name="xsd" hidden="1">{"detail",#N/A,FALSE,"mfg";"summary",#N/A,FALSE,"mfg"}</definedName>
    <definedName name="xsort2" localSheetId="10" hidden="1">#REF!</definedName>
    <definedName name="xsort2" localSheetId="9" hidden="1">#REF!</definedName>
    <definedName name="xsort2" localSheetId="8" hidden="1">#REF!</definedName>
    <definedName name="xsort2" localSheetId="16" hidden="1">#REF!</definedName>
    <definedName name="xsort2" hidden="1">#REF!</definedName>
    <definedName name="xt" localSheetId="10"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v" localSheetId="10" hidden="1">{"Commentary",#N/A,FALSE,"May"}</definedName>
    <definedName name="xv" hidden="1">{"Commentary",#N/A,FALSE,"May"}</definedName>
    <definedName name="xvbxdbr" localSheetId="10" hidden="1">{"product cost",#N/A,FALSE,"P&amp;L STATEMENT"}</definedName>
    <definedName name="xvbxdbr" hidden="1">{"product cost",#N/A,FALSE,"P&amp;L STATEMENT"}</definedName>
    <definedName name="xvc" localSheetId="10" hidden="1">{"FCB_ALL",#N/A,FALSE,"FCB"}</definedName>
    <definedName name="xvc" localSheetId="15" hidden="1">{"FCB_ALL",#N/A,FALSE,"FCB"}</definedName>
    <definedName name="xvc" hidden="1">{"FCB_ALL",#N/A,FALSE,"FCB"}</definedName>
    <definedName name="xvfsd" localSheetId="1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x" localSheetId="10">{0;0;0;0;1;1;0;0;0;0;2;FALSE;FALSE;FALSE;FALSE;FALSE;#N/A;1;#N/A;1;1;"";""}</definedName>
    <definedName name="xx">{0;0;0;0;1;1;0;0;0;0;2;FALSE;FALSE;FALSE;FALSE;FALSE;#N/A;1;#N/A;1;1;"";""}</definedName>
    <definedName name="xx_1"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xx_1" hidden="1">{#N/A,#N/A,FALSE,"Projections";#N/A,#N/A,FALSE,"AccrDil";#N/A,#N/A,FALSE,"PurchPriMult";#N/A,#N/A,FALSE,"Mults7_13";#N/A,#N/A,FALSE,"Mkt Mults";#N/A,#N/A,FALSE,"Acq Mults";#N/A,#N/A,FALSE,"StockPrices";#N/A,#N/A,FALSE,"Prem Paid";#N/A,#N/A,FALSE,"DCF";#N/A,#N/A,FALSE,"AUTO";#N/A,#N/A,FALSE,"Relative Trading";#N/A,#N/A,FALSE,"Mkt Val";#N/A,#N/A,FALSE,"Acq Val"}</definedName>
    <definedName name="xxcxc" localSheetId="10"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x"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 localSheetId="3" hidden="1">{#N/A,#N/A,FALSE,"ACQ_GRAPHS";#N/A,#N/A,FALSE,"T_1 GRAPHS";#N/A,#N/A,FALSE,"T_2 GRAPHS";#N/A,#N/A,FALSE,"COMB_GRAPHS"}</definedName>
    <definedName name="xxx" localSheetId="11" hidden="1">{#N/A,#N/A,FALSE,"ACQ_GRAPHS";#N/A,#N/A,FALSE,"T_1 GRAPHS";#N/A,#N/A,FALSE,"T_2 GRAPHS";#N/A,#N/A,FALSE,"COMB_GRAPHS"}</definedName>
    <definedName name="xxx"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gb._Hm." localSheetId="10"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xlt" localSheetId="10">{"Commish",#N/A,FALSE,"LAWTC"}</definedName>
    <definedName name="xxx.xlt">{"Commish",#N/A,FALSE,"LAWTC"}</definedName>
    <definedName name="xxx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1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_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xxx2" localSheetId="10" hidden="1">{"oct_res_comm",#N/A,FALSE,"VarToBud"}</definedName>
    <definedName name="xxx2" hidden="1">{"oct_res_comm",#N/A,FALSE,"VarToBud"}</definedName>
    <definedName name="xxx45" localSheetId="10" hidden="1">{#N/A,#N/A,FALSE,"YTD"}</definedName>
    <definedName name="xxx45" hidden="1">{#N/A,#N/A,FALSE,"YTD"}</definedName>
    <definedName name="xxx6" localSheetId="10" hidden="1">{#N/A,#N/A,FALSE,"YTD"}</definedName>
    <definedName name="xxx6" hidden="1">{#N/A,#N/A,FALSE,"YTD"}</definedName>
    <definedName name="xxx7" localSheetId="10" hidden="1">{#N/A,#N/A,FALSE,"YTD"}</definedName>
    <definedName name="xxx7" hidden="1">{#N/A,#N/A,FALSE,"YTD"}</definedName>
    <definedName name="xxxx" localSheetId="10">{#N/A,#N/A,FALSE,"Inc.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x" localSheetId="10" hidden="1">{#N/A,#N/A,FALSE,"Calc";#N/A,#N/A,FALSE,"Sensitivity";#N/A,#N/A,FALSE,"LT Earn.Dil.";#N/A,#N/A,FALSE,"Dil. AVP"}</definedName>
    <definedName name="xxxxx" localSheetId="15" hidden="1">{#N/A,#N/A,FALSE,"Calc";#N/A,#N/A,FALSE,"Sensitivity";#N/A,#N/A,FALSE,"LT Earn.Dil.";#N/A,#N/A,FALSE,"Dil. AVP"}</definedName>
    <definedName name="xxxxx" hidden="1">{#N/A,#N/A,FALSE,"Calc";#N/A,#N/A,FALSE,"Sensitivity";#N/A,#N/A,FALSE,"LT Earn.Dil.";#N/A,#N/A,FALSE,"Dil. AVP"}</definedName>
    <definedName name="XXXXXX" localSheetId="10" hidden="1">{"profit statement",#N/A,FALSE,"P&amp;L STATEMENT"}</definedName>
    <definedName name="XXXXXX" hidden="1">{"profit statement",#N/A,FALSE,"P&amp;L STATEMENT"}</definedName>
    <definedName name="xxxxxxx" localSheetId="10" hidden="1">#REF!</definedName>
    <definedName name="xxxxxxx" hidden="1">#REF!</definedName>
    <definedName name="xxxxxxxx" localSheetId="10">{"Commish",#N/A,FALSE,"LAWTC"}</definedName>
    <definedName name="xxxxxxxx">{"Commish",#N/A,FALSE,"LAWTC"}</definedName>
    <definedName name="xxxxxxxxx" localSheetId="10" hidden="1">{"sales",#N/A,FALSE,"Sales";"sales existing",#N/A,FALSE,"Sales";"sales rd1",#N/A,FALSE,"Sales";"sales rd2",#N/A,FALSE,"Sales"}</definedName>
    <definedName name="xxxxxxxxx" hidden="1">{"sales",#N/A,FALSE,"Sales";"sales existing",#N/A,FALSE,"Sales";"sales rd1",#N/A,FALSE,"Sales";"sales rd2",#N/A,FALSE,"Sales"}</definedName>
    <definedName name="XXXXXXXXXX" hidden="1">#REF!</definedName>
    <definedName name="xxxxxxxxxxx" localSheetId="10">{"Balance Sheet",#N/A,FALSE,"Balance Sheet";"Detail Lines",#N/A,FALSE,"Balance Sheet"}</definedName>
    <definedName name="xxxxxxxxxxx">{"Balance Sheet",#N/A,FALSE,"Balance Sheet";"Detail Lines",#N/A,FALSE,"Balance Sheet"}</definedName>
    <definedName name="xxy" localSheetId="10" hidden="1">{#N/A,#N/A,FALSE,"FRONTPG";#N/A,#N/A,FALSE,"STATUSREC";#N/A,#N/A,FALSE,"INELIG";#N/A,#N/A,FALSE,"ARACTIV";#N/A,#N/A,FALSE,"ARANAL";#N/A,#N/A,FALSE,"INVANAL";#N/A,#N/A,FALSE,"BALSHT";#N/A,#N/A,FALSE,"INCSTMT";#N/A,#N/A,FALSE,"CASHFLOW";#N/A,#N/A,FALSE,"TREND";#N/A,#N/A,FALSE,"LIAB"}</definedName>
    <definedName name="xxy" hidden="1">{#N/A,#N/A,FALSE,"FRONTPG";#N/A,#N/A,FALSE,"STATUSREC";#N/A,#N/A,FALSE,"INELIG";#N/A,#N/A,FALSE,"ARACTIV";#N/A,#N/A,FALSE,"ARANAL";#N/A,#N/A,FALSE,"INVANAL";#N/A,#N/A,FALSE,"BALSHT";#N/A,#N/A,FALSE,"INCSTMT";#N/A,#N/A,FALSE,"CASHFLOW";#N/A,#N/A,FALSE,"TREND";#N/A,#N/A,FALSE,"LIAB"}</definedName>
    <definedName name="xyz" localSheetId="10">{"dcf_is_annual",#N/A,FALSE,"depr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xyz">{"dcf_is_annual",#N/A,FALSE,"depr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xzf" localSheetId="10"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xz" localSheetId="10" hidden="1">{#N/A,"PURCHM",FALSE,"Business Analysis";#N/A,"SPADD",FALSE,"Business Analysis"}</definedName>
    <definedName name="xzxz" hidden="1">{#N/A,"PURCHM",FALSE,"Business Analysis";#N/A,"SPADD",FALSE,"Business Analysis"}</definedName>
    <definedName name="xzxzx.ccc" localSheetId="10">{"COM",#N/A,FALSE,"800 10th"}</definedName>
    <definedName name="xzxzx.ccc">{"COM",#N/A,FALSE,"800 10th"}</definedName>
    <definedName name="y" localSheetId="10" hidden="1">{#N/A,#N/A,FALSE,"SUMMARY";#N/A,#N/A,FALSE,"mcsh";#N/A,#N/A,FALSE,"vol&amp;rev";#N/A,#N/A,FALSE,"wkgcap";#N/A,#N/A,FALSE,"DEPR&amp;DT";#N/A,#N/A,FALSE,"ASSETS";#N/A,#N/A,FALSE,"NI&amp;OTH&amp;DIV";#N/A,#N/A,FALSE,"CASHFLOW";#N/A,#N/A,FALSE,"CAPEMPL";#N/A,#N/A,FALSE,"ROCE"}</definedName>
    <definedName name="y" localSheetId="15" hidden="1">{#N/A,#N/A,FALSE,"SUMMARY";#N/A,#N/A,FALSE,"mcsh";#N/A,#N/A,FALSE,"vol&amp;rev";#N/A,#N/A,FALSE,"wkgcap";#N/A,#N/A,FALSE,"DEPR&amp;DT";#N/A,#N/A,FALSE,"ASSETS";#N/A,#N/A,FALSE,"NI&amp;OTH&amp;DIV";#N/A,#N/A,FALSE,"CASHFLOW";#N/A,#N/A,FALSE,"CAPEMPL";#N/A,#N/A,FALSE,"ROCE"}</definedName>
    <definedName name="y" hidden="1">{#N/A,#N/A,FALSE,"SUMMARY";#N/A,#N/A,FALSE,"mcsh";#N/A,#N/A,FALSE,"vol&amp;rev";#N/A,#N/A,FALSE,"wkgcap";#N/A,#N/A,FALSE,"DEPR&amp;DT";#N/A,#N/A,FALSE,"ASSETS";#N/A,#N/A,FALSE,"NI&amp;OTH&amp;DIV";#N/A,#N/A,FALSE,"CASHFLOW";#N/A,#N/A,FALSE,"CAPEMPL";#N/A,#N/A,FALSE,"ROCE"}</definedName>
    <definedName name="yan" localSheetId="10" hidden="1">{"vcoutveh",#N/A,FALSE,"Ctveh"}</definedName>
    <definedName name="yan" hidden="1">{"vcoutveh",#N/A,FALSE,"Ctveh"}</definedName>
    <definedName name="yank" localSheetId="10" hidden="1">{"vcoutveh",#N/A,FALSE,"Ctveh"}</definedName>
    <definedName name="yank" hidden="1">{"vcoutveh",#N/A,FALSE,"Ctveh"}</definedName>
    <definedName name="yanwrn" localSheetId="10" hidden="1">{"vdetctflex",#N/A,FALSE,"Budget-flex"}</definedName>
    <definedName name="yanwrn" hidden="1">{"vdetctflex",#N/A,FALSE,"Budget-flex"}</definedName>
    <definedName name="YEAH"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#REF!</definedName>
    <definedName name="Year_2">#REF!</definedName>
    <definedName name="Year_3">#REF!</definedName>
    <definedName name="Year_4">#REF!</definedName>
    <definedName name="Year_5">#REF!</definedName>
    <definedName name="yes" localSheetId="10" hidden="1">{#N/A,#N/A,FALSE,"Admin";#N/A,#N/A,FALSE,"Other"}</definedName>
    <definedName name="yes" localSheetId="15" hidden="1">{#N/A,#N/A,FALSE,"Admin";#N/A,#N/A,FALSE,"Other"}</definedName>
    <definedName name="yes" hidden="1">{#N/A,#N/A,FALSE,"Admin";#N/A,#N/A,FALSE,"Other"}</definedName>
    <definedName name="yg" localSheetId="10" hidden="1">{"Polymers Details",#N/A,FALSE,"Current Yr";"Polymer Details",#N/A,FALSE,"Budget";"Polymer Details",#N/A,FALSE,"Prior Year"}</definedName>
    <definedName name="yg" hidden="1">{"Polymers Details",#N/A,FALSE,"Current Yr";"Polymer Details",#N/A,FALSE,"Budget";"Polymer Details",#N/A,FALSE,"Prior Year"}</definedName>
    <definedName name="yh" localSheetId="10" hidden="1">{"Polymers Details",#N/A,FALSE,"Current Yr";"Polymer Details",#N/A,FALSE,"Budget";"Polymer Details",#N/A,FALSE,"Prior Year"}</definedName>
    <definedName name="yh" hidden="1">{"Polymers Details",#N/A,FALSE,"Current Yr";"Polymer Details",#N/A,FALSE,"Budget";"Polymer Details",#N/A,FALSE,"Prior Year"}</definedName>
    <definedName name="yhi" localSheetId="10" hidden="1">{"NOPCAPEVA",#N/A,FALSE,"Nopat";"FCFCSTAR",#N/A,FALSE,"FCFVAL";"EVAVL",#N/A,FALSE,"EVAVAL";"LEASE",#N/A,FALSE,"OpLease"}</definedName>
    <definedName name="yhi" hidden="1">{"NOPCAPEVA",#N/A,FALSE,"Nopat";"FCFCSTAR",#N/A,FALSE,"FCFVAL";"EVAVL",#N/A,FALSE,"EVAVAL";"LEASE",#N/A,FALSE,"OpLease"}</definedName>
    <definedName name="yhn" localSheetId="10" hidden="1">{#N/A,#N/A,FALSE,"Model";#N/A,#N/A,FALSE,"Division"}</definedName>
    <definedName name="yhn" localSheetId="15" hidden="1">{#N/A,#N/A,FALSE,"Model";#N/A,#N/A,FALSE,"Division"}</definedName>
    <definedName name="yhn" hidden="1">{#N/A,#N/A,FALSE,"Model";#N/A,#N/A,FALSE,"Division"}</definedName>
    <definedName name="yhtyh" hidden="1">#REF!</definedName>
    <definedName name="yioyi" localSheetId="10">{#N/A,#N/A,TRUE,"1Q BCG";#N/A,#N/A,TRUE,"1Q w|o Wireless";#N/A,#N/A,TRUE,"1Q Wireless"}</definedName>
    <definedName name="yioyi">{#N/A,#N/A,TRUE,"1Q BCG";#N/A,#N/A,TRUE,"1Q w|o Wireless";#N/A,#N/A,TRUE,"1Q Wireless"}</definedName>
    <definedName name="ym" localSheetId="10" hidden="1">{#N/A,"PURCHM",FALSE,"Business Analysis";#N/A,"SPADD",FALSE,"Business Analysis"}</definedName>
    <definedName name="ym" hidden="1">{#N/A,"PURCHM",FALSE,"Business Analysis";#N/A,"SPADD",FALSE,"Business Analysis"}</definedName>
    <definedName name="ymyumju" hidden="1">#REF!</definedName>
    <definedName name="YN" localSheetId="10">#REF!</definedName>
    <definedName name="YN">#REF!</definedName>
    <definedName name="Yo" localSheetId="10">{#N/A,#N/A,FALSE,"3mos";#N/A,#N/A,FALSE,"dedicated"}</definedName>
    <definedName name="Yo">{#N/A,#N/A,FALSE,"3mos";#N/A,#N/A,FALSE,"dedicated"}</definedName>
    <definedName name="youh" localSheetId="10" hidden="1">{#N/A,#N/A,FALSE,"AD_Purchase";#N/A,#N/A,FALSE,"Credit";#N/A,#N/A,FALSE,"PF Acquisition";#N/A,#N/A,FALSE,"PF Offering"}</definedName>
    <definedName name="youh" hidden="1">{#N/A,#N/A,FALSE,"AD_Purchase";#N/A,#N/A,FALSE,"Credit";#N/A,#N/A,FALSE,"PF Acquisition";#N/A,#N/A,FALSE,"PF Offering"}</definedName>
    <definedName name="youh_1" localSheetId="10" hidden="1">{#N/A,#N/A,FALSE,"AD_Purchase";#N/A,#N/A,FALSE,"Credit";#N/A,#N/A,FALSE,"PF Acquisition";#N/A,#N/A,FALSE,"PF Offering"}</definedName>
    <definedName name="youh_1" hidden="1">{#N/A,#N/A,FALSE,"AD_Purchase";#N/A,#N/A,FALSE,"Credit";#N/A,#N/A,FALSE,"PF Acquisition";#N/A,#N/A,FALSE,"PF Offering"}</definedName>
    <definedName name="YoY_Growth">#REF!</definedName>
    <definedName name="yp" localSheetId="10"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q" localSheetId="10"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 localSheetId="10" hidden="1">{"NOPCAPEVA",#N/A,FALSE,"Nopat";"FCFCSTAR",#N/A,FALSE,"FCFVAL";"EVAVL",#N/A,FALSE,"EVAVAL";"LEASE",#N/A,FALSE,"OpLease"}</definedName>
    <definedName name="yre" hidden="1">{"NOPCAPEVA",#N/A,FALSE,"Nopat";"FCFCSTAR",#N/A,FALSE,"FCFVAL";"EVAVL",#N/A,FALSE,"EVAVAL";"LEASE",#N/A,FALSE,"OpLease"}</definedName>
    <definedName name="yrty" localSheetId="10" hidden="1">{"NOPCAPEVA",#N/A,FALSE,"Nopat";"FCFCSTAR",#N/A,FALSE,"FCFVAL";"EVAVL",#N/A,FALSE,"EVAVAL";"LEASE",#N/A,FALSE,"OpLease"}</definedName>
    <definedName name="yrty" hidden="1">{"NOPCAPEVA",#N/A,FALSE,"Nopat";"FCFCSTAR",#N/A,FALSE,"FCFVAL";"EVAVL",#N/A,FALSE,"EVAVAL";"LEASE",#N/A,FALSE,"OpLease"}</definedName>
    <definedName name="ytd" localSheetId="10" hidden="1">#REF!</definedName>
    <definedName name="ytd" localSheetId="9" hidden="1">#REF!</definedName>
    <definedName name="ytd" localSheetId="8" hidden="1">#REF!</definedName>
    <definedName name="ytd" localSheetId="16" hidden="1">#REF!</definedName>
    <definedName name="ytd" hidden="1">#REF!</definedName>
    <definedName name="YTD_2">#REF!</definedName>
    <definedName name="YTD_3">#REF!</definedName>
    <definedName name="YTD_4">#REF!</definedName>
    <definedName name="YTDBudget">#REF!</definedName>
    <definedName name="YTDData_QuickBooksData" hidden="1">#REF!</definedName>
    <definedName name="ytr" localSheetId="10" hidden="1">{"AnnInc",#N/A,TRUE,"Inc";"QtrInc1",#N/A,TRUE,"Inc";"Balance",#N/A,TRUE,"Bal";"Cflow",#N/A,TRUE,"Cash"}</definedName>
    <definedName name="ytr" hidden="1">{"AnnInc",#N/A,TRUE,"Inc";"QtrInc1",#N/A,TRUE,"Inc";"Balance",#N/A,TRUE,"Bal";"Cflow",#N/A,TRUE,"Cash"}</definedName>
    <definedName name="ytre" localSheetId="10" hidden="1">{"overview",#N/A,FALSE,"summary";"net assets",#N/A,FALSE,"summary";"asset turnover",#N/A,FALSE,"summary";"orona",#N/A,FALSE,"summary"}</definedName>
    <definedName name="ytre" hidden="1">{"overview",#N/A,FALSE,"summary";"net assets",#N/A,FALSE,"summary";"asset turnover",#N/A,FALSE,"summary";"orona",#N/A,FALSE,"summary"}</definedName>
    <definedName name="YTY" localSheetId="10" hidden="1">{#N/A,#N/A,FALSE,"TABLE_1 YTD";#N/A,#N/A,FALSE,"TABLE_1A QTD";#N/A,#N/A,FALSE,"NORMAL_SPREAD_QTD";#N/A,#N/A,FALSE,"NORMAL_SPREAD_YTD";#N/A,#N/A,FALSE,"TAX_EQV";#N/A,#N/A,FALSE,"TAX EQUIV_INPUT";#N/A,#N/A,FALSE,"NET FROM FER";#N/A,#N/A,FALSE,"COVER"}</definedName>
    <definedName name="YTY" localSheetId="15"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localSheetId="10">{#N/A,#N/A,FALSE,"Projections";#N/A,#N/A,FALSE,"AccrDil";#N/A,#N/A,FALSE,"PurchPriMult";#N/A,#N/A,FALSE,"Mults7_13";#N/A,#N/A,FALSE,"Mkt Mults";#N/A,#N/A,FALSE,"Acq Mults";#N/A,#N/A,FALSE,"StockPrices";#N/A,#N/A,FALSE,"Prem Paid";#N/A,#N/A,FALSE,"DCF";#N/A,#N/A,FALSE,"AUTO";#N/A,#N/A,FALSE,"Relative Trading";#N/A,#N/A,FALSE,"Mkt Val";#N/A,#N/A,FALSE,"Acq Val"}</definedName>
    <definedName name="yu">{#N/A,#N/A,FALSE,"Projections";#N/A,#N/A,FALSE,"AccrDil";#N/A,#N/A,FALSE,"PurchPriMult";#N/A,#N/A,FALSE,"Mults7_13";#N/A,#N/A,FALSE,"Mkt Mults";#N/A,#N/A,FALSE,"Acq Mults";#N/A,#N/A,FALSE,"StockPrices";#N/A,#N/A,FALSE,"Prem Paid";#N/A,#N/A,FALSE,"DCF";#N/A,#N/A,FALSE,"AUTO";#N/A,#N/A,FALSE,"Relative Trading";#N/A,#N/A,FALSE,"Mkt Val";#N/A,#N/A,FALSE,"Acq Val"}</definedName>
    <definedName name="yui" localSheetId="10" hidden="1">{"Commentary",#N/A,FALSE,"May"}</definedName>
    <definedName name="yui" hidden="1">{"Commentary",#N/A,FALSE,"May"}</definedName>
    <definedName name="yuio" localSheetId="10">{"oct_res_comm",#N/A,FALSE,"VarToBud"}</definedName>
    <definedName name="yuio">{"oct_res_comm",#N/A,FALSE,"VarToBud"}</definedName>
    <definedName name="yujyuj" hidden="1">#REF!</definedName>
    <definedName name="yukyu" hidden="1">#REF!</definedName>
    <definedName name="yunmyunmyu" hidden="1">#REF!</definedName>
    <definedName name="yunyunyn" hidden="1">#REF!</definedName>
    <definedName name="yuop" localSheetId="10" hidden="1">{"OTHER",#N/A,FALSE,"CM"}</definedName>
    <definedName name="yuop" hidden="1">{"OTHER",#N/A,FALSE,"CM"}</definedName>
    <definedName name="yv" localSheetId="10"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10"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10" hidden="1">{#N/A,#N/A,FALSE,"Umsatz 99";#N/A,#N/A,FALSE,"ER 99 "}</definedName>
    <definedName name="yxcxycxy" hidden="1">{#N/A,#N/A,FALSE,"Umsatz 99";#N/A,#N/A,FALSE,"ER 99 "}</definedName>
    <definedName name="yy" localSheetId="10" hidden="1">{#N/A,#N/A,FALSE,"COVER";#N/A,#N/A,FALSE,"Index";#N/A,#N/A,FALSE,"Summ_Products_Rec.97-98";#N/A,#N/A,FALSE,"QTR_Comp.";#N/A,#N/A,FALSE,"Summ_Detail_Rec.97-98";#N/A,#N/A,FALSE,"Summ_Agencies_Rec.97-98"}</definedName>
    <definedName name="yy" localSheetId="15" hidden="1">{#N/A,#N/A,FALSE,"COVER";#N/A,#N/A,FALSE,"Index";#N/A,#N/A,FALSE,"Summ_Products_Rec.97-98";#N/A,#N/A,FALSE,"QTR_Comp.";#N/A,#N/A,FALSE,"Summ_Detail_Rec.97-98";#N/A,#N/A,FALSE,"Summ_Agencies_Rec.97-98"}</definedName>
    <definedName name="yy" hidden="1">{#N/A,#N/A,FALSE,"COVER";#N/A,#N/A,FALSE,"Index";#N/A,#N/A,FALSE,"Summ_Products_Rec.97-98";#N/A,#N/A,FALSE,"QTR_Comp.";#N/A,#N/A,FALSE,"Summ_Detail_Rec.97-98";#N/A,#N/A,FALSE,"Summ_Agencies_Rec.97-98"}</definedName>
    <definedName name="yy.7" localSheetId="10"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Y" localSheetId="10" hidden="1">{#N/A,#N/A,FALSE,"Est97";#N/A,#N/A,FALSE,"Plan98";#N/A,#N/A,FALSE,"Graphs";#N/A,#N/A,FALSE,"5Yr"}</definedName>
    <definedName name="YYY" localSheetId="15" hidden="1">{#N/A,#N/A,FALSE,"Est97";#N/A,#N/A,FALSE,"Plan98";#N/A,#N/A,FALSE,"Graphs";#N/A,#N/A,FALSE,"5Yr"}</definedName>
    <definedName name="YYY" hidden="1">{#N/A,#N/A,FALSE,"Est97";#N/A,#N/A,FALSE,"Plan98";#N/A,#N/A,FALSE,"Graphs";#N/A,#N/A,FALSE,"5Yr"}</definedName>
    <definedName name="yyy0" localSheetId="10" hidden="1">{#N/A,#N/A,FALSE,"YTD"}</definedName>
    <definedName name="yyy0" hidden="1">{#N/A,#N/A,FALSE,"YTD"}</definedName>
    <definedName name="yyy2" localSheetId="10" hidden="1">{#N/A,#N/A,FALSE,"YTD"}</definedName>
    <definedName name="yyy2" hidden="1">{#N/A,#N/A,FALSE,"YTD"}</definedName>
    <definedName name="yyy8" localSheetId="10" hidden="1">{#N/A,#N/A,FALSE,"YTD"}</definedName>
    <definedName name="yyy8" hidden="1">{#N/A,#N/A,FALSE,"YTD"}</definedName>
    <definedName name="yyyhnbh" localSheetId="10" hidden="1">{#N/A,#N/A,FALSE,"COVER";#N/A,#N/A,FALSE,"SUMP&amp;L";#N/A,#N/A,FALSE,"SUBSP&amp;L";#N/A,#N/A,FALSE,"SALESANAL"}</definedName>
    <definedName name="yyyhnbh" hidden="1">{#N/A,#N/A,FALSE,"COVER";#N/A,#N/A,FALSE,"SUMP&amp;L";#N/A,#N/A,FALSE,"SUBSP&amp;L";#N/A,#N/A,FALSE,"SALESANAL"}</definedName>
    <definedName name="yyyy" localSheetId="10" hidden="1">{#N/A,#N/A,FALSE,"Bakersfield PCs";#N/A,#N/A,FALSE,"Bremer PCs";#N/A,#N/A,FALSE,"Bakersfield Notebooks"}</definedName>
    <definedName name="yyyy" hidden="1">{#N/A,#N/A,FALSE,"Bakersfield PCs";#N/A,#N/A,FALSE,"Bremer PCs";#N/A,#N/A,FALSE,"Bakersfield Notebooks"}</definedName>
    <definedName name="yyyyw" localSheetId="10" hidden="1">{#N/A,#N/A,FALSE,"Bakersfield PCs";#N/A,#N/A,FALSE,"Bremer PCs";#N/A,#N/A,FALSE,"Bakersfield Notebooks"}</definedName>
    <definedName name="yyyyw" hidden="1">{#N/A,#N/A,FALSE,"Bakersfield PCs";#N/A,#N/A,FALSE,"Bremer PCs";#N/A,#N/A,FALSE,"Bakersfield Notebooks"}</definedName>
    <definedName name="z" localSheetId="10" hidden="1">#REF!</definedName>
    <definedName name="z" localSheetId="9" hidden="1">#REF!</definedName>
    <definedName name="z" localSheetId="8" hidden="1">#REF!</definedName>
    <definedName name="z" localSheetId="16" hidden="1">#REF!</definedName>
    <definedName name="z" hidden="1">#REF!</definedName>
    <definedName name="z.l" localSheetId="10" hidden="1">{#N/A,#N/A,FALSE,"KA CH  (2)"}</definedName>
    <definedName name="z.l" hidden="1">{#N/A,#N/A,FALSE,"KA CH  (2)"}</definedName>
    <definedName name="z_1" localSheetId="10" hidden="1">{#N/A,#N/A,FALSE,"Memo P&amp;L";#N/A,#N/A,FALSE,"Memo Expl";#N/A,#N/A,FALSE,"Income Statement";#N/A,#N/A,FALSE,"Balance Sheet";#N/A,#N/A,FALSE,"Cash Flow";#N/A,#N/A,FALSE,"Student Statistics";#N/A,#N/A,FALSE,"student seats 1";#N/A,#N/A,FALSE,"Student Seats"}</definedName>
    <definedName name="z_1" hidden="1">{#N/A,#N/A,FALSE,"Memo P&amp;L";#N/A,#N/A,FALSE,"Memo Expl";#N/A,#N/A,FALSE,"Income Statement";#N/A,#N/A,FALSE,"Balance Sheet";#N/A,#N/A,FALSE,"Cash Flow";#N/A,#N/A,FALSE,"Student Statistics";#N/A,#N/A,FALSE,"student seats 1";#N/A,#N/A,FALSE,"Student Seats"}</definedName>
    <definedName name="z_2" localSheetId="10" hidden="1">{#N/A,#N/A,FALSE,"Memo P&amp;L";#N/A,#N/A,FALSE,"Memo Expl";#N/A,#N/A,FALSE,"Income Statement";#N/A,#N/A,FALSE,"Balance Sheet";#N/A,#N/A,FALSE,"Cash Flow";#N/A,#N/A,FALSE,"Student Statistics";#N/A,#N/A,FALSE,"student seats 1";#N/A,#N/A,FALSE,"Student Seats"}</definedName>
    <definedName name="z_2" hidden="1">{#N/A,#N/A,FALSE,"Memo P&amp;L";#N/A,#N/A,FALSE,"Memo Expl";#N/A,#N/A,FALSE,"Income Statement";#N/A,#N/A,FALSE,"Balance Sheet";#N/A,#N/A,FALSE,"Cash Flow";#N/A,#N/A,FALSE,"Student Statistics";#N/A,#N/A,FALSE,"student seats 1";#N/A,#N/A,FALSE,"Student Seats"}</definedName>
    <definedName name="z_3" localSheetId="10" hidden="1">{#N/A,#N/A,FALSE,"Memo P&amp;L";#N/A,#N/A,FALSE,"Memo Expl";#N/A,#N/A,FALSE,"Income Statement";#N/A,#N/A,FALSE,"Balance Sheet";#N/A,#N/A,FALSE,"Cash Flow";#N/A,#N/A,FALSE,"Student Statistics";#N/A,#N/A,FALSE,"student seats 1";#N/A,#N/A,FALSE,"Student Seats"}</definedName>
    <definedName name="z_3" hidden="1">{#N/A,#N/A,FALSE,"Memo P&amp;L";#N/A,#N/A,FALSE,"Memo Expl";#N/A,#N/A,FALSE,"Income Statement";#N/A,#N/A,FALSE,"Balance Sheet";#N/A,#N/A,FALSE,"Cash Flow";#N/A,#N/A,FALSE,"Student Statistics";#N/A,#N/A,FALSE,"student seats 1";#N/A,#N/A,FALSE,"Student Seats"}</definedName>
    <definedName name="Z_37A59B27_C76D_4E84_8164_B3D5C7AFADBB_.wvu.Cols" localSheetId="10" hidden="1">#REF!</definedName>
    <definedName name="Z_37A59B27_C76D_4E84_8164_B3D5C7AFADBB_.wvu.Cols" hidden="1">#REF!</definedName>
    <definedName name="z_4" localSheetId="10" hidden="1">{#N/A,#N/A,FALSE,"Memo P&amp;L";#N/A,#N/A,FALSE,"Memo Expl";#N/A,#N/A,FALSE,"Income Statement";#N/A,#N/A,FALSE,"Balance Sheet";#N/A,#N/A,FALSE,"Cash Flow";#N/A,#N/A,FALSE,"Student Statistics";#N/A,#N/A,FALSE,"student seats 1";#N/A,#N/A,FALSE,"Student Seats"}</definedName>
    <definedName name="z_4" hidden="1">{#N/A,#N/A,FALSE,"Memo P&amp;L";#N/A,#N/A,FALSE,"Memo Expl";#N/A,#N/A,FALSE,"Income Statement";#N/A,#N/A,FALSE,"Balance Sheet";#N/A,#N/A,FALSE,"Cash Flow";#N/A,#N/A,FALSE,"Student Statistics";#N/A,#N/A,FALSE,"student seats 1";#N/A,#N/A,FALSE,"Student Seats"}</definedName>
    <definedName name="Z_49408A80_D968_4842_8DA2_9AFD13325591_.wvu.Rows">#REF!,#REF!</definedName>
    <definedName name="z_5" localSheetId="10" hidden="1">{#N/A,#N/A,FALSE,"Memo P&amp;L";#N/A,#N/A,FALSE,"Memo Expl";#N/A,#N/A,FALSE,"Income Statement";#N/A,#N/A,FALSE,"Balance Sheet";#N/A,#N/A,FALSE,"Cash Flow";#N/A,#N/A,FALSE,"Student Statistics";#N/A,#N/A,FALSE,"student seats 1";#N/A,#N/A,FALSE,"Student Seats"}</definedName>
    <definedName name="z_5" hidden="1">{#N/A,#N/A,FALSE,"Memo P&amp;L";#N/A,#N/A,FALSE,"Memo Expl";#N/A,#N/A,FALSE,"Income Statement";#N/A,#N/A,FALSE,"Balance Sheet";#N/A,#N/A,FALSE,"Cash Flow";#N/A,#N/A,FALSE,"Student Statistics";#N/A,#N/A,FALSE,"student seats 1";#N/A,#N/A,FALSE,"Student Seats"}</definedName>
    <definedName name="Z_50001800_D456_11D1_8650_00805F93F197_.wvu.Rows" localSheetId="10" hidden="1">#REF!,#REF!,#REF!,#REF!,#REF!,#REF!,#REF!,#REF!,#REF!,#REF!,#REF!,#REF!,#REF!,#REF!,#REF!,#REF!,#REF!,#REF!,#REF!,#REF!,#REF!,#REF!,#REF!,#REF!,#REF!,#REF!,#REF!,#REF!,#REF!,#REF!,#REF!,#REF!,#REF!,#REF!,#REF!,#REF!,#REF!,#REF!,#REF!,#REF!,#REF!,#REF!,#REF!,#REF!,#REF!,#REF!,#REF!,#REF!,#REF!,#REF!,#REF!,#REF!,#REF!,#REF!</definedName>
    <definedName name="Z_50001800_D456_11D1_8650_00805F93F197_.wvu.Rows" hidden="1">#REF!,#REF!,#REF!,#REF!,#REF!,#REF!,#REF!,#REF!,#REF!,#REF!,#REF!,#REF!,#REF!,#REF!,#REF!,#REF!,#REF!,#REF!,#REF!,#REF!,#REF!,#REF!,#REF!,#REF!,#REF!,#REF!,#REF!,#REF!,#REF!,#REF!,#REF!,#REF!,#REF!,#REF!,#REF!,#REF!,#REF!,#REF!,#REF!,#REF!,#REF!,#REF!,#REF!,#REF!,#REF!,#REF!,#REF!,#REF!,#REF!,#REF!,#REF!,#REF!,#REF!,#REF!</definedName>
    <definedName name="Z_6292D322_9EA4_11D1_B2D2_006008A89768_.wvu.PrintArea" hidden="1">#REF!</definedName>
    <definedName name="Z_8B0BAC1D_583C_4232_9E07_193403FB4D13_.wvu.Rows">#REF!,#REF!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A428CE1_B4D9_11D0_A8AA_0000C071AEE7_.wvu.Cols" hidden="1">#REF!,#REF!</definedName>
    <definedName name="Z_9A428CE1_B4D9_11D0_A8AA_0000C071AEE7_.wvu.PrintArea" hidden="1">#REF!</definedName>
    <definedName name="Z_9A428CE1_B4D9_11D0_A8AA_0000C071AEE7_.wvu.Rows" localSheetId="10" hidden="1">#REF!,#REF!,#REF!,#REF!,#REF!,#REF!,#REF!,#REF!</definedName>
    <definedName name="Z_9A428CE1_B4D9_11D0_A8AA_0000C071AEE7_.wvu.Rows" localSheetId="9" hidden="1">#REF!,#REF!,#REF!,#REF!,#REF!,#REF!,#REF!,#REF!</definedName>
    <definedName name="Z_9A428CE1_B4D9_11D0_A8AA_0000C071AEE7_.wvu.Rows" localSheetId="8" hidden="1">#REF!,#REF!,#REF!,#REF!,#REF!,#REF!,#REF!,#REF!</definedName>
    <definedName name="Z_9A428CE1_B4D9_11D0_A8AA_0000C071AEE7_.wvu.Rows" localSheetId="16" hidden="1">#REF!,#REF!,#REF!,#REF!,#REF!,#REF!,#REF!,#REF!</definedName>
    <definedName name="Z_9A428CE1_B4D9_11D0_A8AA_0000C071AEE7_.wvu.Rows" hidden="1">#REF!,#REF!,#REF!,#REF!,#REF!,#REF!,#REF!,#REF!</definedName>
    <definedName name="Z_9A50E840_F952_11D1_BF63_00805F932109_.wvu.Rows" hidden="1">#REF!,#REF!,#REF!,#REF!,#REF!,#REF!,#REF!,#REF!,#REF!,#REF!,#REF!,#REF!,#REF!,#REF!,#REF!,#REF!,#REF!,#REF!,#REF!,#REF!,#REF!,#REF!,#REF!,#REF!,#REF!,#REF!,#REF!,#REF!,#REF!,#REF!,#REF!,#REF!,#REF!,#REF!,#REF!,#REF!,#REF!,#REF!,#REF!,#REF!,#REF!,#REF!,#REF!,#REF!,#REF!,#REF!,#REF!,#REF!,#REF!,#REF!,#REF!,#REF!,#REF!,#REF!,#REF!</definedName>
    <definedName name="Z_C1AA7933_6068_4119_959E_D2F3C5F5B704_.wvu.PrintArea" localSheetId="10" hidden="1">#REF!</definedName>
    <definedName name="Z_C1AA7933_6068_4119_959E_D2F3C5F5B704_.wvu.PrintArea" localSheetId="9" hidden="1">#REF!</definedName>
    <definedName name="Z_C1AA7933_6068_4119_959E_D2F3C5F5B704_.wvu.PrintArea" hidden="1">#REF!</definedName>
    <definedName name="Z_F992F940_ED06_4E7C_8AA7_1A940B8925E9_.wvu.Cols" hidden="1">#REF!,#REF!</definedName>
    <definedName name="Z_F992F940_ED06_4E7C_8AA7_1A940B8925E9_.wvu.PrintArea" localSheetId="10" hidden="1">#REF!</definedName>
    <definedName name="Z_F992F940_ED06_4E7C_8AA7_1A940B8925E9_.wvu.PrintArea" hidden="1">#REF!</definedName>
    <definedName name="Z_F992F940_ED06_4E7C_8AA7_1A940B8925E9_.wvu.PrintTitles" localSheetId="10" hidden="1">#REF!</definedName>
    <definedName name="Z_F992F940_ED06_4E7C_8AA7_1A940B8925E9_.wvu.PrintTitles" hidden="1">#REF!</definedName>
    <definedName name="Z_F992F940_ED06_4E7C_8AA7_1A940B8925E9_.wvu.Rows" localSheetId="10" hidden="1">#REF!</definedName>
    <definedName name="Z_F992F940_ED06_4E7C_8AA7_1A940B8925E9_.wvu.Rows" hidden="1">#REF!</definedName>
    <definedName name="za" localSheetId="10">{"detail",#N/A,FALSE,"mfg";"summary",#N/A,FALSE,"mfg"}</definedName>
    <definedName name="za">{"detail",#N/A,FALSE,"mfg";"summary",#N/A,FALSE,"mfg"}</definedName>
    <definedName name="zaCQW" localSheetId="10" hidden="1">{"turnover",#N/A,FALSE;"profits",#N/A,FALSE;"cash",#N/A,FALSE}</definedName>
    <definedName name="zaCQW" localSheetId="15" hidden="1">{"turnover",#N/A,FALSE;"profits",#N/A,FALSE;"cash",#N/A,FALSE}</definedName>
    <definedName name="zaCQW" hidden="1">{"turnover",#N/A,FALSE;"profits",#N/A,FALSE;"cash",#N/A,FALSE}</definedName>
    <definedName name="zaq" localSheetId="10" hidden="1">{#N/A,#N/A,FALSE,"Calc";#N/A,#N/A,FALSE,"Sensitivity";#N/A,#N/A,FALSE,"LT Earn.Dil.";#N/A,#N/A,FALSE,"Dil. AVP"}</definedName>
    <definedName name="zaq" localSheetId="15" hidden="1">{#N/A,#N/A,FALSE,"Calc";#N/A,#N/A,FALSE,"Sensitivity";#N/A,#N/A,FALSE,"LT Earn.Dil.";#N/A,#N/A,FALSE,"Dil. AVP"}</definedName>
    <definedName name="zaq" hidden="1">{#N/A,#N/A,FALSE,"Calc";#N/A,#N/A,FALSE,"Sensitivity";#N/A,#N/A,FALSE,"LT Earn.Dil.";#N/A,#N/A,FALSE,"Dil. AVP"}</definedName>
    <definedName name="zaz" localSheetId="10" hidden="1">{#N/A,"PURCHM",FALSE,"Business Analysis";#N/A,"SPADD",FALSE,"Business Analysis"}</definedName>
    <definedName name="zaz" hidden="1">{#N/A,"PURCHM",FALSE,"Business Analysis";#N/A,"SPADD",FALSE,"Business Analysis"}</definedName>
    <definedName name="ZBL_201_01_PAY_adj" localSheetId="10">#REF!</definedName>
    <definedName name="ZBL_201_01_PAY_adj">#REF!</definedName>
    <definedName name="zc" localSheetId="10">#REF!</definedName>
    <definedName name="zc">#REF!</definedName>
    <definedName name="zcvqa" localSheetId="10">{#N/A,#N/A,FALSE,"AD_Purchase";#N/A,#N/A,FALSE,"Credit";#N/A,#N/A,FALSE,"PF Acquisition";#N/A,#N/A,FALSE,"PF Offering"}</definedName>
    <definedName name="zcvqa">{#N/A,#N/A,FALSE,"AD_Purchase";#N/A,#N/A,FALSE,"Credit";#N/A,#N/A,FALSE,"PF Acquisition";#N/A,#N/A,FALSE,"PF Offering"}</definedName>
    <definedName name="zcvzaa" localSheetId="10">{#N/A,#N/A,FALSE,"Debt Accr";#N/A,#N/A,FALSE,"Stock Accr";#N/A,#N/A,FALSE,"Debt Stock Accr"}</definedName>
    <definedName name="zcvzaa">{#N/A,#N/A,FALSE,"Debt Accr";#N/A,#N/A,FALSE,"Stock Accr";#N/A,#N/A,FALSE,"Debt Stock Accr"}</definedName>
    <definedName name="zcxzxva" localSheetId="10">{#N/A,#N/A,FALSE,"HuscoCombined-Summ";#N/A,#N/A,FALSE,"HuscoCombined-Income";#N/A,#N/A,FALSE,"HuscoCombined-Offering";#N/A,#N/A,FALSE,"Husco-Income";#N/A,#N/A,FALSE,"TargetEngineer";#N/A,#N/A,FALSE,"TargetAcqCalc";#N/A,#N/A,FALSE,"Husco-Acq"}</definedName>
    <definedName name="zcxzxva">{#N/A,#N/A,FALSE,"HuscoCombined-Summ";#N/A,#N/A,FALSE,"HuscoCombined-Income";#N/A,#N/A,FALSE,"HuscoCombined-Offering";#N/A,#N/A,FALSE,"Husco-Income";#N/A,#N/A,FALSE,"TargetEngineer";#N/A,#N/A,FALSE,"TargetAcqCalc";#N/A,#N/A,FALSE,"Husco-Acq"}</definedName>
    <definedName name="zer" localSheetId="10" hidden="1">{#N/A,#N/A,FALSE,"Calc";#N/A,#N/A,FALSE,"Sensitivity";#N/A,#N/A,FALSE,"LT Earn.Dil.";#N/A,#N/A,FALSE,"Dil. AVP"}</definedName>
    <definedName name="zer" localSheetId="15" hidden="1">{#N/A,#N/A,FALSE,"Calc";#N/A,#N/A,FALSE,"Sensitivity";#N/A,#N/A,FALSE,"LT Earn.Dil.";#N/A,#N/A,FALSE,"Dil. AVP"}</definedName>
    <definedName name="zer" hidden="1">{#N/A,#N/A,FALSE,"Calc";#N/A,#N/A,FALSE,"Sensitivity";#N/A,#N/A,FALSE,"LT Earn.Dil.";#N/A,#N/A,FALSE,"Dil. AVP"}</definedName>
    <definedName name="zfill" localSheetId="1" hidden="1">#REF!</definedName>
    <definedName name="zfill" localSheetId="10" hidden="1">#REF!</definedName>
    <definedName name="zfill" localSheetId="9" hidden="1">#REF!</definedName>
    <definedName name="zfill" localSheetId="16" hidden="1">#REF!</definedName>
    <definedName name="zfill" hidden="1">#REF!</definedName>
    <definedName name="zhu" localSheetId="10">{#N/A,#N/A,FALSE,"REPORT"}</definedName>
    <definedName name="zhu">{#N/A,#N/A,FALSE,"REPORT"}</definedName>
    <definedName name="zhutr" localSheetId="10">{#N/A,#N/A,FALSE,"REPORT"}</definedName>
    <definedName name="zhutr">{#N/A,#N/A,FALSE,"REPORT"}</definedName>
    <definedName name="zi" localSheetId="10" hidden="1">{#N/A,#N/A,FALSE,"DCF Summary";#N/A,#N/A,FALSE,"Casema";#N/A,#N/A,FALSE,"Casema NoTel";#N/A,#N/A,FALSE,"UK";#N/A,#N/A,FALSE,"RCF";#N/A,#N/A,FALSE,"Intercable CZ";#N/A,#N/A,FALSE,"Interkabel P"}</definedName>
    <definedName name="zi" localSheetId="15" hidden="1">{#N/A,#N/A,FALSE,"DCF Summary";#N/A,#N/A,FALSE,"Casema";#N/A,#N/A,FALSE,"Casema NoTel";#N/A,#N/A,FALSE,"UK";#N/A,#N/A,FALSE,"RCF";#N/A,#N/A,FALSE,"Intercable CZ";#N/A,#N/A,FALSE,"Interkabel P"}</definedName>
    <definedName name="zi" hidden="1">{#N/A,#N/A,FALSE,"DCF Summary";#N/A,#N/A,FALSE,"Casema";#N/A,#N/A,FALSE,"Casema NoTel";#N/A,#N/A,FALSE,"UK";#N/A,#N/A,FALSE,"RCF";#N/A,#N/A,FALSE,"Intercable CZ";#N/A,#N/A,FALSE,"Interkabel P"}</definedName>
    <definedName name="zioio" localSheetId="10"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l" localSheetId="10" hidden="1">{#N/A,"PURCHM",FALSE,"Business Analysis";#N/A,"SPADD",FALSE,"Business Analysis"}</definedName>
    <definedName name="zl" hidden="1">{#N/A,"PURCHM",FALSE,"Business Analysis";#N/A,"SPADD",FALSE,"Business Analysis"}</definedName>
    <definedName name="zop" localSheetId="10"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op_1" localSheetId="10" hidden="1">{#N/A,#N/A,FALSE,"Title";#N/A,#N/A,FALSE,"Index";#N/A,#N/A,FALSE,"1";#N/A,#N/A,FALSE,"2";#N/A,#N/A,FALSE,"3";#N/A,#N/A,FALSE,"4";#N/A,#N/A,FALSE,"5";#N/A,#N/A,FALSE,"6";#N/A,#N/A,FALSE,"7";#N/A,#N/A,FALSE,"8"}</definedName>
    <definedName name="zop_1" hidden="1">{#N/A,#N/A,FALSE,"Title";#N/A,#N/A,FALSE,"Index";#N/A,#N/A,FALSE,"1";#N/A,#N/A,FALSE,"2";#N/A,#N/A,FALSE,"3";#N/A,#N/A,FALSE,"4";#N/A,#N/A,FALSE,"5";#N/A,#N/A,FALSE,"6";#N/A,#N/A,FALSE,"7";#N/A,#N/A,FALSE,"8"}</definedName>
    <definedName name="zs" localSheetId="10" hidden="1">{"FCB_ALL",#N/A,FALSE,"FCB"}</definedName>
    <definedName name="zs" localSheetId="15" hidden="1">{"FCB_ALL",#N/A,FALSE,"FCB"}</definedName>
    <definedName name="zs" hidden="1">{"FCB_ALL",#N/A,FALSE,"FCB"}</definedName>
    <definedName name="zscz" localSheetId="10">{#N/A,#N/A,FALSE,"Pooling";#N/A,#N/A,FALSE,"income";#N/A,#N/A,FALSE,"valuation"}</definedName>
    <definedName name="zscz">{#N/A,#N/A,FALSE,"Pooling";#N/A,#N/A,FALSE,"income";#N/A,#N/A,FALSE,"valuation"}</definedName>
    <definedName name="zsd" localSheetId="10" hidden="1">{"'Usagetrac-Tot'!$B$88","'Progtrac~Pricing'!$F$39"}</definedName>
    <definedName name="zsd" hidden="1">{"'Usagetrac-Tot'!$B$88","'Progtrac~Pricing'!$F$39"}</definedName>
    <definedName name="zsdas" localSheetId="10" hidden="1">{"FCB_ALL",#N/A,FALSE,"FCB"}</definedName>
    <definedName name="zsdas" localSheetId="15" hidden="1">{"FCB_ALL",#N/A,FALSE,"FCB"}</definedName>
    <definedName name="zsdas" hidden="1">{"FCB_ALL",#N/A,FALSE,"FCB"}</definedName>
    <definedName name="ZSZ" localSheetId="10">{#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 localSheetId="10" hidden="1">{#N/A,#N/A,FALSE,"DCF Summary";#N/A,#N/A,FALSE,"Casema";#N/A,#N/A,FALSE,"Casema NoTel";#N/A,#N/A,FALSE,"UK";#N/A,#N/A,FALSE,"RCF";#N/A,#N/A,FALSE,"Intercable CZ";#N/A,#N/A,FALSE,"Interkabel P"}</definedName>
    <definedName name="zt" localSheetId="15" hidden="1">{#N/A,#N/A,FALSE,"DCF Summary";#N/A,#N/A,FALSE,"Casema";#N/A,#N/A,FALSE,"Casema NoTel";#N/A,#N/A,FALSE,"UK";#N/A,#N/A,FALSE,"RCF";#N/A,#N/A,FALSE,"Intercable CZ";#N/A,#N/A,FALSE,"Interkabel P"}</definedName>
    <definedName name="zt" hidden="1">{#N/A,#N/A,FALSE,"DCF Summary";#N/A,#N/A,FALSE,"Casema";#N/A,#N/A,FALSE,"Casema NoTel";#N/A,#N/A,FALSE,"UK";#N/A,#N/A,FALSE,"RCF";#N/A,#N/A,FALSE,"Intercable CZ";#N/A,#N/A,FALSE,"Interkabel P"}</definedName>
    <definedName name="zu" localSheetId="10" hidden="1">{#N/A,#N/A,FALSE,"DCF Summary";#N/A,#N/A,FALSE,"Casema";#N/A,#N/A,FALSE,"Casema NoTel";#N/A,#N/A,FALSE,"UK";#N/A,#N/A,FALSE,"RCF";#N/A,#N/A,FALSE,"Intercable CZ";#N/A,#N/A,FALSE,"Interkabel P"}</definedName>
    <definedName name="zu" localSheetId="15" hidden="1">{#N/A,#N/A,FALSE,"DCF Summary";#N/A,#N/A,FALSE,"Casema";#N/A,#N/A,FALSE,"Casema NoTel";#N/A,#N/A,FALSE,"UK";#N/A,#N/A,FALSE,"RCF";#N/A,#N/A,FALSE,"Intercable CZ";#N/A,#N/A,FALSE,"Interkabel P"}</definedName>
    <definedName name="zu" hidden="1">{#N/A,#N/A,FALSE,"DCF Summary";#N/A,#N/A,FALSE,"Casema";#N/A,#N/A,FALSE,"Casema NoTel";#N/A,#N/A,FALSE,"UK";#N/A,#N/A,FALSE,"RCF";#N/A,#N/A,FALSE,"Intercable CZ";#N/A,#N/A,FALSE,"Interkabel P"}</definedName>
    <definedName name="zvcsafg" localSheetId="10" hidden="1">{"product cost",#N/A,FALSE,"P&amp;L STATEMENT"}</definedName>
    <definedName name="zvcsafg" hidden="1">{"product cost",#N/A,FALSE,"P&amp;L STATEMENT"}</definedName>
    <definedName name="zx" localSheetId="10">{#N/A,#N/A,FALSE,"AD_Purchase";#N/A,#N/A,FALSE,"Credit";#N/A,#N/A,FALSE,"PF Acquisition";#N/A,#N/A,FALSE,"PF Offering"}</definedName>
    <definedName name="zx">{#N/A,#N/A,FALSE,"AD_Purchase";#N/A,#N/A,FALSE,"Credit";#N/A,#N/A,FALSE,"PF Acquisition";#N/A,#N/A,FALSE,"PF Offering"}</definedName>
    <definedName name="zxcc" localSheetId="10">{#N/A,#N/A,FALSE,"Projections";#N/A,#N/A,FALSE,"Contribution_Stock";#N/A,#N/A,FALSE,"PF_Combo_Stock";#N/A,#N/A,FALSE,"Projections";#N/A,#N/A,FALSE,"Contribution_Cash";#N/A,#N/A,FALSE,"PF_Combo_Cash";#N/A,#N/A,FALSE,"IPO_Cash"}</definedName>
    <definedName name="zxcc">{#N/A,#N/A,FALSE,"Projections";#N/A,#N/A,FALSE,"Contribution_Stock";#N/A,#N/A,FALSE,"PF_Combo_Stock";#N/A,#N/A,FALSE,"Projections";#N/A,#N/A,FALSE,"Contribution_Cash";#N/A,#N/A,FALSE,"PF_Combo_Cash";#N/A,#N/A,FALSE,"IPO_Cash"}</definedName>
    <definedName name="zxcv" localSheetId="10" hidden="1">#REF!</definedName>
    <definedName name="zxcv" localSheetId="9" hidden="1">#REF!</definedName>
    <definedName name="zxcv" localSheetId="8" hidden="1">#REF!</definedName>
    <definedName name="zxcv" localSheetId="16" hidden="1">#REF!</definedName>
    <definedName name="zxcv" hidden="1">#REF!</definedName>
    <definedName name="zxczz" localSheetId="10" hidden="1">{"FCB_ALL",#N/A,FALSE,"FCB"}</definedName>
    <definedName name="zxczz" localSheetId="15" hidden="1">{"FCB_ALL",#N/A,FALSE,"FCB"}</definedName>
    <definedName name="zxczz" hidden="1">{"FCB_ALL",#N/A,FALSE,"FCB"}</definedName>
    <definedName name="zxzx" localSheetId="10" hidden="1">{"oct_res_comm",#N/A,FALSE,"VarToBud"}</definedName>
    <definedName name="zxzx" hidden="1">{"oct_res_comm",#N/A,FALSE,"VarToBud"}</definedName>
    <definedName name="zz" localSheetId="10" hidden="1">{#N/A,#N/A,FALSE,"Aging Summary";#N/A,#N/A,FALSE,"Ratio Analysis";#N/A,#N/A,FALSE,"Test 120 Day Accts";#N/A,#N/A,FALSE,"Tickmarks"}</definedName>
    <definedName name="zz" localSheetId="15" hidden="1">{#N/A,#N/A,FALSE,"Aging Summary";#N/A,#N/A,FALSE,"Ratio Analysis";#N/A,#N/A,FALSE,"Test 120 Day Accts";#N/A,#N/A,FALSE,"Tickmarks"}</definedName>
    <definedName name="zz" hidden="1">{#N/A,#N/A,FALSE,"Aging Summary";#N/A,#N/A,FALSE,"Ratio Analysis";#N/A,#N/A,FALSE,"Test 120 Day Accts";#N/A,#N/A,FALSE,"Tickmarks"}</definedName>
    <definedName name="ZZ_EVCOMOPTS" hidden="1">10</definedName>
    <definedName name="zza4pg" localSheetId="10">{#N/A,#N/A,FALSE,"REPORT"}</definedName>
    <definedName name="zza4pg">{#N/A,#N/A,FALSE,"REPORT"}</definedName>
    <definedName name="zzaxz" localSheetId="10" hidden="1">{"detail",#N/A,FALSE,"mfg";"summary",#N/A,FALSE,"mfg"}</definedName>
    <definedName name="zzaxz" hidden="1">{"detail",#N/A,FALSE,"mfg";"summary",#N/A,FALSE,"mfg"}</definedName>
    <definedName name="zzee" localSheetId="10">{#N/A,#N/A,FALSE,"Pharm";#N/A,#N/A,FALSE,"WWCM"}</definedName>
    <definedName name="zzee">{#N/A,#N/A,FALSE,"Pharm";#N/A,#N/A,FALSE,"WWCM"}</definedName>
    <definedName name="zzi.7" localSheetId="1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localSheetId="10"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op_1" localSheetId="10" hidden="1">{#N/A,#N/A,FALSE,"Title";#N/A,#N/A,FALSE,"Index";#N/A,#N/A,FALSE,"1";#N/A,#N/A,FALSE,"2";#N/A,#N/A,FALSE,"3";#N/A,#N/A,FALSE,"4";#N/A,#N/A,FALSE,"5";#N/A,#N/A,FALSE,"5A";#N/A,#N/A,FALSE,"6";#N/A,#N/A,FALSE,"7";#N/A,#N/A,FALSE,"8"}</definedName>
    <definedName name="zzop_1" hidden="1">{#N/A,#N/A,FALSE,"Title";#N/A,#N/A,FALSE,"Index";#N/A,#N/A,FALSE,"1";#N/A,#N/A,FALSE,"2";#N/A,#N/A,FALSE,"3";#N/A,#N/A,FALSE,"4";#N/A,#N/A,FALSE,"5";#N/A,#N/A,FALSE,"5A";#N/A,#N/A,FALSE,"6";#N/A,#N/A,FALSE,"7";#N/A,#N/A,FALSE,"8"}</definedName>
    <definedName name="ZZZ" localSheetId="10" hidden="1">{#N/A,#N/A,FALSE,"Est97";#N/A,#N/A,FALSE,"Plan98";#N/A,#N/A,FALSE,"Graphs";#N/A,#N/A,FALSE,"5Yr"}</definedName>
    <definedName name="ZZZ" localSheetId="15" hidden="1">{#N/A,#N/A,FALSE,"Est97";#N/A,#N/A,FALSE,"Plan98";#N/A,#N/A,FALSE,"Graphs";#N/A,#N/A,FALSE,"5Yr"}</definedName>
    <definedName name="ZZZ" hidden="1">{#N/A,#N/A,FALSE,"Est97";#N/A,#N/A,FALSE,"Plan98";#N/A,#N/A,FALSE,"Graphs";#N/A,#N/A,FALSE,"5Yr"}</definedName>
    <definedName name="zzz.com" localSheetId="10" hidden="1">{#N/A,#N/A,FALSE,"Title Page";#N/A,#N/A,FALSE,"Conclusions";#N/A,#N/A,FALSE,"Assum.";#N/A,#N/A,FALSE,"Sun  DCF-WC-Dep";#N/A,#N/A,FALSE,"MarketValue";#N/A,#N/A,FALSE,"BalSheet";#N/A,#N/A,FALSE,"WACC";#N/A,#N/A,FALSE,"PC+ Info.";#N/A,#N/A,FALSE,"PC+Info_2"}</definedName>
    <definedName name="zzz.com">#REF!</definedName>
    <definedName name="zzz.vsvsvsvs" localSheetId="10">{"Commish",#N/A,FALSE,"LAWTC"}</definedName>
    <definedName name="zzz.vsvsvsvs">{"Commish",#N/A,FALSE,"LAWTC"}</definedName>
    <definedName name="zzz.xlt" localSheetId="10">{"COM",#N/A,FALSE,"800 10th"}</definedName>
    <definedName name="zzz.xlt">{"COM",#N/A,FALSE,"800 10th"}</definedName>
    <definedName name="zzz.zzzzz." localSheetId="10">{"Commish",#N/A,FALSE,"LAWTC"}</definedName>
    <definedName name="zzz.zzzzz.">{"Commish",#N/A,FALSE,"LAWTC"}</definedName>
    <definedName name="zzzz" localSheetId="10">{"Commish",#N/A,FALSE,"LAWTC"}</definedName>
    <definedName name="zzzz">{"Commish",#N/A,FALSE,"LAWTC"}</definedName>
    <definedName name="zzzz." localSheetId="10">{"Commish",#N/A,FALSE,"LAWTC"}</definedName>
    <definedName name="zzzz.">{"Commish",#N/A,FALSE,"LAWTC"}</definedName>
    <definedName name="zzzzz" localSheetId="10">{#N/A,#N/A,FALSE,"REPORT"}</definedName>
    <definedName name="zzzzz">{#N/A,#N/A,FALSE,"REPORT"}</definedName>
    <definedName name="אאא" localSheetId="10" hidden="1">{#N/A,#N/A,FALSE,"מאזן בוחן";"כל_מאזן_בוחן",#N/A,FALSE,"מאזן בוחן"}</definedName>
    <definedName name="אאא" hidden="1">{#N/A,#N/A,FALSE,"מאזן בוחן";"כל_מאזן_בוחן",#N/A,FALSE,"מאזן בוחן"}</definedName>
    <definedName name="אאא_1" localSheetId="10" hidden="1">{#N/A,#N/A,FALSE,"מאזן בוחן";"כל_מאזן_בוחן",#N/A,FALSE,"מאזן בוחן"}</definedName>
    <definedName name="אאא_1" hidden="1">{#N/A,#N/A,FALSE,"מאזן בוחן";"כל_מאזן_בוחן",#N/A,FALSE,"מאזן בוחן"}</definedName>
    <definedName name="בככ"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고" localSheetId="10">{#N/A,#N/A,FALSE,"REPORT"}</definedName>
    <definedName name="고">{#N/A,#N/A,FALSE,"REPORT"}</definedName>
    <definedName name="ㄶㅇ노ㅗㄶ호" localSheetId="10">{#N/A,#N/A,FALSE,"REPORT"}</definedName>
    <definedName name="ㄶㅇ노ㅗㄶ호">{#N/A,#N/A,FALSE,"REPORT"}</definedName>
    <definedName name="미애" localSheetId="10">{#N/A,#N/A,FALSE,"REPORT"}</definedName>
    <definedName name="미애">{#N/A,#N/A,FALSE,"REPORT"}</definedName>
    <definedName name="ㅂㅁ" localSheetId="10" hidden="1">{#N/A,"PURCHM",FALSE,"Business Analysis";#N/A,"SPADD",FALSE,"Business Analysis"}</definedName>
    <definedName name="ㅂㅁ" hidden="1">{#N/A,"PURCHM",FALSE,"Business Analysis";#N/A,"SPADD",FALSE,"Business Analysis"}</definedName>
    <definedName name="이" localSheetId="10"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 name="啊啊啊" localSheetId="10" hidden="1">{#N/A,#N/A,FALSE,"COP CONS SK";#N/A,#N/A,FALSE,"COP CONS RG";#N/A,#N/A,FALSE,"COP CONS SK BC";#N/A,#N/A,FALSE,"COP CONS RG BC";#N/A,#N/A,FALSE,"ALLIANCE SK";#N/A,#N/A,FALSE,"ALLIANCE RG";#N/A,#N/A,FALSE,"CPC SK";#N/A,#N/A,FALSE,"CPC RG"}</definedName>
    <definedName name="啊啊啊" hidden="1">{#N/A,#N/A,FALSE,"COP CONS SK";#N/A,#N/A,FALSE,"COP CONS RG";#N/A,#N/A,FALSE,"COP CONS SK BC";#N/A,#N/A,FALSE,"COP CONS RG BC";#N/A,#N/A,FALSE,"ALLIANCE SK";#N/A,#N/A,FALSE,"ALLIANCE RG";#N/A,#N/A,FALSE,"CPC SK";#N/A,#N/A,FALSE,"CPC RG"}</definedName>
    <definedName name="奥俄" localSheetId="10" hidden="1">{#N/A,#N/A,FALSE,"EHMD SK";#N/A,#N/A,FALSE,"EHMD RG"}</definedName>
    <definedName name="奥俄" hidden="1">{#N/A,#N/A,FALSE,"EHMD SK";#N/A,#N/A,FALSE,"EHMD RG"}</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R77" i="143"/>
  <c r="AQ77"/>
  <c r="AP77"/>
  <c r="AO77"/>
  <c r="AN77"/>
  <c r="AM77"/>
  <c r="AL77"/>
  <c r="AR76"/>
  <c r="AQ76"/>
  <c r="AP76"/>
  <c r="AO76"/>
  <c r="AN76"/>
  <c r="AM76"/>
  <c r="AL76"/>
  <c r="AR75"/>
  <c r="AQ75"/>
  <c r="AP75"/>
  <c r="AO75"/>
  <c r="AN75"/>
  <c r="AM75"/>
  <c r="AL75"/>
  <c r="AR72"/>
  <c r="AQ72"/>
  <c r="AP72"/>
  <c r="AO72"/>
  <c r="AN72"/>
  <c r="AM72"/>
  <c r="AL72"/>
  <c r="AR65"/>
  <c r="AQ65"/>
  <c r="AP65"/>
  <c r="AO65"/>
  <c r="AN65"/>
  <c r="AM65"/>
  <c r="AL65"/>
  <c r="AR54"/>
  <c r="AR66" s="1"/>
  <c r="AQ54"/>
  <c r="AP54"/>
  <c r="AO54"/>
  <c r="AN54"/>
  <c r="AM54"/>
  <c r="AL54"/>
  <c r="AR47"/>
  <c r="AQ47"/>
  <c r="AP47"/>
  <c r="AO47"/>
  <c r="AN47"/>
  <c r="AM47"/>
  <c r="AL47"/>
  <c r="AR41"/>
  <c r="AQ41"/>
  <c r="AP41"/>
  <c r="AO41"/>
  <c r="AN41"/>
  <c r="AM41"/>
  <c r="AL41"/>
  <c r="AR35"/>
  <c r="AQ35"/>
  <c r="AP35"/>
  <c r="AO35"/>
  <c r="AN35"/>
  <c r="AM35"/>
  <c r="AL35"/>
  <c r="AR31"/>
  <c r="AQ31"/>
  <c r="AP31"/>
  <c r="AO31"/>
  <c r="AN31"/>
  <c r="AM31"/>
  <c r="AL31"/>
  <c r="AM24"/>
  <c r="AL24"/>
  <c r="AR23"/>
  <c r="AQ23"/>
  <c r="AP23"/>
  <c r="AO23"/>
  <c r="AN23"/>
  <c r="AM23"/>
  <c r="AL23"/>
  <c r="AR15"/>
  <c r="AQ15"/>
  <c r="AQ24" s="1"/>
  <c r="AP15"/>
  <c r="AP24" s="1"/>
  <c r="AO15"/>
  <c r="AN15"/>
  <c r="AN16" s="1"/>
  <c r="AM15"/>
  <c r="AL15"/>
  <c r="AF49" i="101"/>
  <c r="AG49" s="1"/>
  <c r="AH49" s="1"/>
  <c r="AI49" s="1"/>
  <c r="AJ49" s="1"/>
  <c r="AK49" s="1"/>
  <c r="AL49" s="1"/>
  <c r="AM49" s="1"/>
  <c r="H49"/>
  <c r="I49" s="1"/>
  <c r="J49" s="1"/>
  <c r="K49"/>
  <c r="L49"/>
  <c r="M49"/>
  <c r="N49"/>
  <c r="O49" s="1"/>
  <c r="P49" s="1"/>
  <c r="Q49" s="1"/>
  <c r="R49" s="1"/>
  <c r="S49" s="1"/>
  <c r="T49" s="1"/>
  <c r="U49" s="1"/>
  <c r="V49" s="1"/>
  <c r="W49" s="1"/>
  <c r="X49" s="1"/>
  <c r="Y49" s="1"/>
  <c r="Z49" s="1"/>
  <c r="AA49" s="1"/>
  <c r="AB49" s="1"/>
  <c r="AC49" s="1"/>
  <c r="AD49" s="1"/>
  <c r="AE49" s="1"/>
  <c r="AF49" i="100"/>
  <c r="AG49" s="1"/>
  <c r="AH49" s="1"/>
  <c r="AI49" s="1"/>
  <c r="AJ49" s="1"/>
  <c r="AK49" s="1"/>
  <c r="AL49" s="1"/>
  <c r="AM49" s="1"/>
  <c r="AM42"/>
  <c r="AL42"/>
  <c r="AK42"/>
  <c r="AJ42"/>
  <c r="AJ42" i="101" s="1"/>
  <c r="AI42" i="100"/>
  <c r="AH42"/>
  <c r="AG42"/>
  <c r="AG42" i="101" s="1"/>
  <c r="AF42" i="100"/>
  <c r="AF42" i="101" s="1"/>
  <c r="AM41" i="100"/>
  <c r="AM41" i="101" s="1"/>
  <c r="AL41" i="100"/>
  <c r="AL41" i="101" s="1"/>
  <c r="AK41" i="100"/>
  <c r="AK41" i="101" s="1"/>
  <c r="AJ41" i="100"/>
  <c r="AJ41" i="101" s="1"/>
  <c r="AI41" i="100"/>
  <c r="AH41"/>
  <c r="AG41"/>
  <c r="AG41" i="101" s="1"/>
  <c r="AF41" i="100"/>
  <c r="AM40"/>
  <c r="AL40"/>
  <c r="AK40"/>
  <c r="AK40" i="101" s="1"/>
  <c r="AJ40" i="100"/>
  <c r="AJ40" i="101" s="1"/>
  <c r="AI40" i="100"/>
  <c r="AH40"/>
  <c r="AG40"/>
  <c r="AG40" i="101" s="1"/>
  <c r="AF40" i="100"/>
  <c r="AM39"/>
  <c r="AM39" i="101" s="1"/>
  <c r="AL39" i="100"/>
  <c r="AL39" i="101" s="1"/>
  <c r="AK39" i="100"/>
  <c r="AJ39"/>
  <c r="AJ39" i="101" s="1"/>
  <c r="AI39" i="100"/>
  <c r="AH39"/>
  <c r="AG39"/>
  <c r="AF39"/>
  <c r="AF39" i="101" s="1"/>
  <c r="AM38" i="100"/>
  <c r="AM38" i="101" s="1"/>
  <c r="AL38" i="100"/>
  <c r="AL38" i="101" s="1"/>
  <c r="AK38" i="100"/>
  <c r="AK38" i="101" s="1"/>
  <c r="AJ38" i="100"/>
  <c r="AJ38" i="101" s="1"/>
  <c r="AI38" i="100"/>
  <c r="AH38"/>
  <c r="AG38"/>
  <c r="AF38"/>
  <c r="AM37"/>
  <c r="AL37"/>
  <c r="AK37"/>
  <c r="AJ37"/>
  <c r="AJ37" i="101" s="1"/>
  <c r="AI37" i="100"/>
  <c r="AH37"/>
  <c r="AG37"/>
  <c r="AF37"/>
  <c r="AF37" i="101" s="1"/>
  <c r="AM36" i="100"/>
  <c r="AM36" i="101" s="1"/>
  <c r="AL36" i="100"/>
  <c r="AL36" i="101" s="1"/>
  <c r="AK36" i="100"/>
  <c r="AK36" i="101" s="1"/>
  <c r="AJ36" i="100"/>
  <c r="AJ36" i="101" s="1"/>
  <c r="AI36" i="100"/>
  <c r="AH36"/>
  <c r="AG36"/>
  <c r="AG36" i="101" s="1"/>
  <c r="AF36" i="100"/>
  <c r="AM35"/>
  <c r="AL35"/>
  <c r="AL35" i="101" s="1"/>
  <c r="AK35" i="100"/>
  <c r="AK35" i="101" s="1"/>
  <c r="AJ35" i="100"/>
  <c r="AJ35" i="101" s="1"/>
  <c r="AI35" i="100"/>
  <c r="AH35"/>
  <c r="AG35"/>
  <c r="AF35"/>
  <c r="AM34"/>
  <c r="AM34" i="101" s="1"/>
  <c r="AL34" i="100"/>
  <c r="AK34"/>
  <c r="AJ34"/>
  <c r="AJ34" i="101" s="1"/>
  <c r="AI34" i="100"/>
  <c r="AH34"/>
  <c r="AG34"/>
  <c r="AF34"/>
  <c r="AF34" i="101" s="1"/>
  <c r="AM33" i="100"/>
  <c r="AM33" i="101" s="1"/>
  <c r="AL33" i="100"/>
  <c r="AL33" i="101" s="1"/>
  <c r="AK33" i="100"/>
  <c r="AK33" i="101" s="1"/>
  <c r="AJ33" i="100"/>
  <c r="AJ33" i="101" s="1"/>
  <c r="AI33" i="100"/>
  <c r="AH33"/>
  <c r="AG33"/>
  <c r="AG33" i="101" s="1"/>
  <c r="AF33" i="100"/>
  <c r="AF33" i="101" s="1"/>
  <c r="AM32" i="100"/>
  <c r="AL32"/>
  <c r="AK32"/>
  <c r="AK32" i="101" s="1"/>
  <c r="AJ32" i="100"/>
  <c r="AJ32" i="101" s="1"/>
  <c r="AI32" i="100"/>
  <c r="AH32"/>
  <c r="AG32"/>
  <c r="AG32" i="101" s="1"/>
  <c r="AF32" i="100"/>
  <c r="AF32" i="101" s="1"/>
  <c r="AM31" i="100"/>
  <c r="AM31" i="101" s="1"/>
  <c r="AL31" i="100"/>
  <c r="AL31" i="101" s="1"/>
  <c r="AK31" i="100"/>
  <c r="AJ31"/>
  <c r="AJ31" i="101" s="1"/>
  <c r="AI31" i="100"/>
  <c r="AH31"/>
  <c r="AG31"/>
  <c r="AF31"/>
  <c r="AF31" i="101" s="1"/>
  <c r="AM30" i="100"/>
  <c r="AM30" i="101" s="1"/>
  <c r="AL30" i="100"/>
  <c r="AL30" i="101" s="1"/>
  <c r="AK30" i="100"/>
  <c r="AK30" i="101" s="1"/>
  <c r="AJ30" i="100"/>
  <c r="AJ30" i="101" s="1"/>
  <c r="AI30" i="100"/>
  <c r="AH30"/>
  <c r="AG30"/>
  <c r="AF30"/>
  <c r="AM29"/>
  <c r="AL29"/>
  <c r="AK29"/>
  <c r="AJ29"/>
  <c r="AJ29" i="101" s="1"/>
  <c r="AI29" i="100"/>
  <c r="AH29"/>
  <c r="AG29"/>
  <c r="AF29"/>
  <c r="AM28"/>
  <c r="AL28"/>
  <c r="AK28"/>
  <c r="AJ28"/>
  <c r="AJ28" i="101" s="1"/>
  <c r="AI28" i="100"/>
  <c r="AH28"/>
  <c r="AG28"/>
  <c r="AG28" i="101" s="1"/>
  <c r="AF28" i="100"/>
  <c r="AF28" i="101" s="1"/>
  <c r="AM26" i="100"/>
  <c r="AL26"/>
  <c r="AK26"/>
  <c r="AJ26"/>
  <c r="AJ26" i="101" s="1"/>
  <c r="AI26" i="100"/>
  <c r="AH26"/>
  <c r="AG26"/>
  <c r="AG26" i="101" s="1"/>
  <c r="AF26" i="100"/>
  <c r="AF26" i="101" s="1"/>
  <c r="AM24" i="100"/>
  <c r="AL24"/>
  <c r="AK24"/>
  <c r="AJ24"/>
  <c r="AJ24" i="101" s="1"/>
  <c r="AI24" i="100"/>
  <c r="AI24" i="101" s="1"/>
  <c r="AH24" i="100"/>
  <c r="AG24"/>
  <c r="AF24"/>
  <c r="AM23"/>
  <c r="AL23"/>
  <c r="AK23"/>
  <c r="AJ23"/>
  <c r="AJ23" i="101" s="1"/>
  <c r="AI23" i="100"/>
  <c r="AH23"/>
  <c r="AG23"/>
  <c r="AF23"/>
  <c r="AM22"/>
  <c r="AL22"/>
  <c r="AK22"/>
  <c r="AJ22"/>
  <c r="AJ22" i="101" s="1"/>
  <c r="AI22" i="100"/>
  <c r="AI22" i="101" s="1"/>
  <c r="AH22" i="100"/>
  <c r="AH22" i="101" s="1"/>
  <c r="AG22" i="100"/>
  <c r="AG22" i="101" s="1"/>
  <c r="AF22" i="100"/>
  <c r="AF22" i="101" s="1"/>
  <c r="AM21" i="100"/>
  <c r="AL21"/>
  <c r="AK21"/>
  <c r="AJ21"/>
  <c r="AJ21" i="101" s="1"/>
  <c r="AI21" i="100"/>
  <c r="AI21" i="101" s="1"/>
  <c r="AH21" i="100"/>
  <c r="AG21"/>
  <c r="AF21"/>
  <c r="AM19"/>
  <c r="AL19"/>
  <c r="AK19"/>
  <c r="AJ19"/>
  <c r="AI19"/>
  <c r="AH19"/>
  <c r="AG19"/>
  <c r="AF19"/>
  <c r="AM18"/>
  <c r="AL18"/>
  <c r="AK18"/>
  <c r="AJ18"/>
  <c r="AI18"/>
  <c r="AH18"/>
  <c r="AG18"/>
  <c r="AF18"/>
  <c r="AM17"/>
  <c r="AL17"/>
  <c r="AK17"/>
  <c r="AJ17"/>
  <c r="AI17"/>
  <c r="AH17"/>
  <c r="AG17"/>
  <c r="AF17"/>
  <c r="AM15"/>
  <c r="AL15"/>
  <c r="AK15"/>
  <c r="AJ15"/>
  <c r="AJ15" i="101" s="1"/>
  <c r="AI15" i="100"/>
  <c r="AH15"/>
  <c r="AH15" i="101" s="1"/>
  <c r="AG15" i="100"/>
  <c r="AF15"/>
  <c r="AM14"/>
  <c r="AL14"/>
  <c r="AK14"/>
  <c r="AJ14"/>
  <c r="AJ14" i="101" s="1"/>
  <c r="AI14" i="100"/>
  <c r="AI14" i="101" s="1"/>
  <c r="AH14" i="100"/>
  <c r="AG14"/>
  <c r="AF14"/>
  <c r="AM13"/>
  <c r="AL13"/>
  <c r="AK13"/>
  <c r="AJ13"/>
  <c r="AI13"/>
  <c r="AI13" i="101" s="1"/>
  <c r="AH13" i="100"/>
  <c r="AG13"/>
  <c r="AF13"/>
  <c r="AM9"/>
  <c r="AL9"/>
  <c r="AK9"/>
  <c r="AJ9"/>
  <c r="AJ9" i="101" s="1"/>
  <c r="AI9" i="100"/>
  <c r="AH9"/>
  <c r="AH9" i="101" s="1"/>
  <c r="AG9" i="100"/>
  <c r="AF9"/>
  <c r="AM8"/>
  <c r="AM8" i="101" s="1"/>
  <c r="AL8" i="100"/>
  <c r="AK8"/>
  <c r="AK8" i="101" s="1"/>
  <c r="AJ8" i="100"/>
  <c r="AJ8" i="101" s="1"/>
  <c r="AI8" i="100"/>
  <c r="AI8" i="101" s="1"/>
  <c r="AH8" i="100"/>
  <c r="AG8"/>
  <c r="AF8"/>
  <c r="AM7"/>
  <c r="AL7"/>
  <c r="AK7"/>
  <c r="AK7" i="101" s="1"/>
  <c r="AJ7" i="100"/>
  <c r="AJ7" i="101" s="1"/>
  <c r="AI7" i="100"/>
  <c r="AH7"/>
  <c r="AG7"/>
  <c r="AF7"/>
  <c r="AM6"/>
  <c r="AL6"/>
  <c r="AK6"/>
  <c r="AJ6"/>
  <c r="AI6"/>
  <c r="AH6"/>
  <c r="AH50" s="1"/>
  <c r="AG6"/>
  <c r="AG50" s="1"/>
  <c r="AF6"/>
  <c r="AF6" i="101" s="1"/>
  <c r="AG16" i="100" l="1"/>
  <c r="AF82"/>
  <c r="AM27"/>
  <c r="AL27"/>
  <c r="AK27"/>
  <c r="AJ16"/>
  <c r="AJ13" i="101"/>
  <c r="AK28"/>
  <c r="AG70" i="100"/>
  <c r="AL28" i="101"/>
  <c r="AH25" i="100"/>
  <c r="AH69" s="1"/>
  <c r="AN66" i="143"/>
  <c r="AF86" i="100"/>
  <c r="AH16"/>
  <c r="AH60" s="1"/>
  <c r="AG86"/>
  <c r="AL61"/>
  <c r="AL67"/>
  <c r="AF76"/>
  <c r="AO66" i="143"/>
  <c r="AF51" i="100"/>
  <c r="AF77"/>
  <c r="AH21" i="101"/>
  <c r="AM28"/>
  <c r="AP66" i="143"/>
  <c r="AP67" s="1"/>
  <c r="AQ66"/>
  <c r="AF83" i="100"/>
  <c r="AM16" i="143"/>
  <c r="AM25" s="1"/>
  <c r="AN24"/>
  <c r="AN25" s="1"/>
  <c r="AO16"/>
  <c r="AH66" i="100"/>
  <c r="AL66" i="143"/>
  <c r="AR24"/>
  <c r="AK61" i="100"/>
  <c r="AF70"/>
  <c r="AM66" i="143"/>
  <c r="AM73" s="1"/>
  <c r="AN67"/>
  <c r="AN73"/>
  <c r="AO67"/>
  <c r="AQ73"/>
  <c r="AL73"/>
  <c r="AQ16"/>
  <c r="AQ25" s="1"/>
  <c r="AH68" i="100"/>
  <c r="AO24" i="143"/>
  <c r="AR73"/>
  <c r="AP16"/>
  <c r="AP25" s="1"/>
  <c r="AG82" i="100"/>
  <c r="AH53"/>
  <c r="AH24" i="101"/>
  <c r="AR16" i="143"/>
  <c r="AR67" s="1"/>
  <c r="AG62" i="100"/>
  <c r="AG76"/>
  <c r="AG66"/>
  <c r="AH6" i="101"/>
  <c r="AH53" s="1"/>
  <c r="AF9"/>
  <c r="AF53" i="100"/>
  <c r="AF11"/>
  <c r="AF55" s="1"/>
  <c r="AK59"/>
  <c r="AK15" i="101"/>
  <c r="AF30"/>
  <c r="AF74" i="100"/>
  <c r="AF41" i="101"/>
  <c r="AF85" i="100"/>
  <c r="AG10"/>
  <c r="AG54" s="1"/>
  <c r="AG7" i="101"/>
  <c r="AG53" i="100"/>
  <c r="AG9" i="101"/>
  <c r="AG11" i="100"/>
  <c r="AG55" s="1"/>
  <c r="AL58"/>
  <c r="AL14" i="101"/>
  <c r="AL65" i="100"/>
  <c r="AL21" i="101"/>
  <c r="AG74" i="100"/>
  <c r="AG75"/>
  <c r="AG31" i="101"/>
  <c r="AG77" i="100"/>
  <c r="AG34" i="101"/>
  <c r="AG78" i="100"/>
  <c r="AG79"/>
  <c r="AG81"/>
  <c r="AG37" i="101"/>
  <c r="AF50" i="100"/>
  <c r="AF57"/>
  <c r="AG80"/>
  <c r="AL23" i="101"/>
  <c r="AF38"/>
  <c r="AH10" i="100"/>
  <c r="AH54" s="1"/>
  <c r="AH7" i="101"/>
  <c r="AH52" i="100"/>
  <c r="AH8" i="101"/>
  <c r="AH11" i="100"/>
  <c r="AH55" s="1"/>
  <c r="AM57"/>
  <c r="AM13" i="101"/>
  <c r="AM58" i="100"/>
  <c r="AM14" i="101"/>
  <c r="AM59" i="100"/>
  <c r="AM15" i="101"/>
  <c r="AM61" i="100"/>
  <c r="AM62"/>
  <c r="AM63"/>
  <c r="AM65"/>
  <c r="AM21" i="101"/>
  <c r="AM66" i="100"/>
  <c r="AM22" i="101"/>
  <c r="AM67" i="100"/>
  <c r="AM23" i="101"/>
  <c r="AM68" i="100"/>
  <c r="AM24" i="101"/>
  <c r="AM70" i="100"/>
  <c r="AM26" i="101"/>
  <c r="AH72" i="100"/>
  <c r="AH28" i="101"/>
  <c r="AH73" i="100"/>
  <c r="AH29" i="101"/>
  <c r="AH74" i="100"/>
  <c r="AH30" i="101"/>
  <c r="AH75" i="100"/>
  <c r="AH31" i="101"/>
  <c r="AH76" i="100"/>
  <c r="AH32" i="101"/>
  <c r="AH77" i="100"/>
  <c r="AH33" i="101"/>
  <c r="AH78" i="100"/>
  <c r="AH34" i="101"/>
  <c r="AH79" i="100"/>
  <c r="AH35" i="101"/>
  <c r="AH80" i="100"/>
  <c r="AH36" i="101"/>
  <c r="AH81" i="100"/>
  <c r="AH37" i="101"/>
  <c r="AH82" i="100"/>
  <c r="AH38" i="101"/>
  <c r="AH83" i="100"/>
  <c r="AH39" i="101"/>
  <c r="AH84" i="100"/>
  <c r="AH40" i="101"/>
  <c r="AH85" i="100"/>
  <c r="AH41" i="101"/>
  <c r="AH86" i="100"/>
  <c r="AH42" i="101"/>
  <c r="AF72" i="100"/>
  <c r="AF81"/>
  <c r="AG30" i="101"/>
  <c r="AG38"/>
  <c r="AF8"/>
  <c r="AF52" s="1"/>
  <c r="AF52" i="100"/>
  <c r="AK58"/>
  <c r="AK14" i="101"/>
  <c r="AK62" i="100"/>
  <c r="AK65"/>
  <c r="AK21" i="101"/>
  <c r="AF36"/>
  <c r="AF80" i="100"/>
  <c r="AF78"/>
  <c r="AG52"/>
  <c r="AG8" i="101"/>
  <c r="AL57" i="100"/>
  <c r="AL13" i="101"/>
  <c r="AL59" i="100"/>
  <c r="AL15" i="101"/>
  <c r="AL62" i="100"/>
  <c r="AL63"/>
  <c r="AL66"/>
  <c r="AL22" i="101"/>
  <c r="AL68" i="100"/>
  <c r="AL24" i="101"/>
  <c r="AL70" i="100"/>
  <c r="AL26" i="101"/>
  <c r="AG73" i="100"/>
  <c r="AG29" i="101"/>
  <c r="AG83" i="100"/>
  <c r="AG39" i="101"/>
  <c r="AG84" i="100"/>
  <c r="AG85"/>
  <c r="AI50"/>
  <c r="AI6" i="101"/>
  <c r="AI10" i="100"/>
  <c r="AI54" s="1"/>
  <c r="AI7" i="101"/>
  <c r="AI52" i="100"/>
  <c r="AI53"/>
  <c r="AI9" i="101"/>
  <c r="AF16" i="100"/>
  <c r="AF14" i="101"/>
  <c r="AF58" s="1"/>
  <c r="AF58" i="100"/>
  <c r="AF15" i="101"/>
  <c r="AF59" s="1"/>
  <c r="AF59" i="100"/>
  <c r="AF61"/>
  <c r="AF62"/>
  <c r="AF63"/>
  <c r="AF25"/>
  <c r="AF69" s="1"/>
  <c r="AF21" i="101"/>
  <c r="AF66"/>
  <c r="AF67" i="100"/>
  <c r="AF23" i="101"/>
  <c r="AF67" s="1"/>
  <c r="AF24"/>
  <c r="AF68" s="1"/>
  <c r="AF68" i="100"/>
  <c r="AF27"/>
  <c r="AF71" s="1"/>
  <c r="AI72"/>
  <c r="AI28" i="101"/>
  <c r="AI73" i="100"/>
  <c r="AI29" i="101"/>
  <c r="AI74" i="100"/>
  <c r="AI30" i="101"/>
  <c r="AI75" i="100"/>
  <c r="AI31" i="101"/>
  <c r="AI76" i="100"/>
  <c r="AI32" i="101"/>
  <c r="AI77" i="100"/>
  <c r="AI33" i="101"/>
  <c r="AI78" i="100"/>
  <c r="AI34" i="101"/>
  <c r="AI79" i="100"/>
  <c r="AI35" i="101"/>
  <c r="AI80" i="100"/>
  <c r="AI36" i="101"/>
  <c r="AI81" i="100"/>
  <c r="AI37" i="101"/>
  <c r="AI82" i="100"/>
  <c r="AI38" i="101"/>
  <c r="AI83" i="100"/>
  <c r="AI39" i="101"/>
  <c r="AI84" i="100"/>
  <c r="AI40" i="101"/>
  <c r="AI85" i="100"/>
  <c r="AI41" i="101"/>
  <c r="AI86" i="100"/>
  <c r="AI42" i="101"/>
  <c r="AG51" i="100"/>
  <c r="AH62"/>
  <c r="AG72"/>
  <c r="AF10"/>
  <c r="AF54" s="1"/>
  <c r="AF7" i="101"/>
  <c r="AK57" i="100"/>
  <c r="AK13" i="101"/>
  <c r="AK63" i="100"/>
  <c r="AK19" i="101"/>
  <c r="AK66" i="100"/>
  <c r="AK22" i="101"/>
  <c r="AK67" i="100"/>
  <c r="AK23" i="101"/>
  <c r="AK68" i="100"/>
  <c r="AK24" i="101"/>
  <c r="AK70" i="100"/>
  <c r="AK26" i="101"/>
  <c r="AF29"/>
  <c r="AF73" i="100"/>
  <c r="AF35" i="101"/>
  <c r="AF79" i="100"/>
  <c r="AF40" i="101"/>
  <c r="AF84" i="100"/>
  <c r="AJ50"/>
  <c r="AJ6" i="101"/>
  <c r="AJ57" s="1"/>
  <c r="AG58" i="100"/>
  <c r="AG14" i="101"/>
  <c r="AG59" i="100"/>
  <c r="AG15" i="101"/>
  <c r="AG61" i="100"/>
  <c r="AG63"/>
  <c r="AG65"/>
  <c r="AG21" i="101"/>
  <c r="AG67" i="100"/>
  <c r="AG23" i="101"/>
  <c r="AG24"/>
  <c r="AG68" i="100"/>
  <c r="AG27"/>
  <c r="AG71" s="1"/>
  <c r="AJ27" i="101"/>
  <c r="AH51" i="100"/>
  <c r="AF66"/>
  <c r="AF75"/>
  <c r="AG6" i="101"/>
  <c r="AG66" s="1"/>
  <c r="AG35"/>
  <c r="AK50" i="100"/>
  <c r="AK6" i="101"/>
  <c r="AK51" s="1"/>
  <c r="AK51" i="100"/>
  <c r="AK52"/>
  <c r="AK53"/>
  <c r="AH58"/>
  <c r="AH14" i="101"/>
  <c r="AH59" i="100"/>
  <c r="AH61"/>
  <c r="AH63"/>
  <c r="AH67"/>
  <c r="AH70"/>
  <c r="AH26" i="101"/>
  <c r="AK71" i="100"/>
  <c r="AK72"/>
  <c r="AK73"/>
  <c r="AK29" i="101"/>
  <c r="AK74" i="100"/>
  <c r="AK75"/>
  <c r="AK31" i="101"/>
  <c r="AK76" i="100"/>
  <c r="AK77"/>
  <c r="AK78"/>
  <c r="AK34" i="101"/>
  <c r="AK79" i="100"/>
  <c r="AK80"/>
  <c r="AK81"/>
  <c r="AK37" i="101"/>
  <c r="AK82" i="100"/>
  <c r="AK83"/>
  <c r="AK39" i="101"/>
  <c r="AK84" i="100"/>
  <c r="AK85"/>
  <c r="AK86"/>
  <c r="AK42" i="101"/>
  <c r="AL50" i="100"/>
  <c r="AL6" i="101"/>
  <c r="AL85" s="1"/>
  <c r="AL51" i="100"/>
  <c r="AL7" i="101"/>
  <c r="AL52" i="100"/>
  <c r="AL8" i="101"/>
  <c r="AL53" i="100"/>
  <c r="AL9" i="101"/>
  <c r="AI57" i="100"/>
  <c r="AI58"/>
  <c r="AI59"/>
  <c r="AI15" i="101"/>
  <c r="AI16" s="1"/>
  <c r="AI61" i="100"/>
  <c r="AI63"/>
  <c r="AI65"/>
  <c r="AI67"/>
  <c r="AI23" i="101"/>
  <c r="AI25" s="1"/>
  <c r="AI70" i="100"/>
  <c r="AI26" i="101"/>
  <c r="AL71" i="100"/>
  <c r="AL72"/>
  <c r="AL73"/>
  <c r="AL29" i="101"/>
  <c r="AL74" i="100"/>
  <c r="AL75"/>
  <c r="AL76"/>
  <c r="AL32" i="101"/>
  <c r="AL77" i="100"/>
  <c r="AL78"/>
  <c r="AL34" i="101"/>
  <c r="AL79" i="100"/>
  <c r="AL80"/>
  <c r="AL81"/>
  <c r="AL37" i="101"/>
  <c r="AL82" i="100"/>
  <c r="AL83"/>
  <c r="AL84"/>
  <c r="AL40" i="101"/>
  <c r="AL85" i="100"/>
  <c r="AL86"/>
  <c r="AL42" i="101"/>
  <c r="AM50" i="100"/>
  <c r="AM6" i="101"/>
  <c r="AM75" s="1"/>
  <c r="AM51" i="100"/>
  <c r="AM7" i="101"/>
  <c r="AM52" i="100"/>
  <c r="AM53"/>
  <c r="AM9" i="101"/>
  <c r="AJ61" i="100"/>
  <c r="AJ62"/>
  <c r="AJ63"/>
  <c r="AJ19" i="101"/>
  <c r="AM71" i="100"/>
  <c r="AM72"/>
  <c r="AM73"/>
  <c r="AM29" i="101"/>
  <c r="AM74" i="100"/>
  <c r="AM75"/>
  <c r="AM76"/>
  <c r="AM32" i="101"/>
  <c r="AM77" i="100"/>
  <c r="AM78"/>
  <c r="AM79"/>
  <c r="AM35" i="101"/>
  <c r="AM80" i="100"/>
  <c r="AM81"/>
  <c r="AM37" i="101"/>
  <c r="AM82" i="100"/>
  <c r="AM83"/>
  <c r="AM84"/>
  <c r="AM40" i="101"/>
  <c r="AM85" i="100"/>
  <c r="AM86"/>
  <c r="AM42" i="101"/>
  <c r="AK9"/>
  <c r="AH23"/>
  <c r="AF70"/>
  <c r="AF50"/>
  <c r="AF75"/>
  <c r="AF83"/>
  <c r="AF72"/>
  <c r="AF76"/>
  <c r="AF77"/>
  <c r="AF78"/>
  <c r="AF81"/>
  <c r="AF86"/>
  <c r="AJ10"/>
  <c r="AJ16"/>
  <c r="AJ25"/>
  <c r="AJ60" i="100"/>
  <c r="AJ20"/>
  <c r="AJ64" s="1"/>
  <c r="AG60"/>
  <c r="AG20"/>
  <c r="AG64" s="1"/>
  <c r="AJ52"/>
  <c r="AG25"/>
  <c r="AG69" s="1"/>
  <c r="AJ73"/>
  <c r="AJ76"/>
  <c r="AJ79"/>
  <c r="AJ82"/>
  <c r="AJ86"/>
  <c r="AJ59"/>
  <c r="AI25"/>
  <c r="AI69" s="1"/>
  <c r="AF65"/>
  <c r="AI11"/>
  <c r="AJ65"/>
  <c r="AJ66"/>
  <c r="AJ67"/>
  <c r="AJ68"/>
  <c r="AJ25"/>
  <c r="AJ69" s="1"/>
  <c r="AG57"/>
  <c r="AJ53"/>
  <c r="AI27"/>
  <c r="AI71" s="1"/>
  <c r="AI16"/>
  <c r="AJ72"/>
  <c r="AJ75"/>
  <c r="AJ80"/>
  <c r="AJ84"/>
  <c r="AJ58"/>
  <c r="AI51"/>
  <c r="AI62"/>
  <c r="AI68"/>
  <c r="AJ11"/>
  <c r="AH57"/>
  <c r="AH65"/>
  <c r="AH27"/>
  <c r="AH71" s="1"/>
  <c r="AJ51"/>
  <c r="AJ10"/>
  <c r="AJ54" s="1"/>
  <c r="AJ70"/>
  <c r="AJ27"/>
  <c r="AJ71" s="1"/>
  <c r="AJ74"/>
  <c r="AJ77"/>
  <c r="AJ78"/>
  <c r="AJ81"/>
  <c r="AJ83"/>
  <c r="AJ85"/>
  <c r="AJ57"/>
  <c r="AI66"/>
  <c r="AK10"/>
  <c r="AK54" s="1"/>
  <c r="AK11"/>
  <c r="AK16"/>
  <c r="AK25"/>
  <c r="AK69" s="1"/>
  <c r="AL10"/>
  <c r="AL54" s="1"/>
  <c r="AL11"/>
  <c r="AL16"/>
  <c r="AL25"/>
  <c r="AL69" s="1"/>
  <c r="AM10"/>
  <c r="AM54" s="1"/>
  <c r="AM11"/>
  <c r="AM16"/>
  <c r="AM25"/>
  <c r="AM69" s="1"/>
  <c r="AN91" i="55"/>
  <c r="AM91"/>
  <c r="AL91"/>
  <c r="AK91"/>
  <c r="AN83"/>
  <c r="AM83"/>
  <c r="AL83"/>
  <c r="AK83"/>
  <c r="AN77"/>
  <c r="AM77"/>
  <c r="AL77"/>
  <c r="AK77"/>
  <c r="AN70"/>
  <c r="AM70"/>
  <c r="AL70"/>
  <c r="AK70"/>
  <c r="AN57"/>
  <c r="AM57"/>
  <c r="AL57"/>
  <c r="AK57"/>
  <c r="AN46"/>
  <c r="AM46"/>
  <c r="AL46"/>
  <c r="AK46"/>
  <c r="AN39"/>
  <c r="AM18" i="101" s="1"/>
  <c r="AK39" i="55"/>
  <c r="AJ18" i="101" s="1"/>
  <c r="AN40" i="55"/>
  <c r="AM19" i="101" s="1"/>
  <c r="AM40" i="55"/>
  <c r="AL19" i="101" s="1"/>
  <c r="AL40" i="55"/>
  <c r="AK40"/>
  <c r="AN22"/>
  <c r="AM22"/>
  <c r="AL22"/>
  <c r="AK22"/>
  <c r="AK16"/>
  <c r="AP25" i="50"/>
  <c r="AO25"/>
  <c r="AN25"/>
  <c r="AM25"/>
  <c r="AP24"/>
  <c r="AO24"/>
  <c r="AN24"/>
  <c r="AM24"/>
  <c r="AP23"/>
  <c r="AO23"/>
  <c r="AN23"/>
  <c r="AM23"/>
  <c r="AP22"/>
  <c r="AO22"/>
  <c r="AN22"/>
  <c r="AM22"/>
  <c r="AP21"/>
  <c r="AO21"/>
  <c r="AN21"/>
  <c r="AM21"/>
  <c r="AP20"/>
  <c r="AO20"/>
  <c r="AN20"/>
  <c r="AM20"/>
  <c r="AP19"/>
  <c r="AO19"/>
  <c r="AN19"/>
  <c r="AM19"/>
  <c r="AP18"/>
  <c r="AO18"/>
  <c r="AN18"/>
  <c r="AM18"/>
  <c r="AP17"/>
  <c r="AO17"/>
  <c r="AN17"/>
  <c r="AM17"/>
  <c r="AP16"/>
  <c r="AO16"/>
  <c r="AN16"/>
  <c r="AM16"/>
  <c r="AP11"/>
  <c r="AO11"/>
  <c r="AN11"/>
  <c r="AM11"/>
  <c r="AP10"/>
  <c r="AO10"/>
  <c r="AN10"/>
  <c r="AM10"/>
  <c r="AP9"/>
  <c r="AO9"/>
  <c r="AN9"/>
  <c r="AM9"/>
  <c r="AP8"/>
  <c r="AO8"/>
  <c r="AN8"/>
  <c r="AM8"/>
  <c r="AP6"/>
  <c r="AO6"/>
  <c r="AN6"/>
  <c r="AM6"/>
  <c r="AE42" i="100"/>
  <c r="AE42" i="101" s="1"/>
  <c r="AD42" i="100"/>
  <c r="AD42" i="101" s="1"/>
  <c r="AC42" i="100"/>
  <c r="AB42"/>
  <c r="AA42"/>
  <c r="Z42"/>
  <c r="Y42"/>
  <c r="Y42" i="101" s="1"/>
  <c r="X42" i="100"/>
  <c r="X42" i="101" s="1"/>
  <c r="W42" i="100"/>
  <c r="W42" i="101" s="1"/>
  <c r="V42" i="100"/>
  <c r="V42" i="101" s="1"/>
  <c r="U42" i="100"/>
  <c r="T42"/>
  <c r="S42"/>
  <c r="R42"/>
  <c r="Q42"/>
  <c r="Q42" i="101" s="1"/>
  <c r="P42" i="100"/>
  <c r="P42" i="101" s="1"/>
  <c r="O42" i="100"/>
  <c r="O42" i="101" s="1"/>
  <c r="N42" i="100"/>
  <c r="N42" i="101" s="1"/>
  <c r="M42" i="100"/>
  <c r="L42"/>
  <c r="K42"/>
  <c r="J42"/>
  <c r="I42"/>
  <c r="I42" i="101" s="1"/>
  <c r="H42" i="100"/>
  <c r="H42" i="101" s="1"/>
  <c r="G42" i="100"/>
  <c r="AE41"/>
  <c r="AD41"/>
  <c r="AC41"/>
  <c r="AC41" i="101" s="1"/>
  <c r="AB41" i="100"/>
  <c r="AB41" i="101" s="1"/>
  <c r="AA41" i="100"/>
  <c r="AA41" i="101" s="1"/>
  <c r="Z41" i="100"/>
  <c r="Z41" i="101" s="1"/>
  <c r="Y41" i="100"/>
  <c r="Y41" i="101" s="1"/>
  <c r="X41" i="100"/>
  <c r="W41"/>
  <c r="V41"/>
  <c r="U41"/>
  <c r="U41" i="101" s="1"/>
  <c r="T41" i="100"/>
  <c r="T41" i="101" s="1"/>
  <c r="S41" i="100"/>
  <c r="S41" i="101" s="1"/>
  <c r="R41" i="100"/>
  <c r="R41" i="101" s="1"/>
  <c r="Q41" i="100"/>
  <c r="Q41" i="101" s="1"/>
  <c r="P41" i="100"/>
  <c r="O41"/>
  <c r="N41"/>
  <c r="M41"/>
  <c r="M41" i="101" s="1"/>
  <c r="L41" i="100"/>
  <c r="L41" i="101" s="1"/>
  <c r="K41" i="100"/>
  <c r="K41" i="101" s="1"/>
  <c r="J41" i="100"/>
  <c r="J41" i="101" s="1"/>
  <c r="I41" i="100"/>
  <c r="I41" i="101" s="1"/>
  <c r="H41" i="100"/>
  <c r="G41"/>
  <c r="G41" i="101" s="1"/>
  <c r="AE40" i="100"/>
  <c r="AE40" i="101" s="1"/>
  <c r="AD40" i="100"/>
  <c r="AD40" i="101" s="1"/>
  <c r="AC40" i="100"/>
  <c r="AB40"/>
  <c r="AA40"/>
  <c r="AA40" i="101" s="1"/>
  <c r="Z40" i="100"/>
  <c r="Z40" i="101" s="1"/>
  <c r="Y40" i="100"/>
  <c r="Y40" i="101" s="1"/>
  <c r="X40" i="100"/>
  <c r="X40" i="101" s="1"/>
  <c r="W40" i="100"/>
  <c r="W40" i="101" s="1"/>
  <c r="V40" i="100"/>
  <c r="V40" i="101" s="1"/>
  <c r="U40" i="100"/>
  <c r="T40"/>
  <c r="S40"/>
  <c r="S40" i="101" s="1"/>
  <c r="R40" i="100"/>
  <c r="R40" i="101" s="1"/>
  <c r="Q40" i="100"/>
  <c r="Q40" i="101" s="1"/>
  <c r="P40" i="100"/>
  <c r="P40" i="101" s="1"/>
  <c r="O40" i="100"/>
  <c r="O40" i="101" s="1"/>
  <c r="N40" i="100"/>
  <c r="N40" i="101" s="1"/>
  <c r="M40" i="100"/>
  <c r="L40"/>
  <c r="K40"/>
  <c r="K40" i="101" s="1"/>
  <c r="J40" i="100"/>
  <c r="J40" i="101" s="1"/>
  <c r="I40" i="100"/>
  <c r="I40" i="101" s="1"/>
  <c r="H40" i="100"/>
  <c r="H40" i="101" s="1"/>
  <c r="G40" i="100"/>
  <c r="G40" i="101" s="1"/>
  <c r="AE39" i="100"/>
  <c r="AE39" i="101" s="1"/>
  <c r="AD39" i="100"/>
  <c r="AD39" i="101" s="1"/>
  <c r="AC39" i="100"/>
  <c r="AB39"/>
  <c r="AA39"/>
  <c r="AA39" i="101" s="1"/>
  <c r="Z39" i="100"/>
  <c r="Y39"/>
  <c r="X39"/>
  <c r="X39" i="101" s="1"/>
  <c r="W39" i="100"/>
  <c r="V39"/>
  <c r="V39" i="101" s="1"/>
  <c r="U39" i="100"/>
  <c r="T39"/>
  <c r="S39"/>
  <c r="S39" i="101" s="1"/>
  <c r="R39" i="100"/>
  <c r="Q39"/>
  <c r="P39"/>
  <c r="P39" i="101" s="1"/>
  <c r="O39" i="100"/>
  <c r="O39" i="101" s="1"/>
  <c r="N39" i="100"/>
  <c r="N39" i="101" s="1"/>
  <c r="M39" i="100"/>
  <c r="L39"/>
  <c r="K39"/>
  <c r="K39" i="101" s="1"/>
  <c r="J39" i="100"/>
  <c r="I39"/>
  <c r="H39"/>
  <c r="H39" i="101" s="1"/>
  <c r="G39" i="100"/>
  <c r="G39" i="101" s="1"/>
  <c r="AE38" i="100"/>
  <c r="AD38"/>
  <c r="AC38"/>
  <c r="AB38"/>
  <c r="AB38" i="101" s="1"/>
  <c r="AA38" i="100"/>
  <c r="AA38" i="101" s="1"/>
  <c r="Z38" i="100"/>
  <c r="Z38" i="101" s="1"/>
  <c r="Y38" i="100"/>
  <c r="Y38" i="101" s="1"/>
  <c r="X38" i="100"/>
  <c r="X38" i="101" s="1"/>
  <c r="W38" i="100"/>
  <c r="V38"/>
  <c r="U38"/>
  <c r="T38"/>
  <c r="T38" i="101" s="1"/>
  <c r="S38" i="100"/>
  <c r="S38" i="101" s="1"/>
  <c r="R38" i="100"/>
  <c r="R38" i="101" s="1"/>
  <c r="Q38" i="100"/>
  <c r="Q38" i="101" s="1"/>
  <c r="P38" i="100"/>
  <c r="P38" i="101" s="1"/>
  <c r="O38" i="100"/>
  <c r="N38"/>
  <c r="M38"/>
  <c r="L38"/>
  <c r="L38" i="101" s="1"/>
  <c r="K38" i="100"/>
  <c r="K38" i="101" s="1"/>
  <c r="J38" i="100"/>
  <c r="J38" i="101" s="1"/>
  <c r="I38" i="100"/>
  <c r="I38" i="101" s="1"/>
  <c r="H38" i="100"/>
  <c r="H38" i="101" s="1"/>
  <c r="G38" i="100"/>
  <c r="G38" i="101" s="1"/>
  <c r="AE37" i="100"/>
  <c r="AE37" i="101" s="1"/>
  <c r="AD37" i="100"/>
  <c r="AC37"/>
  <c r="AB37"/>
  <c r="AA37"/>
  <c r="Z37"/>
  <c r="Z37" i="101" s="1"/>
  <c r="Y37" i="100"/>
  <c r="Y37" i="101" s="1"/>
  <c r="X37" i="100"/>
  <c r="X37" i="101" s="1"/>
  <c r="W37" i="100"/>
  <c r="W37" i="101" s="1"/>
  <c r="V37" i="100"/>
  <c r="U37"/>
  <c r="T37"/>
  <c r="S37"/>
  <c r="R37"/>
  <c r="R37" i="101" s="1"/>
  <c r="Q37" i="100"/>
  <c r="Q37" i="101" s="1"/>
  <c r="P37" i="100"/>
  <c r="P37" i="101" s="1"/>
  <c r="O37" i="100"/>
  <c r="O37" i="101" s="1"/>
  <c r="N37" i="100"/>
  <c r="M37"/>
  <c r="L37"/>
  <c r="K37"/>
  <c r="J37"/>
  <c r="J37" i="101" s="1"/>
  <c r="I37" i="100"/>
  <c r="I37" i="101" s="1"/>
  <c r="H37" i="100"/>
  <c r="H37" i="101" s="1"/>
  <c r="G37" i="100"/>
  <c r="G37" i="101" s="1"/>
  <c r="AE36" i="100"/>
  <c r="AD36"/>
  <c r="AD36" i="101" s="1"/>
  <c r="AC36" i="100"/>
  <c r="AC36" i="101" s="1"/>
  <c r="AB36" i="100"/>
  <c r="AA36"/>
  <c r="AA36" i="101" s="1"/>
  <c r="Z36" i="100"/>
  <c r="Z36" i="101" s="1"/>
  <c r="Y36" i="100"/>
  <c r="X36"/>
  <c r="W36"/>
  <c r="V36"/>
  <c r="V36" i="101" s="1"/>
  <c r="U36" i="100"/>
  <c r="U36" i="101" s="1"/>
  <c r="T36" i="100"/>
  <c r="S36"/>
  <c r="S36" i="101" s="1"/>
  <c r="R36" i="100"/>
  <c r="R36" i="101" s="1"/>
  <c r="Q36" i="100"/>
  <c r="P36"/>
  <c r="O36"/>
  <c r="N36"/>
  <c r="N36" i="101" s="1"/>
  <c r="M36" i="100"/>
  <c r="M36" i="101" s="1"/>
  <c r="L36" i="100"/>
  <c r="K36"/>
  <c r="K36" i="101" s="1"/>
  <c r="J36" i="100"/>
  <c r="J36" i="101" s="1"/>
  <c r="I36" i="100"/>
  <c r="H36"/>
  <c r="G36"/>
  <c r="G36" i="101" s="1"/>
  <c r="AE35" i="100"/>
  <c r="AE35" i="101" s="1"/>
  <c r="AD35" i="100"/>
  <c r="AC35"/>
  <c r="AB35"/>
  <c r="AA35"/>
  <c r="AA35" i="101" s="1"/>
  <c r="Z35" i="100"/>
  <c r="Z35" i="101" s="1"/>
  <c r="Y35" i="100"/>
  <c r="Y35" i="101" s="1"/>
  <c r="X35" i="100"/>
  <c r="X35" i="101" s="1"/>
  <c r="W35" i="100"/>
  <c r="W35" i="101" s="1"/>
  <c r="V35" i="100"/>
  <c r="U35"/>
  <c r="T35"/>
  <c r="S35"/>
  <c r="S35" i="101" s="1"/>
  <c r="R35" i="100"/>
  <c r="R35" i="101" s="1"/>
  <c r="Q35" i="100"/>
  <c r="Q35" i="101" s="1"/>
  <c r="P35" i="100"/>
  <c r="P35" i="101" s="1"/>
  <c r="O35" i="100"/>
  <c r="O35" i="101" s="1"/>
  <c r="N35" i="100"/>
  <c r="M35"/>
  <c r="L35"/>
  <c r="K35"/>
  <c r="K35" i="101" s="1"/>
  <c r="J35" i="100"/>
  <c r="J35" i="101" s="1"/>
  <c r="I35" i="100"/>
  <c r="I35" i="101" s="1"/>
  <c r="H35" i="100"/>
  <c r="H35" i="101" s="1"/>
  <c r="G35" i="100"/>
  <c r="G35" i="101" s="1"/>
  <c r="AE34" i="100"/>
  <c r="AD34"/>
  <c r="AC34"/>
  <c r="AB34"/>
  <c r="AA34"/>
  <c r="Z34"/>
  <c r="Y34"/>
  <c r="X34"/>
  <c r="W34"/>
  <c r="V34"/>
  <c r="U34"/>
  <c r="T34"/>
  <c r="S34"/>
  <c r="R34"/>
  <c r="Q34"/>
  <c r="P34"/>
  <c r="O34"/>
  <c r="N34"/>
  <c r="M34"/>
  <c r="L34"/>
  <c r="K34"/>
  <c r="J34"/>
  <c r="I34"/>
  <c r="H34"/>
  <c r="G34"/>
  <c r="G34" i="101" s="1"/>
  <c r="AE33" i="100"/>
  <c r="AD33"/>
  <c r="AC33"/>
  <c r="AB33"/>
  <c r="AA33"/>
  <c r="Z33"/>
  <c r="Y33"/>
  <c r="X33"/>
  <c r="W33"/>
  <c r="V33"/>
  <c r="U33"/>
  <c r="T33"/>
  <c r="S33"/>
  <c r="R33"/>
  <c r="Q33"/>
  <c r="P33"/>
  <c r="O33"/>
  <c r="N33"/>
  <c r="M33"/>
  <c r="L33"/>
  <c r="K33"/>
  <c r="J33"/>
  <c r="I33"/>
  <c r="H33"/>
  <c r="G33"/>
  <c r="G33" i="101" s="1"/>
  <c r="AE32" i="100"/>
  <c r="AD32"/>
  <c r="AC32"/>
  <c r="AB32"/>
  <c r="AA32"/>
  <c r="Z32"/>
  <c r="Y32"/>
  <c r="X32"/>
  <c r="W32"/>
  <c r="V32"/>
  <c r="U32"/>
  <c r="T32"/>
  <c r="S32"/>
  <c r="R32"/>
  <c r="Q32"/>
  <c r="P32"/>
  <c r="O32"/>
  <c r="N32"/>
  <c r="M32"/>
  <c r="L32"/>
  <c r="K32"/>
  <c r="J32"/>
  <c r="I32"/>
  <c r="H32"/>
  <c r="G32"/>
  <c r="G32" i="101" s="1"/>
  <c r="AE31" i="100"/>
  <c r="AD31"/>
  <c r="AC31"/>
  <c r="AB31"/>
  <c r="AA31"/>
  <c r="Z31"/>
  <c r="Y31"/>
  <c r="X31"/>
  <c r="W31"/>
  <c r="V31"/>
  <c r="U31"/>
  <c r="T31"/>
  <c r="S31"/>
  <c r="R31"/>
  <c r="Q31"/>
  <c r="P31"/>
  <c r="O31"/>
  <c r="N31"/>
  <c r="M31"/>
  <c r="L31"/>
  <c r="K31"/>
  <c r="J31"/>
  <c r="I31"/>
  <c r="H31"/>
  <c r="G31"/>
  <c r="G31" i="101" s="1"/>
  <c r="AE30" i="100"/>
  <c r="AD30"/>
  <c r="AC30"/>
  <c r="AB30"/>
  <c r="AA30"/>
  <c r="AA30" i="101" s="1"/>
  <c r="Z30" i="100"/>
  <c r="Z30" i="101" s="1"/>
  <c r="Y30" i="100"/>
  <c r="Y30" i="101" s="1"/>
  <c r="X30" i="100"/>
  <c r="W30"/>
  <c r="V30"/>
  <c r="U30"/>
  <c r="T30"/>
  <c r="S30"/>
  <c r="R30"/>
  <c r="Q30"/>
  <c r="P30"/>
  <c r="O30"/>
  <c r="N30"/>
  <c r="M30"/>
  <c r="L30"/>
  <c r="K30"/>
  <c r="J30"/>
  <c r="I30"/>
  <c r="H30"/>
  <c r="G30"/>
  <c r="G30" i="101" s="1"/>
  <c r="AE29" i="100"/>
  <c r="AD29"/>
  <c r="AC29"/>
  <c r="AB29"/>
  <c r="AA29"/>
  <c r="AA29" i="101" s="1"/>
  <c r="Z29" i="100"/>
  <c r="Y29"/>
  <c r="X29"/>
  <c r="W29"/>
  <c r="V29"/>
  <c r="U29"/>
  <c r="T29"/>
  <c r="S29"/>
  <c r="S29" i="101" s="1"/>
  <c r="R29" i="100"/>
  <c r="Q29"/>
  <c r="P29"/>
  <c r="O29"/>
  <c r="N29"/>
  <c r="M29"/>
  <c r="L29"/>
  <c r="K29"/>
  <c r="K29" i="101" s="1"/>
  <c r="J29" i="100"/>
  <c r="I29"/>
  <c r="H29"/>
  <c r="G29"/>
  <c r="G29" i="101" s="1"/>
  <c r="AE28" i="100"/>
  <c r="AD28"/>
  <c r="AD28" i="101" s="1"/>
  <c r="AC28" i="100"/>
  <c r="AC28" i="101" s="1"/>
  <c r="AB28" i="100"/>
  <c r="AA28"/>
  <c r="Z28"/>
  <c r="Y28"/>
  <c r="X28"/>
  <c r="W28"/>
  <c r="V28"/>
  <c r="V28" i="101" s="1"/>
  <c r="U28" i="100"/>
  <c r="T28"/>
  <c r="S28"/>
  <c r="S28" i="101" s="1"/>
  <c r="R28" i="100"/>
  <c r="R28" i="101" s="1"/>
  <c r="Q28" i="100"/>
  <c r="P28"/>
  <c r="O28"/>
  <c r="N28"/>
  <c r="N28" i="101" s="1"/>
  <c r="M28" i="100"/>
  <c r="M28" i="101" s="1"/>
  <c r="L28" i="100"/>
  <c r="K28"/>
  <c r="K28" i="101" s="1"/>
  <c r="J28" i="100"/>
  <c r="J28" i="101" s="1"/>
  <c r="I28" i="100"/>
  <c r="H28"/>
  <c r="G28"/>
  <c r="G28" i="101" s="1"/>
  <c r="AH20" i="100" l="1"/>
  <c r="AH64" s="1"/>
  <c r="AP73" i="143"/>
  <c r="AM26" i="50"/>
  <c r="AN26"/>
  <c r="AJ74" i="101"/>
  <c r="AJ67"/>
  <c r="AG70"/>
  <c r="AG53"/>
  <c r="AK64" i="55"/>
  <c r="AJ17" i="101" s="1"/>
  <c r="AJ61" s="1"/>
  <c r="AL64" i="55"/>
  <c r="AK17" i="101" s="1"/>
  <c r="AK61" s="1"/>
  <c r="AG76"/>
  <c r="AI69"/>
  <c r="AH50"/>
  <c r="AG85"/>
  <c r="AG84"/>
  <c r="AL25"/>
  <c r="AL69" s="1"/>
  <c r="AM64" i="55"/>
  <c r="AL17" i="101" s="1"/>
  <c r="AL61" s="1"/>
  <c r="AL16"/>
  <c r="AG86"/>
  <c r="AH66"/>
  <c r="AG67"/>
  <c r="AG58"/>
  <c r="AH80"/>
  <c r="AH76"/>
  <c r="AH72"/>
  <c r="AG77"/>
  <c r="AH70"/>
  <c r="AH58"/>
  <c r="AH59"/>
  <c r="AG75"/>
  <c r="AH65"/>
  <c r="AG83"/>
  <c r="AM82"/>
  <c r="AL80"/>
  <c r="AG25"/>
  <c r="AG69" s="1"/>
  <c r="AM67" i="143"/>
  <c r="AL11" i="101"/>
  <c r="AL55" s="1"/>
  <c r="AH77"/>
  <c r="AH78"/>
  <c r="AI10"/>
  <c r="AI54" s="1"/>
  <c r="AJ66"/>
  <c r="AI11"/>
  <c r="AI55" s="1"/>
  <c r="AF84"/>
  <c r="AG74"/>
  <c r="AH84"/>
  <c r="AJ65"/>
  <c r="AM80"/>
  <c r="AK82"/>
  <c r="AH11"/>
  <c r="AH55" s="1"/>
  <c r="AK72"/>
  <c r="AK79"/>
  <c r="AM74"/>
  <c r="AH68"/>
  <c r="AK74"/>
  <c r="AG73"/>
  <c r="AM85"/>
  <c r="AG65"/>
  <c r="AK84"/>
  <c r="AM83"/>
  <c r="AM77"/>
  <c r="AM78"/>
  <c r="AQ67" i="143"/>
  <c r="AL78"/>
  <c r="AL84"/>
  <c r="AG82" i="101"/>
  <c r="AG72"/>
  <c r="AF73"/>
  <c r="AN84" i="143"/>
  <c r="AN78"/>
  <c r="AN79" s="1"/>
  <c r="AH51" i="101"/>
  <c r="AG81"/>
  <c r="AH86"/>
  <c r="AR84" i="143"/>
  <c r="AR78"/>
  <c r="AR79" s="1"/>
  <c r="AM78"/>
  <c r="AM79" s="1"/>
  <c r="AM84"/>
  <c r="AQ84"/>
  <c r="AQ78"/>
  <c r="AQ79" s="1"/>
  <c r="AR25"/>
  <c r="AH27" i="101"/>
  <c r="AH71" s="1"/>
  <c r="AG80"/>
  <c r="AH85"/>
  <c r="AG50"/>
  <c r="AG59"/>
  <c r="AO25" i="143"/>
  <c r="AO73"/>
  <c r="AP78"/>
  <c r="AP79" s="1"/>
  <c r="AP84"/>
  <c r="AH67" i="101"/>
  <c r="AH25"/>
  <c r="AH69" s="1"/>
  <c r="AM76"/>
  <c r="AM27"/>
  <c r="AM71" s="1"/>
  <c r="AM53"/>
  <c r="AG68"/>
  <c r="AF11"/>
  <c r="AF55" s="1"/>
  <c r="AL70"/>
  <c r="AE29"/>
  <c r="V30"/>
  <c r="AD30"/>
  <c r="AC31"/>
  <c r="T32"/>
  <c r="AB32"/>
  <c r="S33"/>
  <c r="J34"/>
  <c r="H36"/>
  <c r="P36"/>
  <c r="X36"/>
  <c r="N38"/>
  <c r="AD38"/>
  <c r="M39"/>
  <c r="AC39"/>
  <c r="L40"/>
  <c r="T40"/>
  <c r="AK53"/>
  <c r="AK10"/>
  <c r="AK54" s="1"/>
  <c r="AK11"/>
  <c r="AK55" s="1"/>
  <c r="AI79"/>
  <c r="I28"/>
  <c r="W30"/>
  <c r="AE30"/>
  <c r="AD31"/>
  <c r="M32"/>
  <c r="AC32"/>
  <c r="T33"/>
  <c r="K34"/>
  <c r="S34"/>
  <c r="I36"/>
  <c r="Q36"/>
  <c r="O38"/>
  <c r="W38"/>
  <c r="AE38"/>
  <c r="M40"/>
  <c r="AA42"/>
  <c r="AF51"/>
  <c r="Z28"/>
  <c r="Y29"/>
  <c r="W31"/>
  <c r="V32"/>
  <c r="AD32"/>
  <c r="M33"/>
  <c r="AC33"/>
  <c r="T34"/>
  <c r="AB34"/>
  <c r="AB42"/>
  <c r="AF10"/>
  <c r="AF54" s="1"/>
  <c r="AK75"/>
  <c r="AJ50"/>
  <c r="AJ52"/>
  <c r="AJ53"/>
  <c r="AJ75"/>
  <c r="AJ84"/>
  <c r="AJ68"/>
  <c r="AJ80"/>
  <c r="AJ73"/>
  <c r="AJ77"/>
  <c r="AJ82"/>
  <c r="AJ58"/>
  <c r="AJ72"/>
  <c r="AJ76"/>
  <c r="AJ81"/>
  <c r="AJ85"/>
  <c r="AJ11"/>
  <c r="AJ55" s="1"/>
  <c r="AJ70"/>
  <c r="AJ86"/>
  <c r="AG10"/>
  <c r="AG54" s="1"/>
  <c r="AG51"/>
  <c r="AK86"/>
  <c r="AF80"/>
  <c r="AJ51"/>
  <c r="AL67"/>
  <c r="AL65"/>
  <c r="AK59"/>
  <c r="AK67"/>
  <c r="P28"/>
  <c r="O29"/>
  <c r="M31"/>
  <c r="K33"/>
  <c r="R34"/>
  <c r="U39"/>
  <c r="AB40"/>
  <c r="J42"/>
  <c r="AM81"/>
  <c r="AI75"/>
  <c r="AF20" i="100"/>
  <c r="AF64" s="1"/>
  <c r="AF60"/>
  <c r="H29" i="101"/>
  <c r="O30"/>
  <c r="U32"/>
  <c r="AK66"/>
  <c r="H30"/>
  <c r="O31"/>
  <c r="L42"/>
  <c r="AK81"/>
  <c r="AL74"/>
  <c r="AL83"/>
  <c r="AL73"/>
  <c r="AL27"/>
  <c r="AL71" s="1"/>
  <c r="AJ78"/>
  <c r="H28"/>
  <c r="W29"/>
  <c r="U31"/>
  <c r="AA33"/>
  <c r="Z34"/>
  <c r="Z42"/>
  <c r="AI83"/>
  <c r="Q28"/>
  <c r="P29"/>
  <c r="N31"/>
  <c r="L33"/>
  <c r="AA34"/>
  <c r="AC40"/>
  <c r="K42"/>
  <c r="Q29"/>
  <c r="X30"/>
  <c r="AE31"/>
  <c r="U33"/>
  <c r="T42"/>
  <c r="AF85"/>
  <c r="AJ79"/>
  <c r="AL50"/>
  <c r="AL82"/>
  <c r="AL72"/>
  <c r="AL79"/>
  <c r="AL75"/>
  <c r="AL77"/>
  <c r="AL84"/>
  <c r="AL78"/>
  <c r="AL53"/>
  <c r="AL10"/>
  <c r="AL54" s="1"/>
  <c r="AK16"/>
  <c r="AK60" s="1"/>
  <c r="AG27"/>
  <c r="AG71" s="1"/>
  <c r="AL63"/>
  <c r="AG52"/>
  <c r="AH52"/>
  <c r="X28"/>
  <c r="N30"/>
  <c r="L32"/>
  <c r="V38"/>
  <c r="R42"/>
  <c r="AF79"/>
  <c r="Y28"/>
  <c r="X29"/>
  <c r="V31"/>
  <c r="AB33"/>
  <c r="Y36"/>
  <c r="U40"/>
  <c r="S42"/>
  <c r="AG79"/>
  <c r="I29"/>
  <c r="P30"/>
  <c r="N32"/>
  <c r="L34"/>
  <c r="W39"/>
  <c r="AF27"/>
  <c r="AF71" s="1"/>
  <c r="AJ59"/>
  <c r="AJ83"/>
  <c r="AI84"/>
  <c r="AI80"/>
  <c r="AI76"/>
  <c r="AI72"/>
  <c r="AI27"/>
  <c r="AI71" s="1"/>
  <c r="AF65"/>
  <c r="AF25"/>
  <c r="AF69" s="1"/>
  <c r="AI50"/>
  <c r="AI66"/>
  <c r="AI68"/>
  <c r="AI57"/>
  <c r="AI58"/>
  <c r="AI65"/>
  <c r="AI52"/>
  <c r="AH83"/>
  <c r="AH79"/>
  <c r="AH75"/>
  <c r="AM70"/>
  <c r="AM65"/>
  <c r="AM25"/>
  <c r="AM69" s="1"/>
  <c r="AM59"/>
  <c r="AA28"/>
  <c r="AE32"/>
  <c r="AD33"/>
  <c r="AC34"/>
  <c r="T35"/>
  <c r="N41"/>
  <c r="M42"/>
  <c r="AF43" i="100"/>
  <c r="AF87" s="1"/>
  <c r="AK73" i="101"/>
  <c r="AK27"/>
  <c r="AK71" s="1"/>
  <c r="AK65"/>
  <c r="L28"/>
  <c r="Q31"/>
  <c r="H32"/>
  <c r="X32"/>
  <c r="AE33"/>
  <c r="AD34"/>
  <c r="AC35"/>
  <c r="AB36"/>
  <c r="I39"/>
  <c r="W41"/>
  <c r="AH74"/>
  <c r="AK78"/>
  <c r="AJ71"/>
  <c r="AK70"/>
  <c r="AK63"/>
  <c r="AI86"/>
  <c r="AI82"/>
  <c r="AI78"/>
  <c r="AI74"/>
  <c r="AL68"/>
  <c r="AL59"/>
  <c r="AM67"/>
  <c r="AM62"/>
  <c r="AM57"/>
  <c r="J31"/>
  <c r="R31"/>
  <c r="Z31"/>
  <c r="I32"/>
  <c r="Q32"/>
  <c r="Y32"/>
  <c r="H33"/>
  <c r="P33"/>
  <c r="X33"/>
  <c r="O34"/>
  <c r="W34"/>
  <c r="AE34"/>
  <c r="N35"/>
  <c r="V35"/>
  <c r="AD35"/>
  <c r="L37"/>
  <c r="T37"/>
  <c r="AB37"/>
  <c r="J39"/>
  <c r="R39"/>
  <c r="Z39"/>
  <c r="H41"/>
  <c r="P41"/>
  <c r="X41"/>
  <c r="AO12" i="50"/>
  <c r="AM16" i="101"/>
  <c r="AM60" s="1"/>
  <c r="AG78"/>
  <c r="AH81"/>
  <c r="AH73"/>
  <c r="AM79"/>
  <c r="AM73"/>
  <c r="AJ62"/>
  <c r="AM72"/>
  <c r="AL76"/>
  <c r="AI70"/>
  <c r="AK83"/>
  <c r="AK50"/>
  <c r="AK76"/>
  <c r="AK80"/>
  <c r="AK85"/>
  <c r="AF74"/>
  <c r="AM63"/>
  <c r="R29"/>
  <c r="I30"/>
  <c r="Q30"/>
  <c r="P31"/>
  <c r="O32"/>
  <c r="N33"/>
  <c r="M34"/>
  <c r="L35"/>
  <c r="AB35"/>
  <c r="V41"/>
  <c r="U42"/>
  <c r="AM86"/>
  <c r="AI53"/>
  <c r="AL58"/>
  <c r="AB28"/>
  <c r="W33"/>
  <c r="V34"/>
  <c r="U35"/>
  <c r="T36"/>
  <c r="S37"/>
  <c r="AE41"/>
  <c r="AK25"/>
  <c r="AK69" s="1"/>
  <c r="AH82"/>
  <c r="AM51"/>
  <c r="U28"/>
  <c r="L29"/>
  <c r="AB29"/>
  <c r="S30"/>
  <c r="M29"/>
  <c r="AC29"/>
  <c r="T30"/>
  <c r="K31"/>
  <c r="AA31"/>
  <c r="R32"/>
  <c r="I33"/>
  <c r="Y33"/>
  <c r="M37"/>
  <c r="U37"/>
  <c r="AC37"/>
  <c r="AP12" i="50"/>
  <c r="AP13" s="1"/>
  <c r="AM11" i="101"/>
  <c r="AM55" s="1"/>
  <c r="AJ54"/>
  <c r="AM84"/>
  <c r="AM50"/>
  <c r="AL81"/>
  <c r="AI59"/>
  <c r="AL51"/>
  <c r="AK68"/>
  <c r="AK57"/>
  <c r="AI85"/>
  <c r="AI81"/>
  <c r="AI77"/>
  <c r="AI73"/>
  <c r="AI51"/>
  <c r="AL66"/>
  <c r="AL57"/>
  <c r="AM66"/>
  <c r="AF82"/>
  <c r="AM52"/>
  <c r="AM68"/>
  <c r="AM58"/>
  <c r="AH10"/>
  <c r="AH54" s="1"/>
  <c r="J29"/>
  <c r="Z29"/>
  <c r="H31"/>
  <c r="X31"/>
  <c r="W32"/>
  <c r="V33"/>
  <c r="U34"/>
  <c r="AD41"/>
  <c r="AC42"/>
  <c r="AM12" i="50"/>
  <c r="AM27" s="1"/>
  <c r="AM28" s="1"/>
  <c r="AJ69" i="101"/>
  <c r="AJ63"/>
  <c r="T28"/>
  <c r="J30"/>
  <c r="R30"/>
  <c r="I31"/>
  <c r="Y31"/>
  <c r="P32"/>
  <c r="O33"/>
  <c r="N34"/>
  <c r="M35"/>
  <c r="L36"/>
  <c r="K37"/>
  <c r="AA37"/>
  <c r="Q39"/>
  <c r="Y39"/>
  <c r="O41"/>
  <c r="AN12" i="50"/>
  <c r="AN27" s="1"/>
  <c r="AN28" s="1"/>
  <c r="AL52" i="101"/>
  <c r="T29"/>
  <c r="K30"/>
  <c r="U29"/>
  <c r="L30"/>
  <c r="AB30"/>
  <c r="S31"/>
  <c r="J32"/>
  <c r="Z32"/>
  <c r="Q33"/>
  <c r="H34"/>
  <c r="P34"/>
  <c r="X34"/>
  <c r="O28"/>
  <c r="W28"/>
  <c r="AE28"/>
  <c r="N29"/>
  <c r="V29"/>
  <c r="AD29"/>
  <c r="M30"/>
  <c r="U30"/>
  <c r="AC30"/>
  <c r="L31"/>
  <c r="T31"/>
  <c r="AB31"/>
  <c r="K32"/>
  <c r="S32"/>
  <c r="AA32"/>
  <c r="J33"/>
  <c r="R33"/>
  <c r="Z33"/>
  <c r="I34"/>
  <c r="Q34"/>
  <c r="Y34"/>
  <c r="O36"/>
  <c r="W36"/>
  <c r="AE36"/>
  <c r="N37"/>
  <c r="V37"/>
  <c r="AD37"/>
  <c r="M38"/>
  <c r="U38"/>
  <c r="AC38"/>
  <c r="L39"/>
  <c r="T39"/>
  <c r="AB39"/>
  <c r="AM10"/>
  <c r="AM54" s="1"/>
  <c r="AF53"/>
  <c r="AL86"/>
  <c r="AI67"/>
  <c r="AG11"/>
  <c r="AG55" s="1"/>
  <c r="AK58"/>
  <c r="AK52"/>
  <c r="AK77"/>
  <c r="AJ60"/>
  <c r="AI60"/>
  <c r="AI55" i="100"/>
  <c r="AI20"/>
  <c r="AI64" s="1"/>
  <c r="AI60"/>
  <c r="AK60"/>
  <c r="AK20"/>
  <c r="AK64" s="1"/>
  <c r="AK55"/>
  <c r="AJ55"/>
  <c r="AJ43"/>
  <c r="AL60"/>
  <c r="AL20"/>
  <c r="AL64" s="1"/>
  <c r="AG43"/>
  <c r="AM60"/>
  <c r="AM20"/>
  <c r="AM64" s="1"/>
  <c r="AM55"/>
  <c r="AL55"/>
  <c r="AN64" i="55"/>
  <c r="AM17" i="101" s="1"/>
  <c r="AM61" s="1"/>
  <c r="AL36" i="55"/>
  <c r="AM36"/>
  <c r="AN36"/>
  <c r="AL16"/>
  <c r="AM16"/>
  <c r="AM37"/>
  <c r="AL37"/>
  <c r="AN16"/>
  <c r="AN37"/>
  <c r="AM39"/>
  <c r="AL18" i="101" s="1"/>
  <c r="AL62" s="1"/>
  <c r="AO26" i="50"/>
  <c r="AP26"/>
  <c r="AL39" i="55"/>
  <c r="AK18" i="101" s="1"/>
  <c r="AK62" s="1"/>
  <c r="AK36" i="55"/>
  <c r="AK37" s="1"/>
  <c r="G42" i="101"/>
  <c r="K27" i="100"/>
  <c r="AA27"/>
  <c r="R27"/>
  <c r="H27"/>
  <c r="X27"/>
  <c r="P27"/>
  <c r="S27"/>
  <c r="G27"/>
  <c r="W27"/>
  <c r="L27"/>
  <c r="T27"/>
  <c r="AB27"/>
  <c r="I27"/>
  <c r="Y27"/>
  <c r="M27"/>
  <c r="U27"/>
  <c r="AC27"/>
  <c r="J27"/>
  <c r="Z27"/>
  <c r="Q27"/>
  <c r="N27"/>
  <c r="V27"/>
  <c r="AD27"/>
  <c r="O27"/>
  <c r="AE27"/>
  <c r="AJ20" i="101" l="1"/>
  <c r="AJ64" s="1"/>
  <c r="AH43" i="100"/>
  <c r="AH87" s="1"/>
  <c r="AL20" i="101"/>
  <c r="AL64" s="1"/>
  <c r="AL60"/>
  <c r="AK20"/>
  <c r="AK64" s="1"/>
  <c r="AO27" i="50"/>
  <c r="AO28" s="1"/>
  <c r="AN13"/>
  <c r="AM13"/>
  <c r="AI43" i="100"/>
  <c r="AI87" s="1"/>
  <c r="AD27" i="101"/>
  <c r="AO84" i="143"/>
  <c r="AO78"/>
  <c r="AO79" s="1"/>
  <c r="S27" i="101"/>
  <c r="AO13" i="50"/>
  <c r="V27" i="101"/>
  <c r="N27"/>
  <c r="Y27"/>
  <c r="Q27"/>
  <c r="AC27"/>
  <c r="M27"/>
  <c r="Z27"/>
  <c r="AP27" i="50"/>
  <c r="J27" i="101"/>
  <c r="AM20"/>
  <c r="K27"/>
  <c r="R27"/>
  <c r="AE27"/>
  <c r="T27"/>
  <c r="U27"/>
  <c r="W27"/>
  <c r="L27"/>
  <c r="O27"/>
  <c r="P27"/>
  <c r="AB27"/>
  <c r="AK43" i="100"/>
  <c r="AK87" s="1"/>
  <c r="X27" i="101"/>
  <c r="H27"/>
  <c r="AA27"/>
  <c r="I27"/>
  <c r="AJ87" i="100"/>
  <c r="AJ46"/>
  <c r="AM43"/>
  <c r="AL43"/>
  <c r="AG87"/>
  <c r="G27" i="101"/>
  <c r="AJ43" l="1"/>
  <c r="AJ46" s="1"/>
  <c r="AL43"/>
  <c r="AL46" s="1"/>
  <c r="AK43"/>
  <c r="AK87" s="1"/>
  <c r="AP28" i="50"/>
  <c r="AM64" i="101"/>
  <c r="AM43"/>
  <c r="AK46" i="100"/>
  <c r="AL87"/>
  <c r="AL46"/>
  <c r="AM87"/>
  <c r="AM46"/>
  <c r="AL87" i="101" l="1"/>
  <c r="AJ87"/>
  <c r="AK46"/>
  <c r="AM87"/>
  <c r="AM46"/>
  <c r="L26" i="157" l="1"/>
  <c r="K26"/>
  <c r="B2"/>
  <c r="J26" l="1"/>
  <c r="N23" l="1"/>
  <c r="O25"/>
  <c r="N17"/>
  <c r="O24"/>
  <c r="P11"/>
  <c r="N12"/>
  <c r="N19"/>
  <c r="O18"/>
  <c r="O15"/>
  <c r="N21"/>
  <c r="O13"/>
  <c r="N25"/>
  <c r="P25"/>
  <c r="N14"/>
  <c r="O17"/>
  <c r="P12"/>
  <c r="N13"/>
  <c r="N18"/>
  <c r="O14"/>
  <c r="P19"/>
  <c r="P15"/>
  <c r="P20"/>
  <c r="O11"/>
  <c r="O16"/>
  <c r="O23"/>
  <c r="N16"/>
  <c r="O21"/>
  <c r="N15" l="1"/>
  <c r="O12"/>
  <c r="P13"/>
  <c r="P14"/>
  <c r="O22"/>
  <c r="D26"/>
  <c r="N20"/>
  <c r="P16"/>
  <c r="P21"/>
  <c r="P22"/>
  <c r="P23"/>
  <c r="P18"/>
  <c r="E26"/>
  <c r="P24"/>
  <c r="O20"/>
  <c r="P17"/>
  <c r="O19"/>
  <c r="N24"/>
  <c r="N22"/>
  <c r="C26"/>
  <c r="N11"/>
  <c r="N26" l="1"/>
  <c r="P26"/>
  <c r="O26"/>
  <c r="AJ91" i="55" l="1"/>
  <c r="AJ83"/>
  <c r="AJ77"/>
  <c r="AJ70"/>
  <c r="AJ57"/>
  <c r="AJ46"/>
  <c r="AJ22"/>
  <c r="AJ16"/>
  <c r="AL25" i="50"/>
  <c r="AL24"/>
  <c r="AL23"/>
  <c r="AL22"/>
  <c r="AL21"/>
  <c r="AL20"/>
  <c r="AL19"/>
  <c r="AL18"/>
  <c r="AL17"/>
  <c r="AL16"/>
  <c r="AL11"/>
  <c r="AL10"/>
  <c r="AL9"/>
  <c r="AL8"/>
  <c r="AL6"/>
  <c r="C1" i="143"/>
  <c r="AJ64" i="55" l="1"/>
  <c r="AI17" i="101" s="1"/>
  <c r="AJ40" i="55"/>
  <c r="AI19" i="101" s="1"/>
  <c r="AI63" s="1"/>
  <c r="M7" i="32"/>
  <c r="AJ39" i="55"/>
  <c r="AI18" i="101" s="1"/>
  <c r="AI62" s="1"/>
  <c r="AL12" i="50"/>
  <c r="AI46" i="100" s="1"/>
  <c r="AJ36" i="55"/>
  <c r="AL26" i="50"/>
  <c r="AI20" i="101" l="1"/>
  <c r="AI61"/>
  <c r="AL27" i="50"/>
  <c r="AL13"/>
  <c r="AJ37" i="55"/>
  <c r="AI64" i="101" l="1"/>
  <c r="AI43"/>
  <c r="AI87" s="1"/>
  <c r="AL28" i="50"/>
  <c r="AI46" i="101" l="1"/>
  <c r="F6" i="143"/>
  <c r="D6"/>
  <c r="G5" i="35"/>
  <c r="E49" i="101"/>
  <c r="C49"/>
  <c r="E5"/>
  <c r="C5"/>
  <c r="E5" i="100"/>
  <c r="C5"/>
  <c r="F87" i="55"/>
  <c r="D87"/>
  <c r="F81"/>
  <c r="D81"/>
  <c r="F74"/>
  <c r="D74"/>
  <c r="F68"/>
  <c r="D68"/>
  <c r="F61"/>
  <c r="D61"/>
  <c r="F50"/>
  <c r="D50"/>
  <c r="F43"/>
  <c r="D43"/>
  <c r="F26"/>
  <c r="D26"/>
  <c r="F20"/>
  <c r="D20"/>
  <c r="D5"/>
  <c r="F5" i="50"/>
  <c r="D5"/>
  <c r="F6" i="78"/>
  <c r="D6"/>
  <c r="E49" i="100" l="1"/>
  <c r="C49"/>
  <c r="L13" i="78"/>
  <c r="L31" s="1"/>
  <c r="J13"/>
  <c r="J31" s="1"/>
  <c r="C44" l="1"/>
  <c r="C43"/>
  <c r="C42"/>
  <c r="C41"/>
  <c r="C40"/>
  <c r="C39"/>
  <c r="C38"/>
  <c r="AE26" i="100" l="1"/>
  <c r="AE26" i="101" s="1"/>
  <c r="AD26" i="100"/>
  <c r="AD26" i="101" s="1"/>
  <c r="AC26" i="100"/>
  <c r="AC26" i="101" s="1"/>
  <c r="AB26" i="100"/>
  <c r="AB26" i="101" s="1"/>
  <c r="AA26" i="100"/>
  <c r="AA26" i="101" s="1"/>
  <c r="Z26" i="100"/>
  <c r="Z26" i="101" s="1"/>
  <c r="Y26" i="100"/>
  <c r="Y26" i="101" s="1"/>
  <c r="X26" i="100"/>
  <c r="X26" i="101" s="1"/>
  <c r="W26" i="100"/>
  <c r="W26" i="101" s="1"/>
  <c r="V26" i="100"/>
  <c r="V26" i="101" s="1"/>
  <c r="U26" i="100"/>
  <c r="U26" i="101" s="1"/>
  <c r="T26" i="100"/>
  <c r="T26" i="101" s="1"/>
  <c r="S26" i="100"/>
  <c r="S26" i="101" s="1"/>
  <c r="R26" i="100"/>
  <c r="R26" i="101" s="1"/>
  <c r="Q26" i="100"/>
  <c r="Q26" i="101" s="1"/>
  <c r="P26" i="100"/>
  <c r="P26" i="101" s="1"/>
  <c r="O26" i="100"/>
  <c r="O26" i="101" s="1"/>
  <c r="N26" i="100"/>
  <c r="N26" i="101" s="1"/>
  <c r="M26" i="100"/>
  <c r="M26" i="101" s="1"/>
  <c r="L26" i="100"/>
  <c r="L26" i="101" s="1"/>
  <c r="K26" i="100"/>
  <c r="K26" i="101" s="1"/>
  <c r="J26" i="100"/>
  <c r="J26" i="101" s="1"/>
  <c r="I26" i="100"/>
  <c r="I26" i="101" s="1"/>
  <c r="H26" i="100"/>
  <c r="H26" i="101" s="1"/>
  <c r="AE24" i="100"/>
  <c r="AE24" i="101" s="1"/>
  <c r="AD24" i="100"/>
  <c r="AD24" i="101" s="1"/>
  <c r="AC24" i="100"/>
  <c r="AC24" i="101" s="1"/>
  <c r="AB24" i="100"/>
  <c r="AB24" i="101" s="1"/>
  <c r="AA24" i="100"/>
  <c r="AA24" i="101" s="1"/>
  <c r="Z24" i="100"/>
  <c r="Z24" i="101" s="1"/>
  <c r="Y24" i="100"/>
  <c r="Y24" i="101" s="1"/>
  <c r="X24" i="100"/>
  <c r="X24" i="101" s="1"/>
  <c r="W24" i="100"/>
  <c r="W24" i="101" s="1"/>
  <c r="V24" i="100"/>
  <c r="V24" i="101" s="1"/>
  <c r="U24" i="100"/>
  <c r="U24" i="101" s="1"/>
  <c r="T24" i="100"/>
  <c r="T24" i="101" s="1"/>
  <c r="S24" i="100"/>
  <c r="S24" i="101" s="1"/>
  <c r="R24" i="100"/>
  <c r="R24" i="101" s="1"/>
  <c r="Q24" i="100"/>
  <c r="Q24" i="101" s="1"/>
  <c r="P24" i="100"/>
  <c r="P24" i="101" s="1"/>
  <c r="O24" i="100"/>
  <c r="O24" i="101" s="1"/>
  <c r="N24" i="100"/>
  <c r="N24" i="101" s="1"/>
  <c r="M24" i="100"/>
  <c r="M24" i="101" s="1"/>
  <c r="L24" i="100"/>
  <c r="L24" i="101" s="1"/>
  <c r="K24" i="100"/>
  <c r="K24" i="101" s="1"/>
  <c r="J24" i="100"/>
  <c r="J24" i="101" s="1"/>
  <c r="I24" i="100"/>
  <c r="I24" i="101" s="1"/>
  <c r="H24" i="100"/>
  <c r="H24" i="101" s="1"/>
  <c r="AE23" i="100"/>
  <c r="AE23" i="101" s="1"/>
  <c r="AD23" i="100"/>
  <c r="AD23" i="101" s="1"/>
  <c r="AC23" i="100"/>
  <c r="AC23" i="101" s="1"/>
  <c r="AB23" i="100"/>
  <c r="AB23" i="101" s="1"/>
  <c r="AA23" i="100"/>
  <c r="AA23" i="101" s="1"/>
  <c r="Z23" i="100"/>
  <c r="Z23" i="101" s="1"/>
  <c r="Y23" i="100"/>
  <c r="Y23" i="101" s="1"/>
  <c r="X23" i="100"/>
  <c r="X23" i="101" s="1"/>
  <c r="W23" i="100"/>
  <c r="W23" i="101" s="1"/>
  <c r="V23" i="100"/>
  <c r="V23" i="101" s="1"/>
  <c r="U23" i="100"/>
  <c r="U23" i="101" s="1"/>
  <c r="T23" i="100"/>
  <c r="T23" i="101" s="1"/>
  <c r="S23" i="100"/>
  <c r="S23" i="101" s="1"/>
  <c r="R23" i="100"/>
  <c r="R23" i="101" s="1"/>
  <c r="Q23" i="100"/>
  <c r="Q23" i="101" s="1"/>
  <c r="P23" i="100"/>
  <c r="P23" i="101" s="1"/>
  <c r="O23" i="100"/>
  <c r="O23" i="101" s="1"/>
  <c r="N23" i="100"/>
  <c r="N23" i="101" s="1"/>
  <c r="M23" i="100"/>
  <c r="M23" i="101" s="1"/>
  <c r="L23" i="100"/>
  <c r="L23" i="101" s="1"/>
  <c r="K23" i="100"/>
  <c r="K23" i="101" s="1"/>
  <c r="J23" i="100"/>
  <c r="J23" i="101" s="1"/>
  <c r="I23" i="100"/>
  <c r="I23" i="101" s="1"/>
  <c r="H23" i="100"/>
  <c r="H23" i="101" s="1"/>
  <c r="AE22" i="100"/>
  <c r="AE22" i="101" s="1"/>
  <c r="AD22" i="100"/>
  <c r="AD22" i="101" s="1"/>
  <c r="AC22" i="100"/>
  <c r="AC22" i="101" s="1"/>
  <c r="AB22" i="100"/>
  <c r="AB22" i="101" s="1"/>
  <c r="AA22" i="100"/>
  <c r="AA22" i="101" s="1"/>
  <c r="Z22" i="100"/>
  <c r="Z22" i="101" s="1"/>
  <c r="Y22" i="100"/>
  <c r="Y22" i="101" s="1"/>
  <c r="X22" i="100"/>
  <c r="X22" i="101" s="1"/>
  <c r="W22" i="100"/>
  <c r="W22" i="101" s="1"/>
  <c r="V22" i="100"/>
  <c r="V22" i="101" s="1"/>
  <c r="U22" i="100"/>
  <c r="U22" i="101" s="1"/>
  <c r="T22" i="100"/>
  <c r="T22" i="101" s="1"/>
  <c r="S22" i="100"/>
  <c r="S22" i="101" s="1"/>
  <c r="R22" i="100"/>
  <c r="R22" i="101" s="1"/>
  <c r="Q22" i="100"/>
  <c r="Q22" i="101" s="1"/>
  <c r="P22" i="100"/>
  <c r="P22" i="101" s="1"/>
  <c r="O22" i="100"/>
  <c r="O22" i="101" s="1"/>
  <c r="N22" i="100"/>
  <c r="N22" i="101" s="1"/>
  <c r="M22" i="100"/>
  <c r="M22" i="101" s="1"/>
  <c r="L22" i="100"/>
  <c r="L22" i="101" s="1"/>
  <c r="K22" i="100"/>
  <c r="K22" i="101" s="1"/>
  <c r="J22" i="100"/>
  <c r="J22" i="101" s="1"/>
  <c r="I22" i="100"/>
  <c r="I22" i="101" s="1"/>
  <c r="H22" i="100"/>
  <c r="H22" i="101" s="1"/>
  <c r="AE21" i="100"/>
  <c r="AE21" i="101" s="1"/>
  <c r="AD21" i="100"/>
  <c r="AD21" i="101" s="1"/>
  <c r="AC21" i="100"/>
  <c r="AC21" i="101" s="1"/>
  <c r="AB21" i="100"/>
  <c r="AB21" i="101" s="1"/>
  <c r="AA21" i="100"/>
  <c r="AA21" i="101" s="1"/>
  <c r="Z21" i="100"/>
  <c r="Z21" i="101" s="1"/>
  <c r="Y21" i="100"/>
  <c r="Y21" i="101" s="1"/>
  <c r="X21" i="100"/>
  <c r="X21" i="101" s="1"/>
  <c r="W21" i="100"/>
  <c r="W21" i="101" s="1"/>
  <c r="V21" i="100"/>
  <c r="V21" i="101" s="1"/>
  <c r="U21" i="100"/>
  <c r="U21" i="101" s="1"/>
  <c r="T21" i="100"/>
  <c r="T21" i="101" s="1"/>
  <c r="S21" i="100"/>
  <c r="S21" i="101" s="1"/>
  <c r="R21" i="100"/>
  <c r="R21" i="101" s="1"/>
  <c r="Q21" i="100"/>
  <c r="Q21" i="101" s="1"/>
  <c r="P21" i="100"/>
  <c r="P21" i="101" s="1"/>
  <c r="O21" i="100"/>
  <c r="O21" i="101" s="1"/>
  <c r="N21" i="100"/>
  <c r="N21" i="101" s="1"/>
  <c r="M21" i="100"/>
  <c r="M21" i="101" s="1"/>
  <c r="L21" i="100"/>
  <c r="L21" i="101" s="1"/>
  <c r="K21" i="100"/>
  <c r="K21" i="101" s="1"/>
  <c r="J21" i="100"/>
  <c r="J21" i="101" s="1"/>
  <c r="I21" i="100"/>
  <c r="I21" i="101" s="1"/>
  <c r="H21" i="100"/>
  <c r="H21" i="101" s="1"/>
  <c r="AE19" i="100"/>
  <c r="AD19"/>
  <c r="AC19"/>
  <c r="AB19"/>
  <c r="AA19"/>
  <c r="Z19"/>
  <c r="Y19"/>
  <c r="X19"/>
  <c r="W19"/>
  <c r="V19"/>
  <c r="U19"/>
  <c r="T19"/>
  <c r="S19"/>
  <c r="R19"/>
  <c r="Q19"/>
  <c r="P19"/>
  <c r="O19"/>
  <c r="N19"/>
  <c r="M19"/>
  <c r="L19"/>
  <c r="K19"/>
  <c r="J19"/>
  <c r="I19"/>
  <c r="H19"/>
  <c r="AE18"/>
  <c r="AD18"/>
  <c r="AC18"/>
  <c r="AB18"/>
  <c r="AA18"/>
  <c r="Z18"/>
  <c r="Y18"/>
  <c r="X18"/>
  <c r="W18"/>
  <c r="V18"/>
  <c r="U18"/>
  <c r="T18"/>
  <c r="S18"/>
  <c r="R18"/>
  <c r="Q18"/>
  <c r="P18"/>
  <c r="O18"/>
  <c r="N18"/>
  <c r="M18"/>
  <c r="L18"/>
  <c r="K18"/>
  <c r="J18"/>
  <c r="I18"/>
  <c r="H18"/>
  <c r="AE17"/>
  <c r="AD17"/>
  <c r="AC17"/>
  <c r="AB17"/>
  <c r="AA17"/>
  <c r="Z17"/>
  <c r="Y17"/>
  <c r="X17"/>
  <c r="W17"/>
  <c r="V17"/>
  <c r="U17"/>
  <c r="T17"/>
  <c r="S17"/>
  <c r="R17"/>
  <c r="Q17"/>
  <c r="P17"/>
  <c r="O17"/>
  <c r="N17"/>
  <c r="M17"/>
  <c r="L17"/>
  <c r="K17"/>
  <c r="J17"/>
  <c r="I17"/>
  <c r="H17"/>
  <c r="AE15"/>
  <c r="AE15" i="101" s="1"/>
  <c r="AD15" i="100"/>
  <c r="AD15" i="101" s="1"/>
  <c r="AC15" i="100"/>
  <c r="AC15" i="101" s="1"/>
  <c r="AB15" i="100"/>
  <c r="AB15" i="101" s="1"/>
  <c r="AA15" i="100"/>
  <c r="AA15" i="101" s="1"/>
  <c r="Z15" i="100"/>
  <c r="Z15" i="101" s="1"/>
  <c r="Y15" i="100"/>
  <c r="Y15" i="101" s="1"/>
  <c r="X15" i="100"/>
  <c r="X15" i="101" s="1"/>
  <c r="W15" i="100"/>
  <c r="W15" i="101" s="1"/>
  <c r="V15" i="100"/>
  <c r="V15" i="101" s="1"/>
  <c r="U15" i="100"/>
  <c r="U15" i="101" s="1"/>
  <c r="T15" i="100"/>
  <c r="T15" i="101" s="1"/>
  <c r="S15" i="100"/>
  <c r="S15" i="101" s="1"/>
  <c r="R15" i="100"/>
  <c r="R15" i="101" s="1"/>
  <c r="Q15" i="100"/>
  <c r="Q15" i="101" s="1"/>
  <c r="P15" i="100"/>
  <c r="P15" i="101" s="1"/>
  <c r="O15" i="100"/>
  <c r="O15" i="101" s="1"/>
  <c r="N15" i="100"/>
  <c r="N15" i="101" s="1"/>
  <c r="M15" i="100"/>
  <c r="M15" i="101" s="1"/>
  <c r="L15" i="100"/>
  <c r="L15" i="101" s="1"/>
  <c r="K15" i="100"/>
  <c r="K15" i="101" s="1"/>
  <c r="J15" i="100"/>
  <c r="J15" i="101" s="1"/>
  <c r="I15" i="100"/>
  <c r="I15" i="101" s="1"/>
  <c r="H15" i="100"/>
  <c r="H15" i="101" s="1"/>
  <c r="AE14" i="100"/>
  <c r="AE14" i="101" s="1"/>
  <c r="AD14" i="100"/>
  <c r="AD14" i="101" s="1"/>
  <c r="AC14" i="100"/>
  <c r="AC14" i="101" s="1"/>
  <c r="AB14" i="100"/>
  <c r="AB14" i="101" s="1"/>
  <c r="AA14" i="100"/>
  <c r="AA14" i="101" s="1"/>
  <c r="Z14" i="100"/>
  <c r="Z14" i="101" s="1"/>
  <c r="Y14" i="100"/>
  <c r="Y14" i="101" s="1"/>
  <c r="X14" i="100"/>
  <c r="X14" i="101" s="1"/>
  <c r="W14" i="100"/>
  <c r="W14" i="101" s="1"/>
  <c r="V14" i="100"/>
  <c r="V14" i="101" s="1"/>
  <c r="U14" i="100"/>
  <c r="U14" i="101" s="1"/>
  <c r="T14" i="100"/>
  <c r="T14" i="101" s="1"/>
  <c r="S14" i="100"/>
  <c r="S14" i="101" s="1"/>
  <c r="R14" i="100"/>
  <c r="R14" i="101" s="1"/>
  <c r="Q14" i="100"/>
  <c r="Q14" i="101" s="1"/>
  <c r="P14" i="100"/>
  <c r="P14" i="101" s="1"/>
  <c r="O14" i="100"/>
  <c r="O14" i="101" s="1"/>
  <c r="N14" i="100"/>
  <c r="N14" i="101" s="1"/>
  <c r="M14" i="100"/>
  <c r="M14" i="101" s="1"/>
  <c r="L14" i="100"/>
  <c r="L14" i="101" s="1"/>
  <c r="K14" i="100"/>
  <c r="K14" i="101" s="1"/>
  <c r="J14" i="100"/>
  <c r="J14" i="101" s="1"/>
  <c r="I14" i="100"/>
  <c r="I14" i="101" s="1"/>
  <c r="H14" i="100"/>
  <c r="H14" i="101" s="1"/>
  <c r="AE13" i="100"/>
  <c r="AD13"/>
  <c r="AC13"/>
  <c r="AB13"/>
  <c r="AA13"/>
  <c r="Z13"/>
  <c r="Y13"/>
  <c r="X13"/>
  <c r="W13"/>
  <c r="V13"/>
  <c r="U13"/>
  <c r="T13"/>
  <c r="S13"/>
  <c r="R13"/>
  <c r="Q13"/>
  <c r="P13"/>
  <c r="O13"/>
  <c r="N13"/>
  <c r="M13"/>
  <c r="L13"/>
  <c r="K13"/>
  <c r="J13"/>
  <c r="I13"/>
  <c r="H13"/>
  <c r="AE9"/>
  <c r="AE9" i="101" s="1"/>
  <c r="AD9" i="100"/>
  <c r="AD9" i="101" s="1"/>
  <c r="AC9" i="100"/>
  <c r="AC9" i="101" s="1"/>
  <c r="AB9" i="100"/>
  <c r="AB9" i="101" s="1"/>
  <c r="AA9" i="100"/>
  <c r="AA9" i="101" s="1"/>
  <c r="Z9" i="100"/>
  <c r="Z9" i="101" s="1"/>
  <c r="Y9" i="100"/>
  <c r="Y9" i="101" s="1"/>
  <c r="X9" i="100"/>
  <c r="X9" i="101" s="1"/>
  <c r="W9" i="100"/>
  <c r="W9" i="101" s="1"/>
  <c r="V9" i="100"/>
  <c r="V9" i="101" s="1"/>
  <c r="U9" i="100"/>
  <c r="U9" i="101" s="1"/>
  <c r="T9" i="100"/>
  <c r="T9" i="101" s="1"/>
  <c r="S9" i="100"/>
  <c r="S9" i="101" s="1"/>
  <c r="R9" i="100"/>
  <c r="R9" i="101" s="1"/>
  <c r="Q9" i="100"/>
  <c r="Q9" i="101" s="1"/>
  <c r="P9" i="100"/>
  <c r="P9" i="101" s="1"/>
  <c r="O9" i="100"/>
  <c r="O9" i="101" s="1"/>
  <c r="N9" i="100"/>
  <c r="N9" i="101" s="1"/>
  <c r="M9" i="100"/>
  <c r="M9" i="101" s="1"/>
  <c r="L9" i="100"/>
  <c r="L9" i="101" s="1"/>
  <c r="K9" i="100"/>
  <c r="K9" i="101" s="1"/>
  <c r="J9" i="100"/>
  <c r="J9" i="101" s="1"/>
  <c r="I9" i="100"/>
  <c r="I9" i="101" s="1"/>
  <c r="H9" i="100"/>
  <c r="H9" i="101" s="1"/>
  <c r="AE8" i="100"/>
  <c r="AE8" i="101" s="1"/>
  <c r="AD8" i="100"/>
  <c r="AD8" i="101" s="1"/>
  <c r="AC8" i="100"/>
  <c r="AC8" i="101" s="1"/>
  <c r="AB8" i="100"/>
  <c r="AB8" i="101" s="1"/>
  <c r="AA8" i="100"/>
  <c r="AA8" i="101" s="1"/>
  <c r="Z8" i="100"/>
  <c r="Z8" i="101" s="1"/>
  <c r="Y8" i="100"/>
  <c r="Y8" i="101" s="1"/>
  <c r="X8" i="100"/>
  <c r="X8" i="101" s="1"/>
  <c r="W8" i="100"/>
  <c r="W8" i="101" s="1"/>
  <c r="V8" i="100"/>
  <c r="V8" i="101" s="1"/>
  <c r="U8" i="100"/>
  <c r="U8" i="101" s="1"/>
  <c r="T8" i="100"/>
  <c r="T8" i="101" s="1"/>
  <c r="S8" i="100"/>
  <c r="S8" i="101" s="1"/>
  <c r="R8" i="100"/>
  <c r="R8" i="101" s="1"/>
  <c r="Q8" i="100"/>
  <c r="Q8" i="101" s="1"/>
  <c r="P8" i="100"/>
  <c r="P8" i="101" s="1"/>
  <c r="O8" i="100"/>
  <c r="O8" i="101" s="1"/>
  <c r="N8" i="100"/>
  <c r="N8" i="101" s="1"/>
  <c r="M8" i="100"/>
  <c r="M8" i="101" s="1"/>
  <c r="L8" i="100"/>
  <c r="L8" i="101" s="1"/>
  <c r="K8" i="100"/>
  <c r="K8" i="101" s="1"/>
  <c r="J8" i="100"/>
  <c r="J8" i="101" s="1"/>
  <c r="I8" i="100"/>
  <c r="I8" i="101" s="1"/>
  <c r="H8" i="100"/>
  <c r="H8" i="101" s="1"/>
  <c r="AE7" i="100"/>
  <c r="AE7" i="101" s="1"/>
  <c r="AD7" i="100"/>
  <c r="AD7" i="101" s="1"/>
  <c r="AC7" i="100"/>
  <c r="AC7" i="101" s="1"/>
  <c r="AB7" i="100"/>
  <c r="AB7" i="101" s="1"/>
  <c r="AA7" i="100"/>
  <c r="AA7" i="101" s="1"/>
  <c r="Z7" i="100"/>
  <c r="Z7" i="101" s="1"/>
  <c r="Y7" i="100"/>
  <c r="Y7" i="101" s="1"/>
  <c r="X7" i="100"/>
  <c r="X7" i="101" s="1"/>
  <c r="W7" i="100"/>
  <c r="W7" i="101" s="1"/>
  <c r="V7" i="100"/>
  <c r="V7" i="101" s="1"/>
  <c r="U7" i="100"/>
  <c r="U7" i="101" s="1"/>
  <c r="T7" i="100"/>
  <c r="T7" i="101" s="1"/>
  <c r="S7" i="100"/>
  <c r="S7" i="101" s="1"/>
  <c r="R7" i="100"/>
  <c r="R7" i="101" s="1"/>
  <c r="Q7" i="100"/>
  <c r="Q7" i="101" s="1"/>
  <c r="P7" i="100"/>
  <c r="P7" i="101" s="1"/>
  <c r="O7" i="100"/>
  <c r="O7" i="101" s="1"/>
  <c r="N7" i="100"/>
  <c r="N7" i="101" s="1"/>
  <c r="M7" i="100"/>
  <c r="M7" i="101" s="1"/>
  <c r="L7" i="100"/>
  <c r="L7" i="101" s="1"/>
  <c r="K7" i="100"/>
  <c r="K7" i="101" s="1"/>
  <c r="J7" i="100"/>
  <c r="J7" i="101" s="1"/>
  <c r="I7" i="100"/>
  <c r="I7" i="101" s="1"/>
  <c r="H7" i="100"/>
  <c r="H7" i="101" s="1"/>
  <c r="AE6" i="100"/>
  <c r="AE6" i="101" s="1"/>
  <c r="AD6" i="100"/>
  <c r="AD6" i="101" s="1"/>
  <c r="AC6" i="100"/>
  <c r="AC6" i="101" s="1"/>
  <c r="AB6" i="100"/>
  <c r="AB6" i="101" s="1"/>
  <c r="AA6" i="100"/>
  <c r="AA6" i="101" s="1"/>
  <c r="Z6" i="100"/>
  <c r="Z6" i="101" s="1"/>
  <c r="Y6" i="100"/>
  <c r="Y6" i="101" s="1"/>
  <c r="X6" i="100"/>
  <c r="X6" i="101" s="1"/>
  <c r="W6" i="100"/>
  <c r="W6" i="101" s="1"/>
  <c r="V6" i="100"/>
  <c r="V6" i="101" s="1"/>
  <c r="U6" i="100"/>
  <c r="U6" i="101" s="1"/>
  <c r="T6" i="100"/>
  <c r="T6" i="101" s="1"/>
  <c r="S6" i="100"/>
  <c r="S6" i="101" s="1"/>
  <c r="R6" i="100"/>
  <c r="R6" i="101" s="1"/>
  <c r="Q6" i="100"/>
  <c r="Q6" i="101" s="1"/>
  <c r="P6" i="100"/>
  <c r="P6" i="101" s="1"/>
  <c r="O6" i="100"/>
  <c r="O6" i="101" s="1"/>
  <c r="N6" i="100"/>
  <c r="N6" i="101" s="1"/>
  <c r="M6" i="100"/>
  <c r="M6" i="101" s="1"/>
  <c r="L6" i="100"/>
  <c r="L6" i="101" s="1"/>
  <c r="K6" i="100"/>
  <c r="K6" i="101" s="1"/>
  <c r="J6" i="100"/>
  <c r="J6" i="101" s="1"/>
  <c r="I6" i="100"/>
  <c r="I6" i="101" s="1"/>
  <c r="H6" i="100"/>
  <c r="H6" i="101" s="1"/>
  <c r="B23" i="115"/>
  <c r="J10" i="101" l="1"/>
  <c r="J54" s="1"/>
  <c r="J51"/>
  <c r="R52"/>
  <c r="J53"/>
  <c r="J59"/>
  <c r="R25"/>
  <c r="R69" s="1"/>
  <c r="R65"/>
  <c r="Z66"/>
  <c r="R68"/>
  <c r="J70"/>
  <c r="S11"/>
  <c r="S55" s="1"/>
  <c r="S50"/>
  <c r="S72"/>
  <c r="S79"/>
  <c r="S80"/>
  <c r="S85"/>
  <c r="S73"/>
  <c r="S83"/>
  <c r="S82"/>
  <c r="S84"/>
  <c r="S74"/>
  <c r="S78"/>
  <c r="S75"/>
  <c r="S77"/>
  <c r="S76"/>
  <c r="S86"/>
  <c r="S81"/>
  <c r="S71"/>
  <c r="AA51"/>
  <c r="AA10"/>
  <c r="AA54" s="1"/>
  <c r="K53"/>
  <c r="AA58"/>
  <c r="S25"/>
  <c r="S69" s="1"/>
  <c r="S65"/>
  <c r="AA66"/>
  <c r="S68"/>
  <c r="AA70"/>
  <c r="L10"/>
  <c r="L54" s="1"/>
  <c r="L51"/>
  <c r="T52"/>
  <c r="AB53"/>
  <c r="L59"/>
  <c r="T25"/>
  <c r="T69" s="1"/>
  <c r="T65"/>
  <c r="AB66"/>
  <c r="L68"/>
  <c r="T70"/>
  <c r="M11"/>
  <c r="M55" s="1"/>
  <c r="M50"/>
  <c r="M80"/>
  <c r="M72"/>
  <c r="M85"/>
  <c r="M73"/>
  <c r="M78"/>
  <c r="M84"/>
  <c r="M75"/>
  <c r="M86"/>
  <c r="M81"/>
  <c r="M83"/>
  <c r="M79"/>
  <c r="M76"/>
  <c r="M77"/>
  <c r="M82"/>
  <c r="M74"/>
  <c r="M71"/>
  <c r="U10"/>
  <c r="U54" s="1"/>
  <c r="U51"/>
  <c r="AC52"/>
  <c r="M59"/>
  <c r="U25"/>
  <c r="U69" s="1"/>
  <c r="U65"/>
  <c r="M67"/>
  <c r="U68"/>
  <c r="AC70"/>
  <c r="N11"/>
  <c r="N55" s="1"/>
  <c r="N50"/>
  <c r="N72"/>
  <c r="N84"/>
  <c r="N86"/>
  <c r="N80"/>
  <c r="N83"/>
  <c r="N73"/>
  <c r="N79"/>
  <c r="N81"/>
  <c r="N75"/>
  <c r="N85"/>
  <c r="N82"/>
  <c r="N78"/>
  <c r="N77"/>
  <c r="N76"/>
  <c r="N74"/>
  <c r="N71"/>
  <c r="V11"/>
  <c r="V55" s="1"/>
  <c r="V50"/>
  <c r="V84"/>
  <c r="V83"/>
  <c r="V72"/>
  <c r="V86"/>
  <c r="V80"/>
  <c r="V78"/>
  <c r="V73"/>
  <c r="V75"/>
  <c r="V76"/>
  <c r="V74"/>
  <c r="V79"/>
  <c r="V81"/>
  <c r="V85"/>
  <c r="V77"/>
  <c r="V82"/>
  <c r="V71"/>
  <c r="AD11"/>
  <c r="AD55" s="1"/>
  <c r="AD50"/>
  <c r="AD83"/>
  <c r="AD84"/>
  <c r="AD80"/>
  <c r="AD72"/>
  <c r="AD86"/>
  <c r="AD71"/>
  <c r="AD79"/>
  <c r="AD85"/>
  <c r="AD75"/>
  <c r="AD73"/>
  <c r="AD76"/>
  <c r="AD74"/>
  <c r="AD81"/>
  <c r="AD82"/>
  <c r="AD77"/>
  <c r="AD78"/>
  <c r="N10"/>
  <c r="N54" s="1"/>
  <c r="N51"/>
  <c r="V10"/>
  <c r="V54" s="1"/>
  <c r="V51"/>
  <c r="AD10"/>
  <c r="AD54" s="1"/>
  <c r="AD51"/>
  <c r="N52"/>
  <c r="V52"/>
  <c r="AD52"/>
  <c r="N53"/>
  <c r="V53"/>
  <c r="AD53"/>
  <c r="N58"/>
  <c r="V58"/>
  <c r="AD58"/>
  <c r="N59"/>
  <c r="V59"/>
  <c r="AD59"/>
  <c r="N25"/>
  <c r="N69" s="1"/>
  <c r="N65"/>
  <c r="V25"/>
  <c r="V69" s="1"/>
  <c r="V65"/>
  <c r="AD25"/>
  <c r="AD69" s="1"/>
  <c r="AD65"/>
  <c r="N66"/>
  <c r="V66"/>
  <c r="AD66"/>
  <c r="N67"/>
  <c r="V67"/>
  <c r="AD67"/>
  <c r="N68"/>
  <c r="V68"/>
  <c r="AD68"/>
  <c r="N70"/>
  <c r="V70"/>
  <c r="AD70"/>
  <c r="J11"/>
  <c r="J55" s="1"/>
  <c r="J50"/>
  <c r="J79"/>
  <c r="J81"/>
  <c r="J72"/>
  <c r="J82"/>
  <c r="J85"/>
  <c r="J80"/>
  <c r="J84"/>
  <c r="J75"/>
  <c r="J74"/>
  <c r="J83"/>
  <c r="J73"/>
  <c r="J76"/>
  <c r="J77"/>
  <c r="J86"/>
  <c r="J78"/>
  <c r="J71"/>
  <c r="R10"/>
  <c r="R54" s="1"/>
  <c r="R51"/>
  <c r="Z52"/>
  <c r="Z58"/>
  <c r="J65"/>
  <c r="J25"/>
  <c r="J69" s="1"/>
  <c r="R66"/>
  <c r="Z67"/>
  <c r="R70"/>
  <c r="K10"/>
  <c r="K54" s="1"/>
  <c r="K51"/>
  <c r="S52"/>
  <c r="AA53"/>
  <c r="S58"/>
  <c r="AA59"/>
  <c r="AA65"/>
  <c r="AA25"/>
  <c r="AA69" s="1"/>
  <c r="K67"/>
  <c r="K68"/>
  <c r="S70"/>
  <c r="T11"/>
  <c r="T55" s="1"/>
  <c r="T50"/>
  <c r="T82"/>
  <c r="T85"/>
  <c r="T74"/>
  <c r="T75"/>
  <c r="T81"/>
  <c r="T73"/>
  <c r="T79"/>
  <c r="T84"/>
  <c r="T77"/>
  <c r="T83"/>
  <c r="T76"/>
  <c r="T78"/>
  <c r="T80"/>
  <c r="T86"/>
  <c r="T72"/>
  <c r="T71"/>
  <c r="AB51"/>
  <c r="AB10"/>
  <c r="AB54" s="1"/>
  <c r="L53"/>
  <c r="L58"/>
  <c r="T59"/>
  <c r="L66"/>
  <c r="T67"/>
  <c r="AB68"/>
  <c r="M10"/>
  <c r="M54" s="1"/>
  <c r="M51"/>
  <c r="M52"/>
  <c r="U53"/>
  <c r="U58"/>
  <c r="AC59"/>
  <c r="AC65"/>
  <c r="AC25"/>
  <c r="AC69" s="1"/>
  <c r="AC66"/>
  <c r="M68"/>
  <c r="U70"/>
  <c r="O50"/>
  <c r="O11"/>
  <c r="O55" s="1"/>
  <c r="O86"/>
  <c r="O79"/>
  <c r="O81"/>
  <c r="O84"/>
  <c r="O83"/>
  <c r="O82"/>
  <c r="O74"/>
  <c r="O77"/>
  <c r="O75"/>
  <c r="O73"/>
  <c r="O72"/>
  <c r="O85"/>
  <c r="O80"/>
  <c r="O76"/>
  <c r="O78"/>
  <c r="O71"/>
  <c r="W50"/>
  <c r="W11"/>
  <c r="W55" s="1"/>
  <c r="W79"/>
  <c r="W81"/>
  <c r="W86"/>
  <c r="W84"/>
  <c r="W76"/>
  <c r="W74"/>
  <c r="W78"/>
  <c r="W83"/>
  <c r="W82"/>
  <c r="W80"/>
  <c r="W72"/>
  <c r="W85"/>
  <c r="W75"/>
  <c r="W73"/>
  <c r="W77"/>
  <c r="W71"/>
  <c r="AE83"/>
  <c r="AE50"/>
  <c r="AE11"/>
  <c r="AE55" s="1"/>
  <c r="AE81"/>
  <c r="AE79"/>
  <c r="AE84"/>
  <c r="AE86"/>
  <c r="AE73"/>
  <c r="AE76"/>
  <c r="AE75"/>
  <c r="AE80"/>
  <c r="AE77"/>
  <c r="AE82"/>
  <c r="AE74"/>
  <c r="AE78"/>
  <c r="AE72"/>
  <c r="AE85"/>
  <c r="AE71"/>
  <c r="O51"/>
  <c r="O10"/>
  <c r="O54" s="1"/>
  <c r="W51"/>
  <c r="W10"/>
  <c r="W54" s="1"/>
  <c r="AE10"/>
  <c r="AE54" s="1"/>
  <c r="AE51"/>
  <c r="O52"/>
  <c r="W52"/>
  <c r="AE52"/>
  <c r="O53"/>
  <c r="W53"/>
  <c r="AE53"/>
  <c r="O58"/>
  <c r="W58"/>
  <c r="AE58"/>
  <c r="O59"/>
  <c r="W59"/>
  <c r="AE59"/>
  <c r="O25"/>
  <c r="O69" s="1"/>
  <c r="O65"/>
  <c r="W65"/>
  <c r="W25"/>
  <c r="W69" s="1"/>
  <c r="AE65"/>
  <c r="AE25"/>
  <c r="AE69" s="1"/>
  <c r="O66"/>
  <c r="W66"/>
  <c r="AE66"/>
  <c r="O67"/>
  <c r="W67"/>
  <c r="AE67"/>
  <c r="O68"/>
  <c r="W68"/>
  <c r="AE68"/>
  <c r="O70"/>
  <c r="W70"/>
  <c r="AE70"/>
  <c r="R11"/>
  <c r="R55" s="1"/>
  <c r="R50"/>
  <c r="R79"/>
  <c r="R80"/>
  <c r="R82"/>
  <c r="R81"/>
  <c r="R85"/>
  <c r="R72"/>
  <c r="R84"/>
  <c r="R75"/>
  <c r="R83"/>
  <c r="R76"/>
  <c r="R77"/>
  <c r="R78"/>
  <c r="R73"/>
  <c r="R74"/>
  <c r="R86"/>
  <c r="R71"/>
  <c r="J52"/>
  <c r="Z53"/>
  <c r="J58"/>
  <c r="R59"/>
  <c r="J66"/>
  <c r="R67"/>
  <c r="Z68"/>
  <c r="K50"/>
  <c r="K11"/>
  <c r="K55" s="1"/>
  <c r="K79"/>
  <c r="K83"/>
  <c r="K80"/>
  <c r="K85"/>
  <c r="K84"/>
  <c r="K72"/>
  <c r="K73"/>
  <c r="K82"/>
  <c r="K76"/>
  <c r="K74"/>
  <c r="K77"/>
  <c r="K86"/>
  <c r="K81"/>
  <c r="K78"/>
  <c r="K75"/>
  <c r="K71"/>
  <c r="S10"/>
  <c r="S54" s="1"/>
  <c r="S51"/>
  <c r="AA52"/>
  <c r="K59"/>
  <c r="K66"/>
  <c r="S67"/>
  <c r="AA68"/>
  <c r="L11"/>
  <c r="L55" s="1"/>
  <c r="L50"/>
  <c r="L85"/>
  <c r="L82"/>
  <c r="L84"/>
  <c r="L74"/>
  <c r="L75"/>
  <c r="L77"/>
  <c r="L73"/>
  <c r="L80"/>
  <c r="L76"/>
  <c r="L81"/>
  <c r="L72"/>
  <c r="L79"/>
  <c r="L83"/>
  <c r="L86"/>
  <c r="L78"/>
  <c r="L71"/>
  <c r="T10"/>
  <c r="T54" s="1"/>
  <c r="T51"/>
  <c r="AB52"/>
  <c r="T58"/>
  <c r="AB59"/>
  <c r="L25"/>
  <c r="L69" s="1"/>
  <c r="L65"/>
  <c r="T66"/>
  <c r="AB67"/>
  <c r="L70"/>
  <c r="AC11"/>
  <c r="AC55" s="1"/>
  <c r="AC50"/>
  <c r="AC85"/>
  <c r="AC72"/>
  <c r="AC80"/>
  <c r="AC76"/>
  <c r="AC77"/>
  <c r="AC81"/>
  <c r="AC83"/>
  <c r="AC73"/>
  <c r="AC82"/>
  <c r="AC86"/>
  <c r="AC75"/>
  <c r="AC84"/>
  <c r="AC74"/>
  <c r="AC78"/>
  <c r="AC79"/>
  <c r="AC71"/>
  <c r="AC51"/>
  <c r="AC10"/>
  <c r="AC54" s="1"/>
  <c r="M53"/>
  <c r="M58"/>
  <c r="U59"/>
  <c r="M66"/>
  <c r="AC67"/>
  <c r="AC68"/>
  <c r="H11"/>
  <c r="H55" s="1"/>
  <c r="H50"/>
  <c r="H81"/>
  <c r="H84"/>
  <c r="H86"/>
  <c r="H79"/>
  <c r="H82"/>
  <c r="H83"/>
  <c r="H74"/>
  <c r="H80"/>
  <c r="H78"/>
  <c r="H85"/>
  <c r="H77"/>
  <c r="H72"/>
  <c r="H76"/>
  <c r="H73"/>
  <c r="H75"/>
  <c r="H71"/>
  <c r="P11"/>
  <c r="P55" s="1"/>
  <c r="P50"/>
  <c r="P81"/>
  <c r="P86"/>
  <c r="P84"/>
  <c r="P79"/>
  <c r="P83"/>
  <c r="P82"/>
  <c r="P78"/>
  <c r="P77"/>
  <c r="P85"/>
  <c r="P73"/>
  <c r="P72"/>
  <c r="P74"/>
  <c r="P76"/>
  <c r="P75"/>
  <c r="P80"/>
  <c r="P71"/>
  <c r="X11"/>
  <c r="X55" s="1"/>
  <c r="X50"/>
  <c r="X81"/>
  <c r="X82"/>
  <c r="X83"/>
  <c r="X79"/>
  <c r="X84"/>
  <c r="X86"/>
  <c r="X73"/>
  <c r="X80"/>
  <c r="X78"/>
  <c r="X77"/>
  <c r="X85"/>
  <c r="X76"/>
  <c r="X75"/>
  <c r="X72"/>
  <c r="X74"/>
  <c r="X71"/>
  <c r="H10"/>
  <c r="H54" s="1"/>
  <c r="H51"/>
  <c r="P10"/>
  <c r="P54" s="1"/>
  <c r="P51"/>
  <c r="X10"/>
  <c r="X54" s="1"/>
  <c r="X51"/>
  <c r="H52"/>
  <c r="P52"/>
  <c r="X52"/>
  <c r="H53"/>
  <c r="P53"/>
  <c r="X53"/>
  <c r="H58"/>
  <c r="P58"/>
  <c r="X58"/>
  <c r="H59"/>
  <c r="P59"/>
  <c r="X59"/>
  <c r="H25"/>
  <c r="H69" s="1"/>
  <c r="H65"/>
  <c r="P25"/>
  <c r="P69" s="1"/>
  <c r="P65"/>
  <c r="X25"/>
  <c r="X69" s="1"/>
  <c r="X65"/>
  <c r="H66"/>
  <c r="P66"/>
  <c r="X66"/>
  <c r="H67"/>
  <c r="P67"/>
  <c r="X67"/>
  <c r="H68"/>
  <c r="P68"/>
  <c r="X68"/>
  <c r="H70"/>
  <c r="P70"/>
  <c r="X70"/>
  <c r="Z11"/>
  <c r="Z55" s="1"/>
  <c r="Z50"/>
  <c r="Z80"/>
  <c r="Z74"/>
  <c r="Z84"/>
  <c r="Z79"/>
  <c r="Z81"/>
  <c r="Z85"/>
  <c r="Z82"/>
  <c r="Z73"/>
  <c r="Z86"/>
  <c r="Z72"/>
  <c r="Z77"/>
  <c r="Z78"/>
  <c r="Z76"/>
  <c r="Z75"/>
  <c r="Z83"/>
  <c r="Z71"/>
  <c r="Z51"/>
  <c r="Z10"/>
  <c r="Z54" s="1"/>
  <c r="R53"/>
  <c r="R58"/>
  <c r="Z59"/>
  <c r="Z25"/>
  <c r="Z69" s="1"/>
  <c r="Z65"/>
  <c r="J67"/>
  <c r="J68"/>
  <c r="Z70"/>
  <c r="AA11"/>
  <c r="AA55" s="1"/>
  <c r="AA50"/>
  <c r="AA79"/>
  <c r="AA82"/>
  <c r="AA84"/>
  <c r="AA80"/>
  <c r="AA74"/>
  <c r="AA85"/>
  <c r="AA73"/>
  <c r="AA83"/>
  <c r="AA77"/>
  <c r="AA75"/>
  <c r="AA78"/>
  <c r="AA86"/>
  <c r="AA76"/>
  <c r="AA81"/>
  <c r="AA72"/>
  <c r="AA71"/>
  <c r="K52"/>
  <c r="S53"/>
  <c r="K58"/>
  <c r="S59"/>
  <c r="K25"/>
  <c r="K69" s="1"/>
  <c r="K65"/>
  <c r="S66"/>
  <c r="AA67"/>
  <c r="K70"/>
  <c r="AB11"/>
  <c r="AB55" s="1"/>
  <c r="AB50"/>
  <c r="AB85"/>
  <c r="AB82"/>
  <c r="AB86"/>
  <c r="AB75"/>
  <c r="AB78"/>
  <c r="AB76"/>
  <c r="AB81"/>
  <c r="AB74"/>
  <c r="AB73"/>
  <c r="AB79"/>
  <c r="AB84"/>
  <c r="AB80"/>
  <c r="AB83"/>
  <c r="AB77"/>
  <c r="AB72"/>
  <c r="AB71"/>
  <c r="L52"/>
  <c r="T53"/>
  <c r="AB58"/>
  <c r="AB25"/>
  <c r="AB69" s="1"/>
  <c r="AB65"/>
  <c r="L67"/>
  <c r="T68"/>
  <c r="AB70"/>
  <c r="U50"/>
  <c r="U11"/>
  <c r="U55" s="1"/>
  <c r="U85"/>
  <c r="U80"/>
  <c r="U82"/>
  <c r="U75"/>
  <c r="U84"/>
  <c r="U73"/>
  <c r="U74"/>
  <c r="U79"/>
  <c r="U78"/>
  <c r="U72"/>
  <c r="U76"/>
  <c r="U77"/>
  <c r="U83"/>
  <c r="U81"/>
  <c r="U86"/>
  <c r="U71"/>
  <c r="U52"/>
  <c r="AC53"/>
  <c r="AC58"/>
  <c r="M65"/>
  <c r="M25"/>
  <c r="M69" s="1"/>
  <c r="U66"/>
  <c r="U67"/>
  <c r="M70"/>
  <c r="I11"/>
  <c r="I55" s="1"/>
  <c r="I50"/>
  <c r="I85"/>
  <c r="I82"/>
  <c r="I84"/>
  <c r="I86"/>
  <c r="I79"/>
  <c r="I81"/>
  <c r="I75"/>
  <c r="I74"/>
  <c r="I80"/>
  <c r="I83"/>
  <c r="I78"/>
  <c r="I77"/>
  <c r="I76"/>
  <c r="I73"/>
  <c r="I72"/>
  <c r="I71"/>
  <c r="Q50"/>
  <c r="Q11"/>
  <c r="Q55" s="1"/>
  <c r="Q79"/>
  <c r="Q82"/>
  <c r="Q86"/>
  <c r="Q85"/>
  <c r="Q81"/>
  <c r="Q84"/>
  <c r="Q76"/>
  <c r="Q83"/>
  <c r="Q78"/>
  <c r="Q73"/>
  <c r="Q74"/>
  <c r="Q80"/>
  <c r="Q77"/>
  <c r="Q72"/>
  <c r="Q75"/>
  <c r="Q71"/>
  <c r="Y50"/>
  <c r="Y11"/>
  <c r="Y55" s="1"/>
  <c r="Y81"/>
  <c r="Y84"/>
  <c r="Y74"/>
  <c r="Y86"/>
  <c r="Y79"/>
  <c r="Y85"/>
  <c r="Y82"/>
  <c r="Y72"/>
  <c r="Y78"/>
  <c r="Y76"/>
  <c r="Y75"/>
  <c r="Y80"/>
  <c r="Y83"/>
  <c r="Y73"/>
  <c r="Y77"/>
  <c r="Y71"/>
  <c r="I51"/>
  <c r="I10"/>
  <c r="I54" s="1"/>
  <c r="Q51"/>
  <c r="Q10"/>
  <c r="Q54" s="1"/>
  <c r="Y51"/>
  <c r="Y10"/>
  <c r="Y54" s="1"/>
  <c r="I52"/>
  <c r="Q52"/>
  <c r="Y52"/>
  <c r="I53"/>
  <c r="Q53"/>
  <c r="Y53"/>
  <c r="I58"/>
  <c r="Q58"/>
  <c r="Y58"/>
  <c r="I59"/>
  <c r="Q59"/>
  <c r="Y59"/>
  <c r="I65"/>
  <c r="I25"/>
  <c r="I69" s="1"/>
  <c r="Q25"/>
  <c r="Q69" s="1"/>
  <c r="Q65"/>
  <c r="Y65"/>
  <c r="Y25"/>
  <c r="Y69" s="1"/>
  <c r="I66"/>
  <c r="Q66"/>
  <c r="Y66"/>
  <c r="I67"/>
  <c r="Q67"/>
  <c r="Y67"/>
  <c r="I68"/>
  <c r="Q68"/>
  <c r="Y68"/>
  <c r="I70"/>
  <c r="Q70"/>
  <c r="Y70"/>
  <c r="N82" i="100"/>
  <c r="N81"/>
  <c r="N79"/>
  <c r="N86"/>
  <c r="N84"/>
  <c r="N83"/>
  <c r="N80"/>
  <c r="N85"/>
  <c r="W85"/>
  <c r="W84"/>
  <c r="W81"/>
  <c r="W80"/>
  <c r="W79"/>
  <c r="W82"/>
  <c r="W83"/>
  <c r="W86"/>
  <c r="O85"/>
  <c r="O84"/>
  <c r="O82"/>
  <c r="O79"/>
  <c r="O81"/>
  <c r="O86"/>
  <c r="O83"/>
  <c r="O80"/>
  <c r="AE85"/>
  <c r="AE84"/>
  <c r="AE82"/>
  <c r="AE79"/>
  <c r="AE80"/>
  <c r="AE86"/>
  <c r="AE83"/>
  <c r="AE81"/>
  <c r="H82"/>
  <c r="H85"/>
  <c r="H79"/>
  <c r="H81"/>
  <c r="H80"/>
  <c r="H83"/>
  <c r="H86"/>
  <c r="H84"/>
  <c r="P79"/>
  <c r="P85"/>
  <c r="P82"/>
  <c r="P86"/>
  <c r="P81"/>
  <c r="P84"/>
  <c r="P80"/>
  <c r="P83"/>
  <c r="X85"/>
  <c r="X82"/>
  <c r="X79"/>
  <c r="X83"/>
  <c r="X86"/>
  <c r="X84"/>
  <c r="X81"/>
  <c r="X80"/>
  <c r="AC86"/>
  <c r="AC84"/>
  <c r="AC81"/>
  <c r="AC79"/>
  <c r="AC80"/>
  <c r="AC85"/>
  <c r="AC83"/>
  <c r="AC82"/>
  <c r="Q85"/>
  <c r="Q82"/>
  <c r="Q81"/>
  <c r="Q86"/>
  <c r="Q83"/>
  <c r="Q79"/>
  <c r="Q80"/>
  <c r="Q84"/>
  <c r="J83"/>
  <c r="J86"/>
  <c r="J84"/>
  <c r="J79"/>
  <c r="J81"/>
  <c r="J80"/>
  <c r="J85"/>
  <c r="J82"/>
  <c r="R80"/>
  <c r="R85"/>
  <c r="R79"/>
  <c r="R84"/>
  <c r="R83"/>
  <c r="R86"/>
  <c r="R82"/>
  <c r="R81"/>
  <c r="Z85"/>
  <c r="Z84"/>
  <c r="Z79"/>
  <c r="Z82"/>
  <c r="Z80"/>
  <c r="Z81"/>
  <c r="Z83"/>
  <c r="Z86"/>
  <c r="M81"/>
  <c r="M79"/>
  <c r="M86"/>
  <c r="M84"/>
  <c r="M80"/>
  <c r="M85"/>
  <c r="M83"/>
  <c r="M82"/>
  <c r="V82"/>
  <c r="V81"/>
  <c r="V79"/>
  <c r="V84"/>
  <c r="V85"/>
  <c r="V80"/>
  <c r="V86"/>
  <c r="V83"/>
  <c r="Y85"/>
  <c r="Y82"/>
  <c r="Y80"/>
  <c r="Y84"/>
  <c r="Y83"/>
  <c r="Y79"/>
  <c r="Y81"/>
  <c r="Y86"/>
  <c r="K79"/>
  <c r="K82"/>
  <c r="K80"/>
  <c r="K83"/>
  <c r="K85"/>
  <c r="K81"/>
  <c r="K86"/>
  <c r="K84"/>
  <c r="S84"/>
  <c r="S82"/>
  <c r="S79"/>
  <c r="S81"/>
  <c r="S85"/>
  <c r="S80"/>
  <c r="S83"/>
  <c r="S86"/>
  <c r="AA80"/>
  <c r="AA83"/>
  <c r="AA82"/>
  <c r="AA84"/>
  <c r="AA81"/>
  <c r="AA86"/>
  <c r="AA85"/>
  <c r="AA79"/>
  <c r="U81"/>
  <c r="U79"/>
  <c r="U86"/>
  <c r="U84"/>
  <c r="U83"/>
  <c r="U85"/>
  <c r="U80"/>
  <c r="U82"/>
  <c r="AD84"/>
  <c r="AD82"/>
  <c r="AD81"/>
  <c r="AD79"/>
  <c r="AD80"/>
  <c r="AD86"/>
  <c r="AD85"/>
  <c r="AD83"/>
  <c r="I85"/>
  <c r="I82"/>
  <c r="I81"/>
  <c r="I86"/>
  <c r="I84"/>
  <c r="I80"/>
  <c r="I79"/>
  <c r="I83"/>
  <c r="L86"/>
  <c r="L84"/>
  <c r="L83"/>
  <c r="L81"/>
  <c r="L79"/>
  <c r="L80"/>
  <c r="L85"/>
  <c r="L82"/>
  <c r="T83"/>
  <c r="T81"/>
  <c r="T86"/>
  <c r="T84"/>
  <c r="T80"/>
  <c r="T82"/>
  <c r="T85"/>
  <c r="T79"/>
  <c r="AB86"/>
  <c r="AB84"/>
  <c r="AB83"/>
  <c r="AB81"/>
  <c r="AB80"/>
  <c r="AB79"/>
  <c r="AB85"/>
  <c r="AB82"/>
  <c r="AE77"/>
  <c r="AE76"/>
  <c r="AE78"/>
  <c r="AE75"/>
  <c r="H76"/>
  <c r="H78"/>
  <c r="H75"/>
  <c r="H77"/>
  <c r="P75"/>
  <c r="P77"/>
  <c r="P76"/>
  <c r="P78"/>
  <c r="X75"/>
  <c r="X77"/>
  <c r="X76"/>
  <c r="X78"/>
  <c r="I75"/>
  <c r="I77"/>
  <c r="I76"/>
  <c r="I78"/>
  <c r="Q75"/>
  <c r="Q77"/>
  <c r="Q76"/>
  <c r="Q78"/>
  <c r="Y76"/>
  <c r="Y75"/>
  <c r="Y77"/>
  <c r="Y78"/>
  <c r="AC77"/>
  <c r="AC76"/>
  <c r="AC75"/>
  <c r="AC78"/>
  <c r="N77"/>
  <c r="N76"/>
  <c r="N75"/>
  <c r="N78"/>
  <c r="J75"/>
  <c r="J77"/>
  <c r="J76"/>
  <c r="J78"/>
  <c r="R75"/>
  <c r="R77"/>
  <c r="R76"/>
  <c r="R78"/>
  <c r="Z76"/>
  <c r="Z75"/>
  <c r="Z77"/>
  <c r="Z78"/>
  <c r="M76"/>
  <c r="M77"/>
  <c r="M75"/>
  <c r="M78"/>
  <c r="AD77"/>
  <c r="AD76"/>
  <c r="AD78"/>
  <c r="AD75"/>
  <c r="W76"/>
  <c r="W78"/>
  <c r="W75"/>
  <c r="W77"/>
  <c r="K77"/>
  <c r="K76"/>
  <c r="K78"/>
  <c r="K75"/>
  <c r="S75"/>
  <c r="S77"/>
  <c r="S76"/>
  <c r="S78"/>
  <c r="AA75"/>
  <c r="AA77"/>
  <c r="AA76"/>
  <c r="AA78"/>
  <c r="U77"/>
  <c r="U76"/>
  <c r="U75"/>
  <c r="U78"/>
  <c r="V76"/>
  <c r="V77"/>
  <c r="V75"/>
  <c r="V78"/>
  <c r="O76"/>
  <c r="O78"/>
  <c r="O75"/>
  <c r="O77"/>
  <c r="L78"/>
  <c r="L77"/>
  <c r="L76"/>
  <c r="L75"/>
  <c r="T78"/>
  <c r="T77"/>
  <c r="T76"/>
  <c r="T75"/>
  <c r="AB78"/>
  <c r="AB77"/>
  <c r="AB76"/>
  <c r="AB75"/>
  <c r="O72"/>
  <c r="O73"/>
  <c r="O74"/>
  <c r="W72"/>
  <c r="W73"/>
  <c r="W74"/>
  <c r="AE72"/>
  <c r="AE73"/>
  <c r="AE74"/>
  <c r="U72"/>
  <c r="U73"/>
  <c r="U74"/>
  <c r="H72"/>
  <c r="H74"/>
  <c r="H73"/>
  <c r="P72"/>
  <c r="P74"/>
  <c r="P73"/>
  <c r="X72"/>
  <c r="X73"/>
  <c r="X74"/>
  <c r="V72"/>
  <c r="V73"/>
  <c r="V74"/>
  <c r="Q72"/>
  <c r="Q73"/>
  <c r="Q74"/>
  <c r="N72"/>
  <c r="N74"/>
  <c r="N73"/>
  <c r="I72"/>
  <c r="I74"/>
  <c r="I73"/>
  <c r="Y74"/>
  <c r="Y73"/>
  <c r="J72"/>
  <c r="J73"/>
  <c r="J74"/>
  <c r="R72"/>
  <c r="R73"/>
  <c r="R74"/>
  <c r="Z72"/>
  <c r="Z74"/>
  <c r="Z73"/>
  <c r="AC72"/>
  <c r="AC73"/>
  <c r="AC74"/>
  <c r="AD72"/>
  <c r="AD73"/>
  <c r="AD74"/>
  <c r="S72"/>
  <c r="S74"/>
  <c r="S73"/>
  <c r="M72"/>
  <c r="M73"/>
  <c r="M74"/>
  <c r="K72"/>
  <c r="K74"/>
  <c r="K73"/>
  <c r="AA72"/>
  <c r="AA73"/>
  <c r="AA74"/>
  <c r="L72"/>
  <c r="L74"/>
  <c r="L73"/>
  <c r="T72"/>
  <c r="T74"/>
  <c r="T73"/>
  <c r="AB72"/>
  <c r="AB73"/>
  <c r="AB74"/>
  <c r="Y72"/>
  <c r="E87" i="55"/>
  <c r="E20"/>
  <c r="E6" i="78"/>
  <c r="E6" i="143"/>
  <c r="D5" i="101"/>
  <c r="E68" i="55"/>
  <c r="E43"/>
  <c r="E5"/>
  <c r="E5" i="50"/>
  <c r="E81" i="55"/>
  <c r="D49" i="101"/>
  <c r="E74" i="55"/>
  <c r="E26"/>
  <c r="E50"/>
  <c r="D5" i="100"/>
  <c r="E61" i="55"/>
  <c r="AE63" i="100"/>
  <c r="U71"/>
  <c r="V66"/>
  <c r="K51"/>
  <c r="S51"/>
  <c r="AA51"/>
  <c r="K59"/>
  <c r="K70"/>
  <c r="L51"/>
  <c r="T51"/>
  <c r="AB51"/>
  <c r="K52"/>
  <c r="S52"/>
  <c r="AA52"/>
  <c r="AA59"/>
  <c r="L52"/>
  <c r="T52"/>
  <c r="AB52"/>
  <c r="J53"/>
  <c r="R53"/>
  <c r="Z53"/>
  <c r="N58"/>
  <c r="V58"/>
  <c r="AD58"/>
  <c r="L59"/>
  <c r="T59"/>
  <c r="AB59"/>
  <c r="N63"/>
  <c r="V63"/>
  <c r="AD63"/>
  <c r="L65"/>
  <c r="T65"/>
  <c r="AB65"/>
  <c r="O51"/>
  <c r="W51"/>
  <c r="AE51"/>
  <c r="M52"/>
  <c r="U52"/>
  <c r="AC52"/>
  <c r="K53"/>
  <c r="S53"/>
  <c r="AA53"/>
  <c r="Q57"/>
  <c r="O58"/>
  <c r="W58"/>
  <c r="AE58"/>
  <c r="M59"/>
  <c r="U59"/>
  <c r="AC59"/>
  <c r="K61"/>
  <c r="S61"/>
  <c r="AA61"/>
  <c r="W63"/>
  <c r="M65"/>
  <c r="U65"/>
  <c r="AC65"/>
  <c r="N52"/>
  <c r="V52"/>
  <c r="AD52"/>
  <c r="L53"/>
  <c r="T53"/>
  <c r="AB53"/>
  <c r="H52"/>
  <c r="P52"/>
  <c r="X52"/>
  <c r="AD10"/>
  <c r="AD54" s="1"/>
  <c r="AD51"/>
  <c r="H57"/>
  <c r="P57"/>
  <c r="X57"/>
  <c r="J61"/>
  <c r="R61"/>
  <c r="Z61"/>
  <c r="H62"/>
  <c r="P62"/>
  <c r="X62"/>
  <c r="J66"/>
  <c r="R66"/>
  <c r="Z66"/>
  <c r="H67"/>
  <c r="P67"/>
  <c r="X67"/>
  <c r="N68"/>
  <c r="V68"/>
  <c r="AD68"/>
  <c r="L70"/>
  <c r="T70"/>
  <c r="AB70"/>
  <c r="J71"/>
  <c r="R71"/>
  <c r="Z71"/>
  <c r="R62"/>
  <c r="N10"/>
  <c r="N54" s="1"/>
  <c r="N51"/>
  <c r="Y57"/>
  <c r="I67"/>
  <c r="J70"/>
  <c r="H51"/>
  <c r="P51"/>
  <c r="X51"/>
  <c r="J57"/>
  <c r="R57"/>
  <c r="Z57"/>
  <c r="H58"/>
  <c r="P58"/>
  <c r="X58"/>
  <c r="N59"/>
  <c r="V59"/>
  <c r="AD59"/>
  <c r="L61"/>
  <c r="J62"/>
  <c r="Z62"/>
  <c r="H63"/>
  <c r="P63"/>
  <c r="X63"/>
  <c r="L66"/>
  <c r="T66"/>
  <c r="AB66"/>
  <c r="H68"/>
  <c r="X68"/>
  <c r="O63"/>
  <c r="Q62"/>
  <c r="I51"/>
  <c r="Q51"/>
  <c r="Y51"/>
  <c r="O52"/>
  <c r="W52"/>
  <c r="AE52"/>
  <c r="M53"/>
  <c r="U53"/>
  <c r="AC53"/>
  <c r="K57"/>
  <c r="S57"/>
  <c r="AA57"/>
  <c r="I58"/>
  <c r="Q58"/>
  <c r="Y58"/>
  <c r="O59"/>
  <c r="W59"/>
  <c r="AE59"/>
  <c r="M61"/>
  <c r="AC61"/>
  <c r="K62"/>
  <c r="S62"/>
  <c r="AA62"/>
  <c r="O65"/>
  <c r="W65"/>
  <c r="AE65"/>
  <c r="K67"/>
  <c r="AA67"/>
  <c r="I68"/>
  <c r="Q68"/>
  <c r="Y68"/>
  <c r="M71"/>
  <c r="AC71"/>
  <c r="S67"/>
  <c r="Y67"/>
  <c r="J51"/>
  <c r="R51"/>
  <c r="Z51"/>
  <c r="N53"/>
  <c r="V53"/>
  <c r="AD53"/>
  <c r="L57"/>
  <c r="T57"/>
  <c r="AB57"/>
  <c r="J58"/>
  <c r="R58"/>
  <c r="Z58"/>
  <c r="N61"/>
  <c r="V61"/>
  <c r="AD61"/>
  <c r="N66"/>
  <c r="AD66"/>
  <c r="L67"/>
  <c r="T67"/>
  <c r="AB67"/>
  <c r="H70"/>
  <c r="P70"/>
  <c r="X70"/>
  <c r="P71"/>
  <c r="I57"/>
  <c r="I62"/>
  <c r="M11"/>
  <c r="M55" s="1"/>
  <c r="U11"/>
  <c r="U55" s="1"/>
  <c r="AC11"/>
  <c r="AC55" s="1"/>
  <c r="I10"/>
  <c r="I54" s="1"/>
  <c r="I52"/>
  <c r="Q52"/>
  <c r="Y10"/>
  <c r="Y54" s="1"/>
  <c r="Y52"/>
  <c r="O53"/>
  <c r="W53"/>
  <c r="AE11"/>
  <c r="AE55" s="1"/>
  <c r="AE53"/>
  <c r="M16"/>
  <c r="M60" s="1"/>
  <c r="M57"/>
  <c r="U16"/>
  <c r="U60" s="1"/>
  <c r="U57"/>
  <c r="AC16"/>
  <c r="AC60" s="1"/>
  <c r="AC57"/>
  <c r="K58"/>
  <c r="S58"/>
  <c r="AA58"/>
  <c r="I16"/>
  <c r="I60" s="1"/>
  <c r="I59"/>
  <c r="Q16"/>
  <c r="Q60" s="1"/>
  <c r="Q59"/>
  <c r="Y16"/>
  <c r="Y60" s="1"/>
  <c r="Y59"/>
  <c r="K63"/>
  <c r="S63"/>
  <c r="AA63"/>
  <c r="Q65"/>
  <c r="O66"/>
  <c r="W66"/>
  <c r="AE66"/>
  <c r="O71"/>
  <c r="W71"/>
  <c r="AE71"/>
  <c r="P68"/>
  <c r="N11"/>
  <c r="N55" s="1"/>
  <c r="AD11"/>
  <c r="AD55" s="1"/>
  <c r="J52"/>
  <c r="R52"/>
  <c r="Z52"/>
  <c r="H10"/>
  <c r="H54" s="1"/>
  <c r="H53"/>
  <c r="P53"/>
  <c r="X53"/>
  <c r="N16"/>
  <c r="N60" s="1"/>
  <c r="N57"/>
  <c r="V16"/>
  <c r="V60" s="1"/>
  <c r="V57"/>
  <c r="AD16"/>
  <c r="AD60" s="1"/>
  <c r="AD57"/>
  <c r="L58"/>
  <c r="T58"/>
  <c r="AB58"/>
  <c r="J59"/>
  <c r="R59"/>
  <c r="Z59"/>
  <c r="H61"/>
  <c r="P61"/>
  <c r="X61"/>
  <c r="N62"/>
  <c r="V62"/>
  <c r="AD62"/>
  <c r="J65"/>
  <c r="R65"/>
  <c r="Z65"/>
  <c r="L68"/>
  <c r="T68"/>
  <c r="AB68"/>
  <c r="R70"/>
  <c r="Z70"/>
  <c r="X71"/>
  <c r="U61"/>
  <c r="I65"/>
  <c r="V10"/>
  <c r="V54" s="1"/>
  <c r="V51"/>
  <c r="Y62"/>
  <c r="Q67"/>
  <c r="M10"/>
  <c r="M54" s="1"/>
  <c r="M51"/>
  <c r="U10"/>
  <c r="U54" s="1"/>
  <c r="U51"/>
  <c r="AC10"/>
  <c r="AC54" s="1"/>
  <c r="AC51"/>
  <c r="I53"/>
  <c r="Q53"/>
  <c r="Y53"/>
  <c r="O16"/>
  <c r="O60" s="1"/>
  <c r="O57"/>
  <c r="W16"/>
  <c r="W60" s="1"/>
  <c r="W57"/>
  <c r="AE16"/>
  <c r="AE60" s="1"/>
  <c r="AE57"/>
  <c r="M58"/>
  <c r="U58"/>
  <c r="AC58"/>
  <c r="S59"/>
  <c r="I61"/>
  <c r="Q61"/>
  <c r="Y61"/>
  <c r="O62"/>
  <c r="W62"/>
  <c r="AE62"/>
  <c r="M63"/>
  <c r="U63"/>
  <c r="AC63"/>
  <c r="K65"/>
  <c r="S65"/>
  <c r="AA65"/>
  <c r="O67"/>
  <c r="W67"/>
  <c r="AE67"/>
  <c r="S70"/>
  <c r="AA70"/>
  <c r="Y65"/>
  <c r="I66"/>
  <c r="Q66"/>
  <c r="Y66"/>
  <c r="M68"/>
  <c r="U68"/>
  <c r="AC68"/>
  <c r="Q71"/>
  <c r="Y71"/>
  <c r="K66"/>
  <c r="S66"/>
  <c r="AA66"/>
  <c r="O68"/>
  <c r="W68"/>
  <c r="AE68"/>
  <c r="M70"/>
  <c r="U70"/>
  <c r="AC70"/>
  <c r="K71"/>
  <c r="S71"/>
  <c r="AA71"/>
  <c r="T61"/>
  <c r="AB61"/>
  <c r="N65"/>
  <c r="V65"/>
  <c r="AD65"/>
  <c r="J67"/>
  <c r="R67"/>
  <c r="Z25"/>
  <c r="Z69" s="1"/>
  <c r="Z67"/>
  <c r="N70"/>
  <c r="V70"/>
  <c r="AD70"/>
  <c r="L71"/>
  <c r="T71"/>
  <c r="AB71"/>
  <c r="H59"/>
  <c r="P59"/>
  <c r="X59"/>
  <c r="I63"/>
  <c r="Q63"/>
  <c r="Y63"/>
  <c r="M66"/>
  <c r="U66"/>
  <c r="AC66"/>
  <c r="S25"/>
  <c r="S69" s="1"/>
  <c r="O70"/>
  <c r="W70"/>
  <c r="AE70"/>
  <c r="L62"/>
  <c r="T62"/>
  <c r="AB62"/>
  <c r="J63"/>
  <c r="R63"/>
  <c r="Z63"/>
  <c r="H65"/>
  <c r="P65"/>
  <c r="X65"/>
  <c r="J68"/>
  <c r="R68"/>
  <c r="Z68"/>
  <c r="N71"/>
  <c r="V71"/>
  <c r="AD71"/>
  <c r="O61"/>
  <c r="W61"/>
  <c r="AE61"/>
  <c r="M62"/>
  <c r="U62"/>
  <c r="AC62"/>
  <c r="M67"/>
  <c r="U67"/>
  <c r="AC67"/>
  <c r="K68"/>
  <c r="S68"/>
  <c r="AA68"/>
  <c r="I70"/>
  <c r="Q70"/>
  <c r="Y70"/>
  <c r="L63"/>
  <c r="T63"/>
  <c r="AB63"/>
  <c r="H66"/>
  <c r="P66"/>
  <c r="X66"/>
  <c r="N67"/>
  <c r="V67"/>
  <c r="AD67"/>
  <c r="H11"/>
  <c r="H55" s="1"/>
  <c r="AA25"/>
  <c r="AA69" s="1"/>
  <c r="X10"/>
  <c r="X54" s="1"/>
  <c r="L25"/>
  <c r="L69" s="1"/>
  <c r="T25"/>
  <c r="T69" s="1"/>
  <c r="AB25"/>
  <c r="AB69" s="1"/>
  <c r="O11"/>
  <c r="O55" s="1"/>
  <c r="J25"/>
  <c r="J69" s="1"/>
  <c r="Q10"/>
  <c r="Q54" s="1"/>
  <c r="R25"/>
  <c r="R69" s="1"/>
  <c r="X11"/>
  <c r="X55" s="1"/>
  <c r="K25"/>
  <c r="K69" s="1"/>
  <c r="R10"/>
  <c r="R54" s="1"/>
  <c r="U25"/>
  <c r="U69" s="1"/>
  <c r="AD25"/>
  <c r="AD69" s="1"/>
  <c r="L10"/>
  <c r="L54" s="1"/>
  <c r="AB10"/>
  <c r="AB54" s="1"/>
  <c r="W25"/>
  <c r="W69" s="1"/>
  <c r="Q11"/>
  <c r="Q55" s="1"/>
  <c r="AE10"/>
  <c r="AE54" s="1"/>
  <c r="S10"/>
  <c r="S54" s="1"/>
  <c r="X25"/>
  <c r="X69" s="1"/>
  <c r="P10"/>
  <c r="P54" s="1"/>
  <c r="I25"/>
  <c r="I69" s="1"/>
  <c r="Q25"/>
  <c r="Q69" s="1"/>
  <c r="Y25"/>
  <c r="Y69" s="1"/>
  <c r="M25"/>
  <c r="M69" s="1"/>
  <c r="N25"/>
  <c r="AE25"/>
  <c r="AE69" s="1"/>
  <c r="I11"/>
  <c r="I55" s="1"/>
  <c r="W10"/>
  <c r="W54" s="1"/>
  <c r="H25"/>
  <c r="H69" s="1"/>
  <c r="K11"/>
  <c r="K55" s="1"/>
  <c r="S11"/>
  <c r="S55" s="1"/>
  <c r="AA11"/>
  <c r="AA55" s="1"/>
  <c r="K16"/>
  <c r="S16"/>
  <c r="AA16"/>
  <c r="AC25"/>
  <c r="AC69" s="1"/>
  <c r="V25"/>
  <c r="V69" s="1"/>
  <c r="P11"/>
  <c r="P55" s="1"/>
  <c r="T10"/>
  <c r="T54" s="1"/>
  <c r="J10"/>
  <c r="J54" s="1"/>
  <c r="Z10"/>
  <c r="Z54" s="1"/>
  <c r="O25"/>
  <c r="O69" s="1"/>
  <c r="Y11"/>
  <c r="Y55" s="1"/>
  <c r="O10"/>
  <c r="O54" s="1"/>
  <c r="K10"/>
  <c r="K54" s="1"/>
  <c r="AA10"/>
  <c r="AA54" s="1"/>
  <c r="P25"/>
  <c r="P69" s="1"/>
  <c r="L11"/>
  <c r="L55" s="1"/>
  <c r="T11"/>
  <c r="T55" s="1"/>
  <c r="AB11"/>
  <c r="AB55" s="1"/>
  <c r="L16"/>
  <c r="T16"/>
  <c r="AB16"/>
  <c r="J16"/>
  <c r="R16"/>
  <c r="R60" s="1"/>
  <c r="Z16"/>
  <c r="H16"/>
  <c r="P16"/>
  <c r="X16"/>
  <c r="J11"/>
  <c r="J55" s="1"/>
  <c r="Z11"/>
  <c r="Z55" s="1"/>
  <c r="V11"/>
  <c r="V55" s="1"/>
  <c r="R11"/>
  <c r="R55" s="1"/>
  <c r="W11"/>
  <c r="W55" s="1"/>
  <c r="D49" l="1"/>
  <c r="U20"/>
  <c r="U64" s="1"/>
  <c r="V20"/>
  <c r="V64" s="1"/>
  <c r="I20"/>
  <c r="I64" s="1"/>
  <c r="Q20"/>
  <c r="Q64" s="1"/>
  <c r="AD20"/>
  <c r="AD64" s="1"/>
  <c r="AC20"/>
  <c r="AC43" s="1"/>
  <c r="W20"/>
  <c r="W64" s="1"/>
  <c r="M20"/>
  <c r="M64" s="1"/>
  <c r="Y20"/>
  <c r="Y64" s="1"/>
  <c r="N20"/>
  <c r="N64" s="1"/>
  <c r="AE20"/>
  <c r="R20"/>
  <c r="R64" s="1"/>
  <c r="Z20"/>
  <c r="Z64" s="1"/>
  <c r="Z60"/>
  <c r="J20"/>
  <c r="J64" s="1"/>
  <c r="J60"/>
  <c r="X20"/>
  <c r="X64" s="1"/>
  <c r="X60"/>
  <c r="AB20"/>
  <c r="AB64" s="1"/>
  <c r="AB60"/>
  <c r="AA20"/>
  <c r="AA64" s="1"/>
  <c r="AA60"/>
  <c r="O20"/>
  <c r="O64" s="1"/>
  <c r="P20"/>
  <c r="P64" s="1"/>
  <c r="P60"/>
  <c r="T20"/>
  <c r="T64" s="1"/>
  <c r="T60"/>
  <c r="S20"/>
  <c r="S60"/>
  <c r="N69"/>
  <c r="H20"/>
  <c r="H60"/>
  <c r="L20"/>
  <c r="L60"/>
  <c r="K20"/>
  <c r="K60"/>
  <c r="U43" l="1"/>
  <c r="U87" s="1"/>
  <c r="V43"/>
  <c r="V87" s="1"/>
  <c r="AC64"/>
  <c r="W43"/>
  <c r="W87" s="1"/>
  <c r="AD43"/>
  <c r="AD87" s="1"/>
  <c r="M43"/>
  <c r="M87" s="1"/>
  <c r="Q43"/>
  <c r="Q87" s="1"/>
  <c r="Y43"/>
  <c r="Y87" s="1"/>
  <c r="Z43"/>
  <c r="Z87" s="1"/>
  <c r="N43"/>
  <c r="N87" s="1"/>
  <c r="R43"/>
  <c r="R87" s="1"/>
  <c r="J43"/>
  <c r="J87" s="1"/>
  <c r="O43"/>
  <c r="O87" s="1"/>
  <c r="AE64"/>
  <c r="AE43"/>
  <c r="AE87" s="1"/>
  <c r="X43"/>
  <c r="X87" s="1"/>
  <c r="AB43"/>
  <c r="AB87" s="1"/>
  <c r="P43"/>
  <c r="P87" s="1"/>
  <c r="S43"/>
  <c r="S64"/>
  <c r="T43"/>
  <c r="H64"/>
  <c r="AC87"/>
  <c r="L43"/>
  <c r="L64"/>
  <c r="K43"/>
  <c r="K64"/>
  <c r="AA43"/>
  <c r="S87" l="1"/>
  <c r="K87"/>
  <c r="AA87"/>
  <c r="T87"/>
  <c r="L87"/>
  <c r="G26" l="1"/>
  <c r="G24"/>
  <c r="G23"/>
  <c r="G22"/>
  <c r="G21"/>
  <c r="G19"/>
  <c r="G18"/>
  <c r="G17"/>
  <c r="G15"/>
  <c r="G14"/>
  <c r="G13"/>
  <c r="G9"/>
  <c r="G8"/>
  <c r="G7"/>
  <c r="G6"/>
  <c r="AK11" i="50"/>
  <c r="AJ11"/>
  <c r="AK77" i="143"/>
  <c r="AI11" i="50" s="1"/>
  <c r="AJ77" i="143"/>
  <c r="AH11" i="50" s="1"/>
  <c r="AI77" i="143"/>
  <c r="AG11" i="50" s="1"/>
  <c r="AH77" i="143"/>
  <c r="AF11" i="50" s="1"/>
  <c r="AG77" i="143"/>
  <c r="AE11" i="50" s="1"/>
  <c r="AF77" i="143"/>
  <c r="AD11" i="50" s="1"/>
  <c r="AE77" i="143"/>
  <c r="AC11" i="50" s="1"/>
  <c r="AD77" i="143"/>
  <c r="AB11" i="50" s="1"/>
  <c r="AC77" i="143"/>
  <c r="AA11" i="50" s="1"/>
  <c r="AB77" i="143"/>
  <c r="Z11" i="50" s="1"/>
  <c r="AA77" i="143"/>
  <c r="Y11" i="50" s="1"/>
  <c r="Z77" i="143"/>
  <c r="X11" i="50" s="1"/>
  <c r="Y77" i="143"/>
  <c r="W11" i="50" s="1"/>
  <c r="X77" i="143"/>
  <c r="V11" i="50" s="1"/>
  <c r="W77" i="143"/>
  <c r="U11" i="50" s="1"/>
  <c r="V77" i="143"/>
  <c r="T11" i="50" s="1"/>
  <c r="U77" i="143"/>
  <c r="S11" i="50" s="1"/>
  <c r="T77" i="143"/>
  <c r="R11" i="50" s="1"/>
  <c r="S77" i="143"/>
  <c r="Q11" i="50" s="1"/>
  <c r="R77" i="143"/>
  <c r="P11" i="50" s="1"/>
  <c r="Q77" i="143"/>
  <c r="O11" i="50" s="1"/>
  <c r="P77" i="143"/>
  <c r="N11" i="50" s="1"/>
  <c r="O77" i="143"/>
  <c r="M11" i="50" s="1"/>
  <c r="N77" i="143"/>
  <c r="L11" i="50" s="1"/>
  <c r="M77" i="143"/>
  <c r="K11" i="50" s="1"/>
  <c r="L77" i="143"/>
  <c r="J11" i="50" s="1"/>
  <c r="AK10"/>
  <c r="AJ10"/>
  <c r="AK76" i="143"/>
  <c r="AI10" i="50" s="1"/>
  <c r="AJ76" i="143"/>
  <c r="AH10" i="50" s="1"/>
  <c r="AI76" i="143"/>
  <c r="AG10" i="50" s="1"/>
  <c r="AH76" i="143"/>
  <c r="AF10" i="50" s="1"/>
  <c r="AG76" i="143"/>
  <c r="AE10" i="50" s="1"/>
  <c r="AF76" i="143"/>
  <c r="AD10" i="50" s="1"/>
  <c r="AE76" i="143"/>
  <c r="AC10" i="50" s="1"/>
  <c r="AD76" i="143"/>
  <c r="AB10" i="50" s="1"/>
  <c r="AC76" i="143"/>
  <c r="AA10" i="50" s="1"/>
  <c r="AB76" i="143"/>
  <c r="Z10" i="50" s="1"/>
  <c r="AA76" i="143"/>
  <c r="Y10" i="50" s="1"/>
  <c r="Z76" i="143"/>
  <c r="X10" i="50" s="1"/>
  <c r="Y76" i="143"/>
  <c r="W10" i="50" s="1"/>
  <c r="X76" i="143"/>
  <c r="V10" i="50" s="1"/>
  <c r="W76" i="143"/>
  <c r="U10" i="50" s="1"/>
  <c r="V76" i="143"/>
  <c r="T10" i="50" s="1"/>
  <c r="U76" i="143"/>
  <c r="S10" i="50" s="1"/>
  <c r="T76" i="143"/>
  <c r="R10" i="50" s="1"/>
  <c r="S76" i="143"/>
  <c r="Q10" i="50" s="1"/>
  <c r="R76" i="143"/>
  <c r="P10" i="50" s="1"/>
  <c r="Q76" i="143"/>
  <c r="O10" i="50" s="1"/>
  <c r="P76" i="143"/>
  <c r="N10" i="50" s="1"/>
  <c r="O76" i="143"/>
  <c r="M10" i="50" s="1"/>
  <c r="N76" i="143"/>
  <c r="L10" i="50" s="1"/>
  <c r="M76" i="143"/>
  <c r="K10" i="50" s="1"/>
  <c r="L76" i="143"/>
  <c r="AK9" i="50"/>
  <c r="AJ9"/>
  <c r="AK75" i="143"/>
  <c r="AI9" i="50" s="1"/>
  <c r="AJ75" i="143"/>
  <c r="AH9" i="50" s="1"/>
  <c r="AI75" i="143"/>
  <c r="AG9" i="50" s="1"/>
  <c r="AH75" i="143"/>
  <c r="AF9" i="50" s="1"/>
  <c r="AG75" i="143"/>
  <c r="AE9" i="50" s="1"/>
  <c r="AF75" i="143"/>
  <c r="AD9" i="50" s="1"/>
  <c r="AE75" i="143"/>
  <c r="AC9" i="50" s="1"/>
  <c r="AD75" i="143"/>
  <c r="AB9" i="50" s="1"/>
  <c r="AC75" i="143"/>
  <c r="AA9" i="50" s="1"/>
  <c r="AB75" i="143"/>
  <c r="Z9" i="50" s="1"/>
  <c r="AA75" i="143"/>
  <c r="Y9" i="50" s="1"/>
  <c r="Z75" i="143"/>
  <c r="X9" i="50" s="1"/>
  <c r="Y75" i="143"/>
  <c r="W9" i="50" s="1"/>
  <c r="X75" i="143"/>
  <c r="V9" i="50" s="1"/>
  <c r="W75" i="143"/>
  <c r="U9" i="50" s="1"/>
  <c r="V75" i="143"/>
  <c r="T9" i="50" s="1"/>
  <c r="U75" i="143"/>
  <c r="S9" i="50" s="1"/>
  <c r="T75" i="143"/>
  <c r="R9" i="50" s="1"/>
  <c r="S75" i="143"/>
  <c r="Q9" i="50" s="1"/>
  <c r="R75" i="143"/>
  <c r="P9" i="50" s="1"/>
  <c r="Q75" i="143"/>
  <c r="O9" i="50" s="1"/>
  <c r="P75" i="143"/>
  <c r="N9" i="50" s="1"/>
  <c r="O75" i="143"/>
  <c r="M9" i="50" s="1"/>
  <c r="N75" i="143"/>
  <c r="L9" i="50" s="1"/>
  <c r="M75" i="143"/>
  <c r="K9" i="50" s="1"/>
  <c r="L75" i="143"/>
  <c r="AK72"/>
  <c r="AJ72"/>
  <c r="AI72"/>
  <c r="AH72"/>
  <c r="AG72"/>
  <c r="AF72"/>
  <c r="AE72"/>
  <c r="AD72"/>
  <c r="AC72"/>
  <c r="AB72"/>
  <c r="AA72"/>
  <c r="Z72"/>
  <c r="Y72"/>
  <c r="X72"/>
  <c r="W72"/>
  <c r="V72"/>
  <c r="U72"/>
  <c r="T72"/>
  <c r="S72"/>
  <c r="R72"/>
  <c r="Q72"/>
  <c r="P72"/>
  <c r="O72"/>
  <c r="N72"/>
  <c r="M72"/>
  <c r="L72"/>
  <c r="AK65"/>
  <c r="AJ65"/>
  <c r="AI65"/>
  <c r="AH65"/>
  <c r="AG65"/>
  <c r="AF65"/>
  <c r="AE65"/>
  <c r="AD65"/>
  <c r="AC65"/>
  <c r="AB65"/>
  <c r="AA65"/>
  <c r="Z65"/>
  <c r="Y65"/>
  <c r="X65"/>
  <c r="W65"/>
  <c r="V65"/>
  <c r="U65"/>
  <c r="T65"/>
  <c r="S65"/>
  <c r="R65"/>
  <c r="Q65"/>
  <c r="P65"/>
  <c r="O65"/>
  <c r="N65"/>
  <c r="M65"/>
  <c r="L65"/>
  <c r="AK54"/>
  <c r="AJ54"/>
  <c r="AI54"/>
  <c r="AH54"/>
  <c r="AG54"/>
  <c r="AF54"/>
  <c r="AE54"/>
  <c r="AD54"/>
  <c r="AC54"/>
  <c r="AB54"/>
  <c r="AA54"/>
  <c r="Z54"/>
  <c r="Y54"/>
  <c r="X54"/>
  <c r="W54"/>
  <c r="V54"/>
  <c r="U54"/>
  <c r="T54"/>
  <c r="S54"/>
  <c r="R54"/>
  <c r="Q54"/>
  <c r="P54"/>
  <c r="O54"/>
  <c r="N54"/>
  <c r="M54"/>
  <c r="L54"/>
  <c r="AK47"/>
  <c r="AJ47"/>
  <c r="AI47"/>
  <c r="AH47"/>
  <c r="AG47"/>
  <c r="AF47"/>
  <c r="AE47"/>
  <c r="AD47"/>
  <c r="AC47"/>
  <c r="AB47"/>
  <c r="AA47"/>
  <c r="Z47"/>
  <c r="Y47"/>
  <c r="X47"/>
  <c r="W47"/>
  <c r="V47"/>
  <c r="U47"/>
  <c r="T47"/>
  <c r="S47"/>
  <c r="R47"/>
  <c r="Q47"/>
  <c r="P47"/>
  <c r="O47"/>
  <c r="N47"/>
  <c r="M47"/>
  <c r="L47"/>
  <c r="AK41"/>
  <c r="AJ41"/>
  <c r="AI41"/>
  <c r="AH41"/>
  <c r="AG41"/>
  <c r="AF41"/>
  <c r="AE41"/>
  <c r="AD41"/>
  <c r="AC41"/>
  <c r="AB41"/>
  <c r="AA41"/>
  <c r="Z41"/>
  <c r="Y41"/>
  <c r="X41"/>
  <c r="W41"/>
  <c r="V41"/>
  <c r="U41"/>
  <c r="T41"/>
  <c r="S41"/>
  <c r="R41"/>
  <c r="Q41"/>
  <c r="P41"/>
  <c r="O41"/>
  <c r="N41"/>
  <c r="M41"/>
  <c r="L41"/>
  <c r="AK35"/>
  <c r="AJ35"/>
  <c r="AI35"/>
  <c r="AH35"/>
  <c r="AG35"/>
  <c r="AF35"/>
  <c r="AE35"/>
  <c r="AD35"/>
  <c r="AC35"/>
  <c r="AB35"/>
  <c r="AA35"/>
  <c r="Z35"/>
  <c r="Y35"/>
  <c r="X35"/>
  <c r="W35"/>
  <c r="V35"/>
  <c r="U35"/>
  <c r="T35"/>
  <c r="S35"/>
  <c r="R35"/>
  <c r="Q35"/>
  <c r="P35"/>
  <c r="O35"/>
  <c r="N35"/>
  <c r="M35"/>
  <c r="L35"/>
  <c r="AK31"/>
  <c r="AJ31"/>
  <c r="AI31"/>
  <c r="AH31"/>
  <c r="AG31"/>
  <c r="AF31"/>
  <c r="AE31"/>
  <c r="AD31"/>
  <c r="AC31"/>
  <c r="AB31"/>
  <c r="AA31"/>
  <c r="Z31"/>
  <c r="Y31"/>
  <c r="X31"/>
  <c r="W31"/>
  <c r="V31"/>
  <c r="U31"/>
  <c r="T31"/>
  <c r="S31"/>
  <c r="R31"/>
  <c r="Q31"/>
  <c r="P31"/>
  <c r="O31"/>
  <c r="N31"/>
  <c r="M31"/>
  <c r="L31"/>
  <c r="AK23"/>
  <c r="AJ23"/>
  <c r="AI23"/>
  <c r="AH23"/>
  <c r="AG23"/>
  <c r="AF23"/>
  <c r="AE23"/>
  <c r="AD23"/>
  <c r="AC23"/>
  <c r="AB23"/>
  <c r="AA23"/>
  <c r="Z23"/>
  <c r="Y23"/>
  <c r="X23"/>
  <c r="W23"/>
  <c r="V23"/>
  <c r="U23"/>
  <c r="T23"/>
  <c r="S23"/>
  <c r="R23"/>
  <c r="Q23"/>
  <c r="P23"/>
  <c r="O23"/>
  <c r="N23"/>
  <c r="M23"/>
  <c r="L23"/>
  <c r="K7" i="32"/>
  <c r="AK15" i="143"/>
  <c r="AJ15"/>
  <c r="I7" i="32" s="1"/>
  <c r="AI15" i="143"/>
  <c r="H7" i="32" s="1"/>
  <c r="AH15" i="143"/>
  <c r="G7" i="32" s="1"/>
  <c r="AG15" i="143"/>
  <c r="F7" i="32" s="1"/>
  <c r="AF15" i="143"/>
  <c r="E7" i="32" s="1"/>
  <c r="AE15" i="143"/>
  <c r="D7" i="32" s="1"/>
  <c r="AD15" i="143"/>
  <c r="C7" i="32" s="1"/>
  <c r="AC15" i="143"/>
  <c r="B7" i="32" s="1"/>
  <c r="AB15" i="143"/>
  <c r="AA15"/>
  <c r="Z15"/>
  <c r="Y15"/>
  <c r="X15"/>
  <c r="W15"/>
  <c r="V15"/>
  <c r="U15"/>
  <c r="T15"/>
  <c r="S15"/>
  <c r="R15"/>
  <c r="Q15"/>
  <c r="P15"/>
  <c r="O15"/>
  <c r="N15"/>
  <c r="M15"/>
  <c r="L15"/>
  <c r="C7"/>
  <c r="C2"/>
  <c r="C4" s="1"/>
  <c r="J7" i="32" l="1"/>
  <c r="AL16" i="143"/>
  <c r="G85" i="100"/>
  <c r="G84"/>
  <c r="G80"/>
  <c r="G81"/>
  <c r="G79"/>
  <c r="G82"/>
  <c r="G83"/>
  <c r="G86"/>
  <c r="G76"/>
  <c r="G78"/>
  <c r="G75"/>
  <c r="G77"/>
  <c r="G72"/>
  <c r="G74"/>
  <c r="G73"/>
  <c r="J9" i="50"/>
  <c r="J10"/>
  <c r="L7" i="32"/>
  <c r="M34"/>
  <c r="G34"/>
  <c r="B34"/>
  <c r="E34"/>
  <c r="J34"/>
  <c r="C34"/>
  <c r="K34"/>
  <c r="F34"/>
  <c r="H34"/>
  <c r="I34"/>
  <c r="D34"/>
  <c r="L34"/>
  <c r="Y6" i="50"/>
  <c r="S6"/>
  <c r="L6"/>
  <c r="K6"/>
  <c r="T6"/>
  <c r="M6"/>
  <c r="U6"/>
  <c r="AC6"/>
  <c r="AK6"/>
  <c r="Q6"/>
  <c r="Z6"/>
  <c r="AA6"/>
  <c r="N6"/>
  <c r="V6"/>
  <c r="AD6"/>
  <c r="AG6"/>
  <c r="R6"/>
  <c r="AI6"/>
  <c r="AB6"/>
  <c r="O6"/>
  <c r="W6"/>
  <c r="AE6"/>
  <c r="J6"/>
  <c r="AH6"/>
  <c r="AJ6"/>
  <c r="P6"/>
  <c r="X6"/>
  <c r="AF6"/>
  <c r="G53" i="100"/>
  <c r="G58"/>
  <c r="G63"/>
  <c r="G66"/>
  <c r="G52"/>
  <c r="G65"/>
  <c r="G51"/>
  <c r="G71"/>
  <c r="G70"/>
  <c r="G61"/>
  <c r="G68"/>
  <c r="G57"/>
  <c r="G59"/>
  <c r="G62"/>
  <c r="G67"/>
  <c r="X24" i="143"/>
  <c r="AF24"/>
  <c r="P24"/>
  <c r="AJ24"/>
  <c r="AJ25" s="1"/>
  <c r="N16"/>
  <c r="V16"/>
  <c r="AD16"/>
  <c r="Q24"/>
  <c r="L24"/>
  <c r="L25" s="1"/>
  <c r="S16"/>
  <c r="AA16"/>
  <c r="AB16"/>
  <c r="P16"/>
  <c r="W24"/>
  <c r="AE24"/>
  <c r="AE25" s="1"/>
  <c r="R24"/>
  <c r="AH24"/>
  <c r="AI16"/>
  <c r="AJ16"/>
  <c r="R16"/>
  <c r="Z16"/>
  <c r="AH16"/>
  <c r="Z24"/>
  <c r="Z25" s="1"/>
  <c r="AD66"/>
  <c r="T16"/>
  <c r="O66"/>
  <c r="W66"/>
  <c r="AE66"/>
  <c r="AF66"/>
  <c r="AG66"/>
  <c r="AG67" s="1"/>
  <c r="T24"/>
  <c r="R66"/>
  <c r="Z66"/>
  <c r="AH66"/>
  <c r="X66"/>
  <c r="Q66"/>
  <c r="Q67" s="1"/>
  <c r="Y24"/>
  <c r="Y25" s="1"/>
  <c r="S66"/>
  <c r="AA66"/>
  <c r="AA67" s="1"/>
  <c r="AI66"/>
  <c r="AI67" s="1"/>
  <c r="P66"/>
  <c r="Y66"/>
  <c r="Y67" s="1"/>
  <c r="L66"/>
  <c r="L67" s="1"/>
  <c r="T66"/>
  <c r="AB66"/>
  <c r="AB67" s="1"/>
  <c r="AJ66"/>
  <c r="AJ67" s="1"/>
  <c r="AB24"/>
  <c r="AB25" s="1"/>
  <c r="M16"/>
  <c r="U16"/>
  <c r="AC16"/>
  <c r="AK16"/>
  <c r="AG24"/>
  <c r="AG25" s="1"/>
  <c r="N66"/>
  <c r="N67" s="1"/>
  <c r="V66"/>
  <c r="V67" s="1"/>
  <c r="M6"/>
  <c r="Q16"/>
  <c r="Y16"/>
  <c r="AG16"/>
  <c r="S24"/>
  <c r="AA24"/>
  <c r="AA25" s="1"/>
  <c r="AI24"/>
  <c r="AI25" s="1"/>
  <c r="AF16"/>
  <c r="O16"/>
  <c r="AE16"/>
  <c r="M24"/>
  <c r="U24"/>
  <c r="U25" s="1"/>
  <c r="AC24"/>
  <c r="AK24"/>
  <c r="AK25" s="1"/>
  <c r="M66"/>
  <c r="M67" s="1"/>
  <c r="U66"/>
  <c r="U67" s="1"/>
  <c r="AC66"/>
  <c r="AC67" s="1"/>
  <c r="AK66"/>
  <c r="AK67" s="1"/>
  <c r="N24"/>
  <c r="V24"/>
  <c r="AD24"/>
  <c r="W16"/>
  <c r="X16"/>
  <c r="O24"/>
  <c r="AD25" l="1"/>
  <c r="P25"/>
  <c r="AL25"/>
  <c r="AL67"/>
  <c r="AL79"/>
  <c r="O25"/>
  <c r="V25"/>
  <c r="N25"/>
  <c r="Z67"/>
  <c r="AH25"/>
  <c r="R67"/>
  <c r="AD67"/>
  <c r="R25"/>
  <c r="Q25"/>
  <c r="S67"/>
  <c r="T67"/>
  <c r="AF67"/>
  <c r="AC25"/>
  <c r="S25"/>
  <c r="X67"/>
  <c r="W25"/>
  <c r="AF25"/>
  <c r="X25"/>
  <c r="AE67"/>
  <c r="M25"/>
  <c r="P67"/>
  <c r="AH67"/>
  <c r="W67"/>
  <c r="T25"/>
  <c r="O67"/>
  <c r="P73"/>
  <c r="N8" i="50" s="1"/>
  <c r="N12" s="1"/>
  <c r="N13" s="1"/>
  <c r="AF73" i="143"/>
  <c r="AD8" i="50" s="1"/>
  <c r="AD12" s="1"/>
  <c r="AD13" s="1"/>
  <c r="O73" i="143"/>
  <c r="M8" i="50" s="1"/>
  <c r="M12" s="1"/>
  <c r="M13" s="1"/>
  <c r="AD73" i="143"/>
  <c r="AB8" i="50" s="1"/>
  <c r="AB12" s="1"/>
  <c r="AB13" s="1"/>
  <c r="AK8"/>
  <c r="AK12" s="1"/>
  <c r="N73" i="143"/>
  <c r="L8" i="50" s="1"/>
  <c r="L12" s="1"/>
  <c r="L13" s="1"/>
  <c r="AK73" i="143"/>
  <c r="AI8" i="50" s="1"/>
  <c r="AI12" s="1"/>
  <c r="W73" i="143"/>
  <c r="U8" i="50" s="1"/>
  <c r="U12" s="1"/>
  <c r="U13" s="1"/>
  <c r="AB73" i="143"/>
  <c r="Z8" i="50" s="1"/>
  <c r="Z12" s="1"/>
  <c r="Z13" s="1"/>
  <c r="U73" i="143"/>
  <c r="S8" i="50" s="1"/>
  <c r="S12" s="1"/>
  <c r="S13" s="1"/>
  <c r="AI73" i="143"/>
  <c r="AG8" i="50" s="1"/>
  <c r="AG12" s="1"/>
  <c r="AG13" s="1"/>
  <c r="M73" i="143"/>
  <c r="K8" i="50" s="1"/>
  <c r="K12" s="1"/>
  <c r="K13" s="1"/>
  <c r="AA73" i="143"/>
  <c r="Y8" i="50" s="1"/>
  <c r="Y12" s="1"/>
  <c r="Y13" s="1"/>
  <c r="Q73" i="143"/>
  <c r="O8" i="50" s="1"/>
  <c r="O12" s="1"/>
  <c r="O13" s="1"/>
  <c r="X73" i="143"/>
  <c r="V8" i="50" s="1"/>
  <c r="AJ8"/>
  <c r="AJ12" s="1"/>
  <c r="R73" i="143"/>
  <c r="P8" i="50" s="1"/>
  <c r="P12" s="1"/>
  <c r="P13" s="1"/>
  <c r="V73" i="143"/>
  <c r="T8" i="50" s="1"/>
  <c r="T12" s="1"/>
  <c r="T13" s="1"/>
  <c r="AG73" i="143"/>
  <c r="AE8" i="50" s="1"/>
  <c r="AE73" i="143"/>
  <c r="AC8" i="50" s="1"/>
  <c r="AC12" s="1"/>
  <c r="AC13" s="1"/>
  <c r="AC73" i="143"/>
  <c r="AA8" i="50" s="1"/>
  <c r="Y73" i="143"/>
  <c r="W8" i="50" s="1"/>
  <c r="W12" s="1"/>
  <c r="W13" s="1"/>
  <c r="T73" i="143"/>
  <c r="R8" i="50" s="1"/>
  <c r="R12" s="1"/>
  <c r="R13" s="1"/>
  <c r="L73" i="143"/>
  <c r="S73"/>
  <c r="Q8" i="50" s="1"/>
  <c r="Q12" s="1"/>
  <c r="Q13" s="1"/>
  <c r="Z73" i="143"/>
  <c r="X8" i="50" s="1"/>
  <c r="X12" s="1"/>
  <c r="X13" s="1"/>
  <c r="AH73" i="143"/>
  <c r="AF8" i="50" s="1"/>
  <c r="AF12" s="1"/>
  <c r="AF13" s="1"/>
  <c r="AJ73" i="143"/>
  <c r="AH8" i="50" s="1"/>
  <c r="AH12" s="1"/>
  <c r="AH13" s="1"/>
  <c r="N6" i="143"/>
  <c r="AK13" i="50" l="1"/>
  <c r="AH46" i="100"/>
  <c r="AE12" i="50"/>
  <c r="AE13" s="1"/>
  <c r="AJ13"/>
  <c r="AG46" i="100"/>
  <c r="V12" i="50"/>
  <c r="V13" s="1"/>
  <c r="AI13"/>
  <c r="AF46" i="100"/>
  <c r="AA12" i="50"/>
  <c r="AA13" s="1"/>
  <c r="AK84" i="143"/>
  <c r="U78"/>
  <c r="U79" s="1"/>
  <c r="P84"/>
  <c r="P78"/>
  <c r="P79" s="1"/>
  <c r="T46" i="100"/>
  <c r="L46"/>
  <c r="R46"/>
  <c r="Y46"/>
  <c r="U46"/>
  <c r="Q46"/>
  <c r="AC46"/>
  <c r="J46"/>
  <c r="N46"/>
  <c r="AD46"/>
  <c r="AJ78" i="143"/>
  <c r="AJ79" s="1"/>
  <c r="M46" i="100"/>
  <c r="O46"/>
  <c r="P46"/>
  <c r="AA46"/>
  <c r="AE46"/>
  <c r="V46"/>
  <c r="Z46"/>
  <c r="W46"/>
  <c r="K46"/>
  <c r="Z78" i="143"/>
  <c r="Z79" s="1"/>
  <c r="W84"/>
  <c r="V78"/>
  <c r="V79" s="1"/>
  <c r="S78"/>
  <c r="S79" s="1"/>
  <c r="AI84"/>
  <c r="L78"/>
  <c r="L79" s="1"/>
  <c r="J8" i="50"/>
  <c r="AA78" i="143"/>
  <c r="AA79" s="1"/>
  <c r="AE84"/>
  <c r="Y78"/>
  <c r="Y79" s="1"/>
  <c r="Q78"/>
  <c r="Q79" s="1"/>
  <c r="AD84"/>
  <c r="AC84"/>
  <c r="R78"/>
  <c r="R79" s="1"/>
  <c r="N84"/>
  <c r="AA84"/>
  <c r="AD78"/>
  <c r="AD79" s="1"/>
  <c r="AJ84"/>
  <c r="AH78"/>
  <c r="AH79" s="1"/>
  <c r="T78"/>
  <c r="T79" s="1"/>
  <c r="M78"/>
  <c r="M79" s="1"/>
  <c r="AB84"/>
  <c r="AI78"/>
  <c r="AI79" s="1"/>
  <c r="AG84"/>
  <c r="X84"/>
  <c r="Y84"/>
  <c r="AG78"/>
  <c r="AG79" s="1"/>
  <c r="AH84"/>
  <c r="AE78"/>
  <c r="AE79" s="1"/>
  <c r="AF78"/>
  <c r="AF79" s="1"/>
  <c r="AF84"/>
  <c r="L84"/>
  <c r="W78"/>
  <c r="W79" s="1"/>
  <c r="N78"/>
  <c r="N79" s="1"/>
  <c r="AC78"/>
  <c r="AC79" s="1"/>
  <c r="M84"/>
  <c r="S84"/>
  <c r="X78"/>
  <c r="X79" s="1"/>
  <c r="AB78"/>
  <c r="AB79" s="1"/>
  <c r="Q84"/>
  <c r="O84"/>
  <c r="O78"/>
  <c r="O79" s="1"/>
  <c r="AK78"/>
  <c r="AK79" s="1"/>
  <c r="V84"/>
  <c r="O6"/>
  <c r="R84"/>
  <c r="Z84"/>
  <c r="U84"/>
  <c r="T84"/>
  <c r="AB46" i="100" l="1"/>
  <c r="J12" i="50"/>
  <c r="J13" s="1"/>
  <c r="S46" i="100"/>
  <c r="X46"/>
  <c r="B32" i="115"/>
  <c r="P6" i="143"/>
  <c r="Q6" l="1"/>
  <c r="R6" l="1"/>
  <c r="S6" l="1"/>
  <c r="T6" l="1"/>
  <c r="U6" l="1"/>
  <c r="V6" l="1"/>
  <c r="W6" l="1"/>
  <c r="X6" s="1"/>
  <c r="Y6" s="1"/>
  <c r="Z6" s="1"/>
  <c r="AA6" s="1"/>
  <c r="AB6" s="1"/>
  <c r="AC6" s="1"/>
  <c r="AD6" s="1"/>
  <c r="AE6" s="1"/>
  <c r="AF6" s="1"/>
  <c r="AG6" s="1"/>
  <c r="AH6" s="1"/>
  <c r="AI6" s="1"/>
  <c r="AJ6" s="1"/>
  <c r="AK6" s="1"/>
  <c r="AL6" s="1"/>
  <c r="AM6" s="1"/>
  <c r="AN6" s="1"/>
  <c r="AO6" s="1"/>
  <c r="AP6" s="1"/>
  <c r="AQ6" s="1"/>
  <c r="AR6" s="1"/>
  <c r="D75" l="1"/>
  <c r="D37"/>
  <c r="E11"/>
  <c r="D43"/>
  <c r="F50"/>
  <c r="D76"/>
  <c r="D63"/>
  <c r="E9"/>
  <c r="E76"/>
  <c r="E33"/>
  <c r="F21"/>
  <c r="E21"/>
  <c r="F9"/>
  <c r="D10"/>
  <c r="D9"/>
  <c r="F60"/>
  <c r="E40"/>
  <c r="E59"/>
  <c r="F11"/>
  <c r="D38"/>
  <c r="E38"/>
  <c r="F53"/>
  <c r="E14"/>
  <c r="D71"/>
  <c r="F39"/>
  <c r="D13"/>
  <c r="D11"/>
  <c r="D62"/>
  <c r="E77"/>
  <c r="E53"/>
  <c r="E49"/>
  <c r="F37"/>
  <c r="D46"/>
  <c r="D52"/>
  <c r="E56"/>
  <c r="E37"/>
  <c r="F14"/>
  <c r="F40"/>
  <c r="F75"/>
  <c r="E30"/>
  <c r="F64"/>
  <c r="F10"/>
  <c r="D56"/>
  <c r="D22"/>
  <c r="F38"/>
  <c r="D49"/>
  <c r="E39"/>
  <c r="F57"/>
  <c r="D8"/>
  <c r="F49"/>
  <c r="E75"/>
  <c r="E50"/>
  <c r="D58"/>
  <c r="E8"/>
  <c r="F51"/>
  <c r="F22"/>
  <c r="D34"/>
  <c r="F12"/>
  <c r="E20"/>
  <c r="E61"/>
  <c r="F33"/>
  <c r="E12"/>
  <c r="F29"/>
  <c r="D61"/>
  <c r="E22"/>
  <c r="D45"/>
  <c r="D30"/>
  <c r="E43"/>
  <c r="E71"/>
  <c r="D64"/>
  <c r="D12"/>
  <c r="E34"/>
  <c r="E62"/>
  <c r="F20"/>
  <c r="F58"/>
  <c r="D20"/>
  <c r="E29"/>
  <c r="D29"/>
  <c r="F76"/>
  <c r="D50"/>
  <c r="E70"/>
  <c r="E63"/>
  <c r="F34"/>
  <c r="F46"/>
  <c r="D44"/>
  <c r="E51"/>
  <c r="E60"/>
  <c r="F43"/>
  <c r="E19"/>
  <c r="F19"/>
  <c r="F63"/>
  <c r="F70"/>
  <c r="E46"/>
  <c r="F52"/>
  <c r="E57"/>
  <c r="F56"/>
  <c r="D39"/>
  <c r="D77"/>
  <c r="B16" i="35" s="1"/>
  <c r="F44" i="143"/>
  <c r="E10"/>
  <c r="F30"/>
  <c r="D60"/>
  <c r="E44"/>
  <c r="E13"/>
  <c r="D57"/>
  <c r="F77"/>
  <c r="D53"/>
  <c r="E45"/>
  <c r="D70"/>
  <c r="D21"/>
  <c r="F71"/>
  <c r="E52"/>
  <c r="F59"/>
  <c r="F13"/>
  <c r="D59"/>
  <c r="E58"/>
  <c r="E64"/>
  <c r="F61"/>
  <c r="D14"/>
  <c r="D40"/>
  <c r="D51"/>
  <c r="F62"/>
  <c r="F45"/>
  <c r="D33"/>
  <c r="D19"/>
  <c r="F8"/>
  <c r="B14" i="35" l="1"/>
  <c r="D47" i="143"/>
  <c r="G15" i="35"/>
  <c r="B15"/>
  <c r="D72" i="143" l="1"/>
  <c r="B11" i="35" s="1"/>
  <c r="D15" i="143"/>
  <c r="B6" i="35" s="1"/>
  <c r="D35" i="143"/>
  <c r="D23"/>
  <c r="B7" i="35" s="1"/>
  <c r="D41" i="143"/>
  <c r="D65"/>
  <c r="D54"/>
  <c r="D31"/>
  <c r="G16" i="35"/>
  <c r="G14"/>
  <c r="D24" i="143" l="1"/>
  <c r="D25" s="1"/>
  <c r="D66"/>
  <c r="B10" i="35" l="1"/>
  <c r="D67" i="143"/>
  <c r="D73"/>
  <c r="D78" s="1"/>
  <c r="D79" s="1"/>
  <c r="O18" i="32" l="1"/>
  <c r="O17"/>
  <c r="M14"/>
  <c r="L14"/>
  <c r="K14"/>
  <c r="J14"/>
  <c r="I14"/>
  <c r="H14"/>
  <c r="G14"/>
  <c r="F14"/>
  <c r="E14"/>
  <c r="D14"/>
  <c r="C14"/>
  <c r="B14"/>
  <c r="O13"/>
  <c r="O12"/>
  <c r="O14" l="1"/>
  <c r="G91" i="55" l="1"/>
  <c r="H87"/>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G83"/>
  <c r="AI83"/>
  <c r="AK24" i="50" s="1"/>
  <c r="AH83" i="55"/>
  <c r="AJ24" i="50" s="1"/>
  <c r="AG83" i="55"/>
  <c r="AI24" i="50" s="1"/>
  <c r="AF83" i="55"/>
  <c r="AH24" i="50" s="1"/>
  <c r="AE83" i="55"/>
  <c r="AG24" i="50" s="1"/>
  <c r="AD83" i="55"/>
  <c r="AF24" i="50" s="1"/>
  <c r="AC83" i="55"/>
  <c r="AE24" i="50" s="1"/>
  <c r="AB83" i="55"/>
  <c r="AD24" i="50" s="1"/>
  <c r="AA83" i="55"/>
  <c r="AC24" i="50" s="1"/>
  <c r="Z83" i="55"/>
  <c r="AB24" i="50" s="1"/>
  <c r="Y83" i="55"/>
  <c r="AA24" i="50" s="1"/>
  <c r="X83" i="55"/>
  <c r="Z24" i="50" s="1"/>
  <c r="W83" i="55"/>
  <c r="Y24" i="50" s="1"/>
  <c r="V83" i="55"/>
  <c r="X24" i="50" s="1"/>
  <c r="U83" i="55"/>
  <c r="W24" i="50" s="1"/>
  <c r="T83" i="55"/>
  <c r="V24" i="50" s="1"/>
  <c r="S83" i="55"/>
  <c r="U24" i="50" s="1"/>
  <c r="R83" i="55"/>
  <c r="T24" i="50" s="1"/>
  <c r="Q83" i="55"/>
  <c r="S24" i="50" s="1"/>
  <c r="P83" i="55"/>
  <c r="R24" i="50" s="1"/>
  <c r="O83" i="55"/>
  <c r="Q24" i="50" s="1"/>
  <c r="N83" i="55"/>
  <c r="P24" i="50" s="1"/>
  <c r="M83" i="55"/>
  <c r="O24" i="50" s="1"/>
  <c r="L83" i="55"/>
  <c r="N24" i="50" s="1"/>
  <c r="K83" i="55"/>
  <c r="M24" i="50" s="1"/>
  <c r="J83" i="55"/>
  <c r="L24" i="50" s="1"/>
  <c r="I83" i="55"/>
  <c r="K24" i="50" s="1"/>
  <c r="H83" i="55"/>
  <c r="H8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24" i="50"/>
  <c r="A25"/>
  <c r="A22"/>
  <c r="G22" i="55"/>
  <c r="G77"/>
  <c r="AI77"/>
  <c r="AK23" i="50" s="1"/>
  <c r="AH77" i="55"/>
  <c r="AJ23" i="50" s="1"/>
  <c r="AG77" i="55"/>
  <c r="AI23" i="50" s="1"/>
  <c r="AF77" i="55"/>
  <c r="AH23" i="50" s="1"/>
  <c r="AE77" i="55"/>
  <c r="AG23" i="50" s="1"/>
  <c r="AD77" i="55"/>
  <c r="AF23" i="50" s="1"/>
  <c r="AB77" i="55"/>
  <c r="AD23" i="50" s="1"/>
  <c r="AA77" i="55"/>
  <c r="AC23" i="50" s="1"/>
  <c r="Z77" i="55"/>
  <c r="AB23" i="50" s="1"/>
  <c r="Y77" i="55"/>
  <c r="AA23" i="50" s="1"/>
  <c r="X77" i="55"/>
  <c r="Z23" i="50" s="1"/>
  <c r="W77" i="55"/>
  <c r="Y23" i="50" s="1"/>
  <c r="V77" i="55"/>
  <c r="X23" i="50" s="1"/>
  <c r="T77" i="55"/>
  <c r="V23" i="50" s="1"/>
  <c r="S77" i="55"/>
  <c r="U23" i="50" s="1"/>
  <c r="R77" i="55"/>
  <c r="T23" i="50" s="1"/>
  <c r="Q77" i="55"/>
  <c r="S23" i="50" s="1"/>
  <c r="P77" i="55"/>
  <c r="R23" i="50" s="1"/>
  <c r="O77" i="55"/>
  <c r="Q23" i="50" s="1"/>
  <c r="N77" i="55"/>
  <c r="P23" i="50" s="1"/>
  <c r="L77" i="55"/>
  <c r="N23" i="50" s="1"/>
  <c r="K77" i="55"/>
  <c r="M23" i="50" s="1"/>
  <c r="J77" i="55"/>
  <c r="L23" i="50" s="1"/>
  <c r="I77" i="55"/>
  <c r="K23" i="50" s="1"/>
  <c r="H77" i="55"/>
  <c r="A23" i="50"/>
  <c r="H74" i="55"/>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J24" i="50" l="1"/>
  <c r="M77" i="55"/>
  <c r="O23" i="50" s="1"/>
  <c r="U77" i="55"/>
  <c r="W23" i="50" s="1"/>
  <c r="AC77" i="55"/>
  <c r="AE23" i="50" s="1"/>
  <c r="J23"/>
  <c r="G37" i="55" l="1"/>
  <c r="AE70"/>
  <c r="AG22" i="50" s="1"/>
  <c r="AD70" i="55"/>
  <c r="AF22" i="50" s="1"/>
  <c r="AI70" i="55"/>
  <c r="AK22" i="50" s="1"/>
  <c r="AH70" i="55"/>
  <c r="AJ22" i="50" s="1"/>
  <c r="AG70" i="55"/>
  <c r="AI22" i="50" s="1"/>
  <c r="AF70" i="55"/>
  <c r="AH22" i="50" s="1"/>
  <c r="AC70" i="55"/>
  <c r="AE22" i="50" s="1"/>
  <c r="AB70" i="55"/>
  <c r="AD22" i="50" s="1"/>
  <c r="AA70" i="55"/>
  <c r="AC22" i="50" s="1"/>
  <c r="Z70" i="55"/>
  <c r="AB22" i="50" s="1"/>
  <c r="Y70" i="55"/>
  <c r="AA22" i="50" s="1"/>
  <c r="X70" i="55"/>
  <c r="Z22" i="50" s="1"/>
  <c r="W70" i="55"/>
  <c r="Y22" i="50" s="1"/>
  <c r="V70" i="55"/>
  <c r="X22" i="50" s="1"/>
  <c r="U70" i="55"/>
  <c r="W22" i="50" s="1"/>
  <c r="T70" i="55"/>
  <c r="V22" i="50" s="1"/>
  <c r="S70" i="55"/>
  <c r="U22" i="50" s="1"/>
  <c r="R70" i="55"/>
  <c r="T22" i="50" s="1"/>
  <c r="Q70" i="55"/>
  <c r="S22" i="50" s="1"/>
  <c r="P70" i="55"/>
  <c r="R22" i="50" s="1"/>
  <c r="O70" i="55"/>
  <c r="Q22" i="50" s="1"/>
  <c r="N70" i="55"/>
  <c r="P22" i="50" s="1"/>
  <c r="M70" i="55"/>
  <c r="O22" i="50" s="1"/>
  <c r="L70" i="55"/>
  <c r="N22" i="50" s="1"/>
  <c r="K70" i="55"/>
  <c r="M22" i="50" s="1"/>
  <c r="J70" i="55"/>
  <c r="L22" i="50" s="1"/>
  <c r="I70" i="55"/>
  <c r="K22" i="50" s="1"/>
  <c r="H70" i="55"/>
  <c r="J22" i="50" s="1"/>
  <c r="H68" i="55"/>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D91" l="1"/>
  <c r="AF25" i="50" s="1"/>
  <c r="AI91" i="55"/>
  <c r="AK25" i="50" s="1"/>
  <c r="AH91" i="55"/>
  <c r="AJ25" i="50" s="1"/>
  <c r="AB91" i="55"/>
  <c r="AD25" i="50" s="1"/>
  <c r="AA91" i="55"/>
  <c r="AC25" i="50" s="1"/>
  <c r="Z91" i="55"/>
  <c r="AB25" i="50" s="1"/>
  <c r="U91" i="55"/>
  <c r="W25" i="50" s="1"/>
  <c r="T91" i="55"/>
  <c r="V25" i="50" s="1"/>
  <c r="S91" i="55"/>
  <c r="U25" i="50" s="1"/>
  <c r="R91" i="55"/>
  <c r="T25" i="50" s="1"/>
  <c r="M91" i="55"/>
  <c r="O25" i="50" s="1"/>
  <c r="L91" i="55"/>
  <c r="N25" i="50" s="1"/>
  <c r="K91" i="55"/>
  <c r="M25" i="50" s="1"/>
  <c r="J91" i="55"/>
  <c r="L25" i="50" s="1"/>
  <c r="AI22" i="55"/>
  <c r="AK17" i="50" s="1"/>
  <c r="AH22" i="55"/>
  <c r="AJ17" i="50" s="1"/>
  <c r="AG22" i="55"/>
  <c r="AI17" i="50" s="1"/>
  <c r="AF22" i="55"/>
  <c r="AH17" i="50" s="1"/>
  <c r="AE22" i="55"/>
  <c r="AG17" i="50" s="1"/>
  <c r="AD22" i="55"/>
  <c r="AF17" i="50" s="1"/>
  <c r="AC22" i="55"/>
  <c r="AE17" i="50" s="1"/>
  <c r="AB22" i="55"/>
  <c r="AD17" i="50" s="1"/>
  <c r="AA22" i="55"/>
  <c r="AC17" i="50" s="1"/>
  <c r="Z22" i="55"/>
  <c r="AB17" i="50" s="1"/>
  <c r="Y22" i="55"/>
  <c r="AA17" i="50" s="1"/>
  <c r="X22" i="55"/>
  <c r="Z17" i="50" s="1"/>
  <c r="W22" i="55"/>
  <c r="Y17" i="50" s="1"/>
  <c r="V22" i="55"/>
  <c r="X17" i="50" s="1"/>
  <c r="U22" i="55"/>
  <c r="W17" i="50" s="1"/>
  <c r="T22" i="55"/>
  <c r="V17" i="50" s="1"/>
  <c r="S22" i="55"/>
  <c r="U17" i="50" s="1"/>
  <c r="R22" i="55"/>
  <c r="T17" i="50" s="1"/>
  <c r="Q22" i="55"/>
  <c r="S17" i="50" s="1"/>
  <c r="P22" i="55"/>
  <c r="R17" i="50" s="1"/>
  <c r="O22" i="55"/>
  <c r="Q17" i="50" s="1"/>
  <c r="N22" i="55"/>
  <c r="P17" i="50" s="1"/>
  <c r="M22" i="55"/>
  <c r="O17" i="50" s="1"/>
  <c r="L22" i="55"/>
  <c r="N17" i="50" s="1"/>
  <c r="K22" i="55"/>
  <c r="M17" i="50" s="1"/>
  <c r="J22" i="55"/>
  <c r="L17" i="50" s="1"/>
  <c r="I22" i="55"/>
  <c r="K17" i="50" s="1"/>
  <c r="H22" i="55"/>
  <c r="A21" i="50"/>
  <c r="G64" i="55"/>
  <c r="H6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M32" i="32"/>
  <c r="L32"/>
  <c r="K32"/>
  <c r="J32"/>
  <c r="I32"/>
  <c r="H32"/>
  <c r="M27"/>
  <c r="L27"/>
  <c r="K27"/>
  <c r="J27"/>
  <c r="I27"/>
  <c r="H27"/>
  <c r="M19"/>
  <c r="L19"/>
  <c r="K19"/>
  <c r="J19"/>
  <c r="I19"/>
  <c r="H19"/>
  <c r="H9" l="1"/>
  <c r="J9"/>
  <c r="K9"/>
  <c r="K21" s="1"/>
  <c r="N91" i="55"/>
  <c r="P25" i="50" s="1"/>
  <c r="W91" i="55"/>
  <c r="Y25" i="50" s="1"/>
  <c r="H91" i="55"/>
  <c r="J25" i="50" s="1"/>
  <c r="P91" i="55"/>
  <c r="R25" i="50" s="1"/>
  <c r="X91" i="55"/>
  <c r="Z25" i="50" s="1"/>
  <c r="AF91" i="55"/>
  <c r="AH25" i="50" s="1"/>
  <c r="V91" i="55"/>
  <c r="X25" i="50" s="1"/>
  <c r="O91" i="55"/>
  <c r="Q25" i="50" s="1"/>
  <c r="AE91" i="55"/>
  <c r="AG25" i="50" s="1"/>
  <c r="I91" i="55"/>
  <c r="K25" i="50" s="1"/>
  <c r="Q91" i="55"/>
  <c r="S25" i="50" s="1"/>
  <c r="Y91" i="55"/>
  <c r="AA25" i="50" s="1"/>
  <c r="AG91" i="55"/>
  <c r="AI25" i="50" s="1"/>
  <c r="AC91" i="55"/>
  <c r="AE25" i="50" s="1"/>
  <c r="G10" i="100"/>
  <c r="G54" s="1"/>
  <c r="G16"/>
  <c r="L9" i="32"/>
  <c r="L35" s="1"/>
  <c r="M9"/>
  <c r="M35" s="1"/>
  <c r="I9"/>
  <c r="I21" s="1"/>
  <c r="J35" l="1"/>
  <c r="G60" i="100"/>
  <c r="H35" i="32"/>
  <c r="H21"/>
  <c r="J21"/>
  <c r="K35"/>
  <c r="O34"/>
  <c r="G25" i="100"/>
  <c r="G69" s="1"/>
  <c r="G20"/>
  <c r="G64" s="1"/>
  <c r="G11"/>
  <c r="G55" s="1"/>
  <c r="I35" i="32"/>
  <c r="L21"/>
  <c r="M21"/>
  <c r="G43" i="100" l="1"/>
  <c r="G87" s="1"/>
  <c r="G32" i="32" l="1"/>
  <c r="G27"/>
  <c r="F32"/>
  <c r="E32"/>
  <c r="D32"/>
  <c r="C32"/>
  <c r="B32"/>
  <c r="F27"/>
  <c r="E27"/>
  <c r="D27"/>
  <c r="C27"/>
  <c r="B27"/>
  <c r="G22" i="101" l="1"/>
  <c r="G24" l="1"/>
  <c r="G23"/>
  <c r="E1" i="131" l="1"/>
  <c r="F1" s="1"/>
  <c r="G1" s="1"/>
  <c r="H1" s="1"/>
  <c r="I1" s="1"/>
  <c r="J1" s="1"/>
  <c r="K1" s="1"/>
  <c r="L1" s="1"/>
  <c r="M1" s="1"/>
  <c r="N1" s="1"/>
  <c r="O1" s="1"/>
  <c r="P1" s="1"/>
  <c r="Q1" s="1"/>
  <c r="R1" s="1"/>
  <c r="S1" s="1"/>
  <c r="T1" s="1"/>
  <c r="U1" s="1"/>
  <c r="V1" s="1"/>
  <c r="W1" s="1"/>
  <c r="X1" s="1"/>
  <c r="Y1" s="1"/>
  <c r="Z1" s="1"/>
  <c r="AA1" s="1"/>
  <c r="AB1" s="1"/>
  <c r="AC1" s="1"/>
  <c r="AD1" s="1"/>
  <c r="AE1" s="1"/>
  <c r="AF1" s="1"/>
  <c r="AG1" s="1"/>
  <c r="AH1" s="1"/>
  <c r="C34" i="78" l="1"/>
  <c r="F5" i="55" l="1"/>
  <c r="C4"/>
  <c r="A20" i="50"/>
  <c r="A10" i="130"/>
  <c r="B14" i="13"/>
  <c r="A1" i="115"/>
  <c r="A1" i="78"/>
  <c r="D23" i="115" l="1"/>
  <c r="O5" i="32"/>
  <c r="D24" i="115"/>
  <c r="D22"/>
  <c r="A1" i="35"/>
  <c r="B1" i="101"/>
  <c r="B1" i="100"/>
  <c r="B1" i="157" s="1"/>
  <c r="A1" i="32"/>
  <c r="C1" i="55"/>
  <c r="B1" i="50"/>
  <c r="A1" i="62"/>
  <c r="A2" i="115"/>
  <c r="A17" i="50"/>
  <c r="A18"/>
  <c r="A19"/>
  <c r="A16"/>
  <c r="C35" i="78" l="1"/>
  <c r="C36"/>
  <c r="C37"/>
  <c r="H50" i="55" l="1"/>
  <c r="H43"/>
  <c r="H26"/>
  <c r="H20"/>
  <c r="F72" i="143" l="1"/>
  <c r="F47"/>
  <c r="F54"/>
  <c r="F31"/>
  <c r="F41"/>
  <c r="F65"/>
  <c r="F15"/>
  <c r="F35"/>
  <c r="F23"/>
  <c r="F14" i="35"/>
  <c r="G75" i="143"/>
  <c r="H75" s="1"/>
  <c r="I75"/>
  <c r="J75" s="1"/>
  <c r="G21"/>
  <c r="H21" s="1"/>
  <c r="I21"/>
  <c r="J21" s="1"/>
  <c r="I52"/>
  <c r="J52" s="1"/>
  <c r="G52"/>
  <c r="H52" s="1"/>
  <c r="I29"/>
  <c r="J29" s="1"/>
  <c r="G29"/>
  <c r="H29" s="1"/>
  <c r="E31"/>
  <c r="I59"/>
  <c r="J59" s="1"/>
  <c r="G59"/>
  <c r="H59" s="1"/>
  <c r="G56"/>
  <c r="H56" s="1"/>
  <c r="I56"/>
  <c r="J56" s="1"/>
  <c r="E65"/>
  <c r="I44"/>
  <c r="J44" s="1"/>
  <c r="G44"/>
  <c r="H44" s="1"/>
  <c r="I62"/>
  <c r="J62" s="1"/>
  <c r="G62"/>
  <c r="H62" s="1"/>
  <c r="I9"/>
  <c r="J9" s="1"/>
  <c r="G9"/>
  <c r="H9" s="1"/>
  <c r="I34"/>
  <c r="J34" s="1"/>
  <c r="G34"/>
  <c r="H34" s="1"/>
  <c r="I14"/>
  <c r="J14" s="1"/>
  <c r="G14"/>
  <c r="H14" s="1"/>
  <c r="F16" i="35"/>
  <c r="I77" i="143"/>
  <c r="J77" s="1"/>
  <c r="G77"/>
  <c r="H77" s="1"/>
  <c r="F15" i="35"/>
  <c r="I76" i="143"/>
  <c r="J76" s="1"/>
  <c r="G76"/>
  <c r="H76" s="1"/>
  <c r="G60"/>
  <c r="H60" s="1"/>
  <c r="I60"/>
  <c r="J60" s="1"/>
  <c r="G8"/>
  <c r="H8" s="1"/>
  <c r="I8"/>
  <c r="J8" s="1"/>
  <c r="E15"/>
  <c r="I12"/>
  <c r="J12" s="1"/>
  <c r="G12"/>
  <c r="H12" s="1"/>
  <c r="I53"/>
  <c r="J53" s="1"/>
  <c r="G53"/>
  <c r="H53" s="1"/>
  <c r="G10"/>
  <c r="H10" s="1"/>
  <c r="I10"/>
  <c r="J10" s="1"/>
  <c r="G45"/>
  <c r="H45" s="1"/>
  <c r="I45"/>
  <c r="J45" s="1"/>
  <c r="I33"/>
  <c r="J33" s="1"/>
  <c r="E35"/>
  <c r="G33"/>
  <c r="H33" s="1"/>
  <c r="G46"/>
  <c r="H46" s="1"/>
  <c r="E47"/>
  <c r="I46"/>
  <c r="J46" s="1"/>
  <c r="I40"/>
  <c r="J40" s="1"/>
  <c r="G40"/>
  <c r="H40" s="1"/>
  <c r="I49"/>
  <c r="J49" s="1"/>
  <c r="E54"/>
  <c r="G49"/>
  <c r="H49" s="1"/>
  <c r="G13"/>
  <c r="H13" s="1"/>
  <c r="I13"/>
  <c r="J13" s="1"/>
  <c r="I19"/>
  <c r="E23"/>
  <c r="F7" i="35" s="1"/>
  <c r="G19" i="143"/>
  <c r="G11"/>
  <c r="H11" s="1"/>
  <c r="I11"/>
  <c r="J11" s="1"/>
  <c r="E41"/>
  <c r="I37"/>
  <c r="J37" s="1"/>
  <c r="G37"/>
  <c r="H37" s="1"/>
  <c r="G50"/>
  <c r="H50" s="1"/>
  <c r="I50"/>
  <c r="J50" s="1"/>
  <c r="I57"/>
  <c r="J57" s="1"/>
  <c r="G57"/>
  <c r="H57" s="1"/>
  <c r="G38"/>
  <c r="H38" s="1"/>
  <c r="I38"/>
  <c r="J38" s="1"/>
  <c r="G71"/>
  <c r="H71" s="1"/>
  <c r="I71"/>
  <c r="J71" s="1"/>
  <c r="I63"/>
  <c r="J63" s="1"/>
  <c r="G63"/>
  <c r="H63" s="1"/>
  <c r="G43"/>
  <c r="H43" s="1"/>
  <c r="I43"/>
  <c r="J43" s="1"/>
  <c r="G20"/>
  <c r="H20" s="1"/>
  <c r="I20"/>
  <c r="J20" s="1"/>
  <c r="G30"/>
  <c r="H30" s="1"/>
  <c r="I30"/>
  <c r="J30" s="1"/>
  <c r="I70"/>
  <c r="J70" s="1"/>
  <c r="G70"/>
  <c r="H70" s="1"/>
  <c r="E72"/>
  <c r="G64"/>
  <c r="H64" s="1"/>
  <c r="I64"/>
  <c r="J64" s="1"/>
  <c r="I51"/>
  <c r="J51" s="1"/>
  <c r="G51"/>
  <c r="H51" s="1"/>
  <c r="I58"/>
  <c r="J58" s="1"/>
  <c r="G58"/>
  <c r="H58" s="1"/>
  <c r="I61"/>
  <c r="J61" s="1"/>
  <c r="G61"/>
  <c r="H61" s="1"/>
  <c r="I39"/>
  <c r="J39" s="1"/>
  <c r="G39"/>
  <c r="H39" s="1"/>
  <c r="G22"/>
  <c r="H22" s="1"/>
  <c r="I22"/>
  <c r="J22" s="1"/>
  <c r="G5" i="100"/>
  <c r="G5" i="10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J5" i="50"/>
  <c r="H5" i="55"/>
  <c r="I50"/>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G7" i="35" l="1"/>
  <c r="G11"/>
  <c r="F66" i="143"/>
  <c r="G6" i="35"/>
  <c r="F24" i="143"/>
  <c r="E66"/>
  <c r="J19"/>
  <c r="I23"/>
  <c r="J23" s="1"/>
  <c r="I54"/>
  <c r="J54" s="1"/>
  <c r="G54"/>
  <c r="H54" s="1"/>
  <c r="I35"/>
  <c r="J35" s="1"/>
  <c r="G35"/>
  <c r="H35" s="1"/>
  <c r="I65"/>
  <c r="J65" s="1"/>
  <c r="G65"/>
  <c r="H65" s="1"/>
  <c r="G47"/>
  <c r="H47" s="1"/>
  <c r="I47"/>
  <c r="J47" s="1"/>
  <c r="I31"/>
  <c r="J31" s="1"/>
  <c r="G31"/>
  <c r="H31" s="1"/>
  <c r="G41"/>
  <c r="H41" s="1"/>
  <c r="I41"/>
  <c r="J41" s="1"/>
  <c r="F11" i="35"/>
  <c r="G72" i="143"/>
  <c r="H72" s="1"/>
  <c r="I72"/>
  <c r="J72" s="1"/>
  <c r="G23"/>
  <c r="H23" s="1"/>
  <c r="H19"/>
  <c r="F6" i="35"/>
  <c r="I15" i="143"/>
  <c r="J15" s="1"/>
  <c r="E16"/>
  <c r="G15"/>
  <c r="H15" s="1"/>
  <c r="F16"/>
  <c r="E24"/>
  <c r="I5" i="55"/>
  <c r="F67" i="143" l="1"/>
  <c r="E25"/>
  <c r="E67"/>
  <c r="F25"/>
  <c r="G10" i="35"/>
  <c r="I66" i="143"/>
  <c r="J66" s="1"/>
  <c r="F73"/>
  <c r="G66"/>
  <c r="H66" s="1"/>
  <c r="F10" i="35"/>
  <c r="I24" i="143"/>
  <c r="J24" s="1"/>
  <c r="G24"/>
  <c r="H24" s="1"/>
  <c r="E73"/>
  <c r="J5" i="55"/>
  <c r="F78" i="143" l="1"/>
  <c r="F79" s="1"/>
  <c r="E78"/>
  <c r="E79" s="1"/>
  <c r="G73"/>
  <c r="H73" s="1"/>
  <c r="I73"/>
  <c r="J73" s="1"/>
  <c r="K5" i="55"/>
  <c r="I78" i="143" l="1"/>
  <c r="J78" s="1"/>
  <c r="G78"/>
  <c r="H78" s="1"/>
  <c r="L5" i="55"/>
  <c r="M5" l="1"/>
  <c r="N5" l="1"/>
  <c r="I43"/>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I26"/>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I20"/>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O5" l="1"/>
  <c r="P5" l="1"/>
  <c r="Q5" l="1"/>
  <c r="R5" s="1"/>
  <c r="S5" s="1"/>
  <c r="T5" s="1"/>
  <c r="U5" s="1"/>
  <c r="V5" s="1"/>
  <c r="W5" s="1"/>
  <c r="X5" s="1"/>
  <c r="Y5" s="1"/>
  <c r="Z5" s="1"/>
  <c r="AA5" s="1"/>
  <c r="AB5" s="1"/>
  <c r="AC5" s="1"/>
  <c r="AD5" s="1"/>
  <c r="AE5" s="1"/>
  <c r="AF5" s="1"/>
  <c r="AG5" s="1"/>
  <c r="AH5" s="1"/>
  <c r="AI5" s="1"/>
  <c r="AJ5" s="1"/>
  <c r="AK5" s="1"/>
  <c r="AL5" s="1"/>
  <c r="AM5" s="1"/>
  <c r="AN5" s="1"/>
  <c r="D45" l="1"/>
  <c r="E54"/>
  <c r="D69"/>
  <c r="D70" s="1"/>
  <c r="D44"/>
  <c r="E22"/>
  <c r="E88"/>
  <c r="E53"/>
  <c r="D56"/>
  <c r="E69"/>
  <c r="D51"/>
  <c r="D88"/>
  <c r="E52"/>
  <c r="D55"/>
  <c r="E51"/>
  <c r="D89"/>
  <c r="D54"/>
  <c r="E44"/>
  <c r="D53"/>
  <c r="E56"/>
  <c r="E90"/>
  <c r="D52"/>
  <c r="E55"/>
  <c r="E45"/>
  <c r="D90"/>
  <c r="E89"/>
  <c r="F90"/>
  <c r="F44"/>
  <c r="F52"/>
  <c r="F89"/>
  <c r="F88"/>
  <c r="F69"/>
  <c r="F70" s="1"/>
  <c r="F51"/>
  <c r="F54"/>
  <c r="F45"/>
  <c r="F53"/>
  <c r="F22"/>
  <c r="F56"/>
  <c r="F55"/>
  <c r="D91" l="1"/>
  <c r="E91"/>
  <c r="F91"/>
  <c r="F83"/>
  <c r="D83"/>
  <c r="E83"/>
  <c r="E77"/>
  <c r="F77"/>
  <c r="D77"/>
  <c r="E70"/>
  <c r="H49" i="100" l="1"/>
  <c r="I49" s="1"/>
  <c r="J49" s="1"/>
  <c r="K49" s="1"/>
  <c r="L49" s="1"/>
  <c r="M49" s="1"/>
  <c r="N49" s="1"/>
  <c r="O49" s="1"/>
  <c r="P49" s="1"/>
  <c r="Q49" s="1"/>
  <c r="R49" s="1"/>
  <c r="S49" s="1"/>
  <c r="T49" s="1"/>
  <c r="U49" s="1"/>
  <c r="V49" s="1"/>
  <c r="W49" s="1"/>
  <c r="X49" s="1"/>
  <c r="Y49" s="1"/>
  <c r="Z49" s="1"/>
  <c r="AA49" s="1"/>
  <c r="AB49" s="1"/>
  <c r="AC49" s="1"/>
  <c r="AD49" s="1"/>
  <c r="AE49" s="1"/>
  <c r="G14" i="101" l="1"/>
  <c r="J57" i="55"/>
  <c r="L20" i="50" s="1"/>
  <c r="N57" i="55"/>
  <c r="P20" i="50" s="1"/>
  <c r="R57" i="55"/>
  <c r="T20" i="50" s="1"/>
  <c r="V57" i="55"/>
  <c r="X20" i="50" s="1"/>
  <c r="Z57" i="55"/>
  <c r="AB20" i="50" s="1"/>
  <c r="AD57" i="55"/>
  <c r="AF20" i="50" s="1"/>
  <c r="AH57" i="55"/>
  <c r="AJ20" i="50" s="1"/>
  <c r="K57" i="55"/>
  <c r="M20" i="50" s="1"/>
  <c r="O57" i="55"/>
  <c r="Q20" i="50" s="1"/>
  <c r="S57" i="55"/>
  <c r="U20" i="50" s="1"/>
  <c r="W57" i="55"/>
  <c r="Y20" i="50" s="1"/>
  <c r="AA57" i="55"/>
  <c r="AC20" i="50" s="1"/>
  <c r="AE57" i="55"/>
  <c r="AG20" i="50" s="1"/>
  <c r="AI57" i="55"/>
  <c r="AK20" i="50" s="1"/>
  <c r="H57" i="55"/>
  <c r="J20" i="50" s="1"/>
  <c r="L57" i="55"/>
  <c r="N20" i="50" s="1"/>
  <c r="P57" i="55"/>
  <c r="R20" i="50" s="1"/>
  <c r="T57" i="55"/>
  <c r="V20" i="50" s="1"/>
  <c r="X57" i="55"/>
  <c r="Z20" i="50" s="1"/>
  <c r="AB57" i="55"/>
  <c r="AD20" i="50" s="1"/>
  <c r="AF57" i="55"/>
  <c r="AH20" i="50" s="1"/>
  <c r="I57" i="55"/>
  <c r="K20" i="50" s="1"/>
  <c r="M57" i="55"/>
  <c r="O20" i="50" s="1"/>
  <c r="Q57" i="55"/>
  <c r="S20" i="50" s="1"/>
  <c r="U57" i="55"/>
  <c r="W20" i="50" s="1"/>
  <c r="Y57" i="55"/>
  <c r="AA20" i="50" s="1"/>
  <c r="AC57" i="55"/>
  <c r="AE20" i="50" s="1"/>
  <c r="AG57" i="55"/>
  <c r="AI20" i="50" s="1"/>
  <c r="G21" i="101" l="1"/>
  <c r="G25" l="1"/>
  <c r="AI46" i="55" l="1"/>
  <c r="AK19" i="50" s="1"/>
  <c r="AH46" i="55"/>
  <c r="AJ19" i="50" s="1"/>
  <c r="AG46" i="55"/>
  <c r="AI19" i="50" s="1"/>
  <c r="AF46" i="55"/>
  <c r="AH19" i="50" s="1"/>
  <c r="AE46" i="55"/>
  <c r="AG19" i="50" s="1"/>
  <c r="AD46" i="55"/>
  <c r="AF19" i="50" s="1"/>
  <c r="AC46" i="55"/>
  <c r="AE19" i="50" s="1"/>
  <c r="AB46" i="55"/>
  <c r="AD19" i="50" s="1"/>
  <c r="AA46" i="55"/>
  <c r="AC19" i="50" s="1"/>
  <c r="Z46" i="55"/>
  <c r="AB19" i="50" s="1"/>
  <c r="Y46" i="55"/>
  <c r="AA19" i="50" s="1"/>
  <c r="X46" i="55"/>
  <c r="Z19" i="50" s="1"/>
  <c r="W46" i="55"/>
  <c r="Y19" i="50" s="1"/>
  <c r="V46" i="55"/>
  <c r="X19" i="50" s="1"/>
  <c r="U46" i="55"/>
  <c r="W19" i="50" s="1"/>
  <c r="T46" i="55"/>
  <c r="V19" i="50" s="1"/>
  <c r="S46" i="55"/>
  <c r="U19" i="50" s="1"/>
  <c r="R46" i="55"/>
  <c r="T19" i="50" s="1"/>
  <c r="Q46" i="55"/>
  <c r="S19" i="50" s="1"/>
  <c r="P46" i="55"/>
  <c r="R19" i="50" s="1"/>
  <c r="O46" i="55"/>
  <c r="Q19" i="50" s="1"/>
  <c r="N46" i="55"/>
  <c r="P19" i="50" s="1"/>
  <c r="M46" i="55"/>
  <c r="O19" i="50" s="1"/>
  <c r="L46" i="55"/>
  <c r="N19" i="50" s="1"/>
  <c r="K46" i="55"/>
  <c r="M19" i="50" s="1"/>
  <c r="J46" i="55"/>
  <c r="L19" i="50" s="1"/>
  <c r="I46" i="55"/>
  <c r="K19" i="50" s="1"/>
  <c r="H46" i="55"/>
  <c r="J17" i="50"/>
  <c r="B15" i="13"/>
  <c r="J19" i="50" l="1"/>
  <c r="Q50" i="100"/>
  <c r="Z50"/>
  <c r="K50"/>
  <c r="AA50"/>
  <c r="P50"/>
  <c r="L50"/>
  <c r="G50"/>
  <c r="U50"/>
  <c r="V50"/>
  <c r="AE50"/>
  <c r="B2" i="101"/>
  <c r="B2" i="100"/>
  <c r="O7" i="32"/>
  <c r="AF13" i="101" l="1"/>
  <c r="U13"/>
  <c r="L13"/>
  <c r="K13"/>
  <c r="P13"/>
  <c r="Q13"/>
  <c r="V13"/>
  <c r="AE13"/>
  <c r="AA13"/>
  <c r="G15"/>
  <c r="B9" i="32"/>
  <c r="E9"/>
  <c r="D9"/>
  <c r="G9"/>
  <c r="C9"/>
  <c r="F9"/>
  <c r="U16" i="101" l="1"/>
  <c r="U60" s="1"/>
  <c r="U57"/>
  <c r="L16"/>
  <c r="L60" s="1"/>
  <c r="L57"/>
  <c r="AA57"/>
  <c r="AA16"/>
  <c r="AA60" s="1"/>
  <c r="AE57"/>
  <c r="AE16"/>
  <c r="AE60" s="1"/>
  <c r="AF16"/>
  <c r="AF60" s="1"/>
  <c r="AF57"/>
  <c r="K16"/>
  <c r="K60" s="1"/>
  <c r="K57"/>
  <c r="V16"/>
  <c r="V60" s="1"/>
  <c r="V57"/>
  <c r="Q57"/>
  <c r="Q16"/>
  <c r="Q60" s="1"/>
  <c r="P16"/>
  <c r="P60" s="1"/>
  <c r="P57"/>
  <c r="AB16" i="55"/>
  <c r="AD16" i="50" s="1"/>
  <c r="Q16" i="55"/>
  <c r="S16" i="50" s="1"/>
  <c r="L16" i="55"/>
  <c r="N16" i="50" s="1"/>
  <c r="R16" i="55"/>
  <c r="T16" i="50" s="1"/>
  <c r="M16" i="55"/>
  <c r="O16" i="50" s="1"/>
  <c r="V16" i="55"/>
  <c r="X16" i="50" s="1"/>
  <c r="AF16" i="55"/>
  <c r="AH16" i="50" s="1"/>
  <c r="AG16" i="55"/>
  <c r="AI16" i="50" s="1"/>
  <c r="W16" i="55"/>
  <c r="Y16" i="50" s="1"/>
  <c r="Z13" i="101"/>
  <c r="G35" i="32"/>
  <c r="E35"/>
  <c r="D35"/>
  <c r="F35"/>
  <c r="C35"/>
  <c r="B35"/>
  <c r="G6" i="101"/>
  <c r="Z57" l="1"/>
  <c r="Z16"/>
  <c r="Z60" s="1"/>
  <c r="G85"/>
  <c r="G83"/>
  <c r="G82"/>
  <c r="G80"/>
  <c r="G81"/>
  <c r="G86"/>
  <c r="G79"/>
  <c r="G84"/>
  <c r="G77"/>
  <c r="G75"/>
  <c r="G78"/>
  <c r="G76"/>
  <c r="G72"/>
  <c r="G74"/>
  <c r="G73"/>
  <c r="G59"/>
  <c r="G71"/>
  <c r="G66"/>
  <c r="G68"/>
  <c r="G67"/>
  <c r="G58"/>
  <c r="G65"/>
  <c r="G69"/>
  <c r="H16" i="55"/>
  <c r="G13" i="101"/>
  <c r="AA16" i="55"/>
  <c r="AC16" i="50" s="1"/>
  <c r="G26" i="101"/>
  <c r="G70" s="1"/>
  <c r="V40" i="55" l="1"/>
  <c r="U19" i="101" s="1"/>
  <c r="U63" s="1"/>
  <c r="AB40" i="55"/>
  <c r="AA19" i="101" s="1"/>
  <c r="AA63" s="1"/>
  <c r="AB39" i="55"/>
  <c r="AA18" i="101" s="1"/>
  <c r="AA62" s="1"/>
  <c r="V39" i="55"/>
  <c r="U18" i="101" s="1"/>
  <c r="U62" s="1"/>
  <c r="L39" i="55"/>
  <c r="K18" i="101" s="1"/>
  <c r="K62" s="1"/>
  <c r="AG40" i="55"/>
  <c r="AF19" i="101" s="1"/>
  <c r="R39" i="55"/>
  <c r="Q18" i="101" s="1"/>
  <c r="Q62" s="1"/>
  <c r="M40" i="55"/>
  <c r="L19" i="101" s="1"/>
  <c r="L63" s="1"/>
  <c r="AF39" i="55"/>
  <c r="AE18" i="101" s="1"/>
  <c r="AE62" s="1"/>
  <c r="AF40" i="55"/>
  <c r="AE19" i="101" s="1"/>
  <c r="AE63" s="1"/>
  <c r="M39" i="55"/>
  <c r="L18" i="101" s="1"/>
  <c r="L62" s="1"/>
  <c r="Q40" i="55"/>
  <c r="P19" i="101" s="1"/>
  <c r="P63" s="1"/>
  <c r="L40" i="55"/>
  <c r="K19" i="101" s="1"/>
  <c r="K63" s="1"/>
  <c r="AG39" i="55"/>
  <c r="AF18" i="101" s="1"/>
  <c r="W39" i="55"/>
  <c r="V18" i="101" s="1"/>
  <c r="V62" s="1"/>
  <c r="G16"/>
  <c r="G57"/>
  <c r="W40" i="55"/>
  <c r="V19" i="101" s="1"/>
  <c r="V63" s="1"/>
  <c r="R40" i="55"/>
  <c r="Q19" i="101" s="1"/>
  <c r="Q63" s="1"/>
  <c r="AF63" l="1"/>
  <c r="AF62"/>
  <c r="AF36" i="55"/>
  <c r="AF37" s="1"/>
  <c r="AH18" i="50" s="1"/>
  <c r="AB36" i="55"/>
  <c r="AB37" s="1"/>
  <c r="AD18" i="50" s="1"/>
  <c r="V36" i="55"/>
  <c r="V37" s="1"/>
  <c r="X18" i="50" s="1"/>
  <c r="R36" i="55"/>
  <c r="R37" s="1"/>
  <c r="T18" i="50" s="1"/>
  <c r="L36" i="55"/>
  <c r="L37" s="1"/>
  <c r="N18" i="50" s="1"/>
  <c r="Q36" i="55"/>
  <c r="Q37" s="1"/>
  <c r="S18" i="50" s="1"/>
  <c r="M36" i="55"/>
  <c r="M37" s="1"/>
  <c r="O18" i="50" s="1"/>
  <c r="AG36" i="55"/>
  <c r="AG37" s="1"/>
  <c r="AI18" i="50" s="1"/>
  <c r="Q39" i="55"/>
  <c r="P18" i="101" s="1"/>
  <c r="P62" s="1"/>
  <c r="G60"/>
  <c r="W36" i="55"/>
  <c r="W37" s="1"/>
  <c r="Y18" i="50" s="1"/>
  <c r="AA40" i="55" l="1"/>
  <c r="Z19" i="101" s="1"/>
  <c r="Z63" s="1"/>
  <c r="AA39" i="55"/>
  <c r="Z18" i="101" s="1"/>
  <c r="Z62" s="1"/>
  <c r="AA36" i="55"/>
  <c r="AA37" l="1"/>
  <c r="AC18" i="50" s="1"/>
  <c r="C48" i="78" l="1"/>
  <c r="C47"/>
  <c r="C46"/>
  <c r="C45"/>
  <c r="I27" l="1"/>
  <c r="D28"/>
  <c r="I25"/>
  <c r="I26"/>
  <c r="E28" i="101" l="1"/>
  <c r="I30" i="78"/>
  <c r="K26"/>
  <c r="K27"/>
  <c r="C34" i="101"/>
  <c r="E34"/>
  <c r="C28"/>
  <c r="C39"/>
  <c r="C40"/>
  <c r="C41"/>
  <c r="C38"/>
  <c r="C36"/>
  <c r="C37"/>
  <c r="D40"/>
  <c r="D35"/>
  <c r="E35"/>
  <c r="D41"/>
  <c r="C35"/>
  <c r="E38"/>
  <c r="E42"/>
  <c r="D38"/>
  <c r="D39"/>
  <c r="D37"/>
  <c r="C42"/>
  <c r="D36"/>
  <c r="E39"/>
  <c r="E36"/>
  <c r="E40"/>
  <c r="E37"/>
  <c r="D42"/>
  <c r="E41"/>
  <c r="D26"/>
  <c r="C32"/>
  <c r="C6"/>
  <c r="D28"/>
  <c r="D22"/>
  <c r="E15"/>
  <c r="D15"/>
  <c r="E23"/>
  <c r="E14"/>
  <c r="C33"/>
  <c r="E33"/>
  <c r="D24"/>
  <c r="D31"/>
  <c r="C31"/>
  <c r="D23"/>
  <c r="E29"/>
  <c r="D34"/>
  <c r="D14"/>
  <c r="D29"/>
  <c r="D30"/>
  <c r="E24"/>
  <c r="D33"/>
  <c r="E26"/>
  <c r="E31"/>
  <c r="E21"/>
  <c r="D21"/>
  <c r="D32"/>
  <c r="E32"/>
  <c r="E30"/>
  <c r="C30"/>
  <c r="E22"/>
  <c r="E6"/>
  <c r="E50" s="1"/>
  <c r="C29"/>
  <c r="I24" i="78"/>
  <c r="E28"/>
  <c r="I28" s="1"/>
  <c r="K24"/>
  <c r="K25"/>
  <c r="C73" i="101" l="1"/>
  <c r="C76"/>
  <c r="C77"/>
  <c r="C74"/>
  <c r="C75"/>
  <c r="C86"/>
  <c r="E79"/>
  <c r="C83"/>
  <c r="C84"/>
  <c r="E85"/>
  <c r="E81"/>
  <c r="C81"/>
  <c r="E84"/>
  <c r="E86"/>
  <c r="C80"/>
  <c r="E80"/>
  <c r="E82"/>
  <c r="C82"/>
  <c r="E83"/>
  <c r="C79"/>
  <c r="C85"/>
  <c r="E78"/>
  <c r="E75"/>
  <c r="C78"/>
  <c r="E76"/>
  <c r="E77"/>
  <c r="E73"/>
  <c r="C72"/>
  <c r="E74"/>
  <c r="E72"/>
  <c r="F28" i="78"/>
  <c r="K28" s="1"/>
  <c r="K30"/>
  <c r="E27" i="101"/>
  <c r="E71" s="1"/>
  <c r="D25"/>
  <c r="D27"/>
  <c r="C27"/>
  <c r="E65"/>
  <c r="E25"/>
  <c r="E69" s="1"/>
  <c r="E58"/>
  <c r="E67"/>
  <c r="E66"/>
  <c r="E70"/>
  <c r="E59"/>
  <c r="E68"/>
  <c r="F8" i="35" l="1"/>
  <c r="F20" s="1"/>
  <c r="G19"/>
  <c r="G8"/>
  <c r="G20" s="1"/>
  <c r="F21"/>
  <c r="G21"/>
  <c r="G12" l="1"/>
  <c r="G17" s="1"/>
  <c r="G25" s="1"/>
  <c r="G22" l="1"/>
  <c r="A2" i="78"/>
  <c r="B54"/>
  <c r="A10" i="62" l="1"/>
  <c r="C19" i="32" l="1"/>
  <c r="C21" s="1"/>
  <c r="F19"/>
  <c r="F21" s="1"/>
  <c r="B19"/>
  <c r="B21" s="1"/>
  <c r="E19"/>
  <c r="E21" s="1"/>
  <c r="D19"/>
  <c r="D21" s="1"/>
  <c r="G19"/>
  <c r="G21" s="1"/>
  <c r="A2" i="62" l="1"/>
  <c r="A10" i="58" l="1"/>
  <c r="C5" i="32" l="1"/>
  <c r="D5" s="1"/>
  <c r="E5" s="1"/>
  <c r="F5" s="1"/>
  <c r="G5" s="1"/>
  <c r="H5" s="1"/>
  <c r="I5" s="1"/>
  <c r="J5" s="1"/>
  <c r="K5" s="1"/>
  <c r="L5" s="1"/>
  <c r="M5" s="1"/>
  <c r="K5" i="50" l="1"/>
  <c r="C2" i="55"/>
  <c r="O19" i="32" l="1"/>
  <c r="L5" i="50"/>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O9" i="32"/>
  <c r="G50" i="101"/>
  <c r="D17" i="50" l="1"/>
  <c r="F24"/>
  <c r="E8"/>
  <c r="D6"/>
  <c r="F19"/>
  <c r="D9"/>
  <c r="F9"/>
  <c r="E23"/>
  <c r="E10"/>
  <c r="E20"/>
  <c r="D11"/>
  <c r="E22"/>
  <c r="E6"/>
  <c r="D20"/>
  <c r="D25"/>
  <c r="D8"/>
  <c r="E9"/>
  <c r="F20"/>
  <c r="E17"/>
  <c r="F11"/>
  <c r="D24"/>
  <c r="D19"/>
  <c r="F22"/>
  <c r="F25"/>
  <c r="F8"/>
  <c r="D23"/>
  <c r="E19"/>
  <c r="F17"/>
  <c r="E24"/>
  <c r="E11"/>
  <c r="F6"/>
  <c r="D10"/>
  <c r="D22"/>
  <c r="E25"/>
  <c r="F23"/>
  <c r="F10"/>
  <c r="H12"/>
  <c r="H10"/>
  <c r="H6"/>
  <c r="G19"/>
  <c r="G12"/>
  <c r="G17"/>
  <c r="H24"/>
  <c r="G22"/>
  <c r="H22"/>
  <c r="H23"/>
  <c r="H8"/>
  <c r="G11"/>
  <c r="G9"/>
  <c r="H25"/>
  <c r="H11"/>
  <c r="H20"/>
  <c r="G6"/>
  <c r="G20"/>
  <c r="H9"/>
  <c r="G23"/>
  <c r="G10"/>
  <c r="G24"/>
  <c r="G8"/>
  <c r="G25"/>
  <c r="H17"/>
  <c r="H19"/>
  <c r="O21" i="32"/>
  <c r="O22" s="1"/>
  <c r="O35"/>
  <c r="J16" i="50"/>
  <c r="H13" l="1"/>
  <c r="G13"/>
  <c r="B2" l="1"/>
  <c r="C17"/>
  <c r="C19" i="55" s="1"/>
  <c r="C18" i="50" l="1"/>
  <c r="A11" i="62"/>
  <c r="C19" i="50" l="1"/>
  <c r="C20" s="1"/>
  <c r="C21" s="1"/>
  <c r="C25" i="55"/>
  <c r="A12" i="62"/>
  <c r="C22" i="50" l="1"/>
  <c r="A16" i="62" s="1"/>
  <c r="A15"/>
  <c r="C67" i="55"/>
  <c r="C23" i="50"/>
  <c r="C60" i="55"/>
  <c r="C42"/>
  <c r="A13" i="62"/>
  <c r="A17" l="1"/>
  <c r="C24" i="50"/>
  <c r="C73" i="55"/>
  <c r="C49"/>
  <c r="A14" i="62"/>
  <c r="A18" l="1"/>
  <c r="C80" i="55"/>
  <c r="C25" i="50"/>
  <c r="A19" i="62" l="1"/>
  <c r="C86" i="55"/>
  <c r="A10" i="45" l="1"/>
  <c r="A10" i="23" l="1"/>
  <c r="A2" i="35"/>
  <c r="A10" i="34" l="1"/>
  <c r="A2" i="32" l="1"/>
  <c r="H5" i="100" l="1"/>
  <c r="I5" l="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F12" i="35"/>
  <c r="F17" s="1"/>
  <c r="F25" s="1"/>
  <c r="F19"/>
  <c r="D28" i="100" l="1"/>
  <c r="C28"/>
  <c r="E28"/>
  <c r="E39"/>
  <c r="D37"/>
  <c r="E41"/>
  <c r="D40"/>
  <c r="C39"/>
  <c r="C38"/>
  <c r="D36"/>
  <c r="E36"/>
  <c r="D41"/>
  <c r="E38"/>
  <c r="E40"/>
  <c r="D38"/>
  <c r="D39"/>
  <c r="C42"/>
  <c r="C37"/>
  <c r="E37"/>
  <c r="C41"/>
  <c r="C40"/>
  <c r="C36"/>
  <c r="D42"/>
  <c r="E42"/>
  <c r="D35"/>
  <c r="C35"/>
  <c r="D34"/>
  <c r="C32"/>
  <c r="E34"/>
  <c r="C33"/>
  <c r="E32"/>
  <c r="D33"/>
  <c r="D32"/>
  <c r="C34"/>
  <c r="E33"/>
  <c r="E35"/>
  <c r="D31"/>
  <c r="D30"/>
  <c r="C31"/>
  <c r="C30"/>
  <c r="E30"/>
  <c r="E31"/>
  <c r="D29"/>
  <c r="C29"/>
  <c r="E29"/>
  <c r="C6"/>
  <c r="C29" i="157" s="1"/>
  <c r="D6" i="100"/>
  <c r="E6"/>
  <c r="E22"/>
  <c r="D19"/>
  <c r="D22"/>
  <c r="C26"/>
  <c r="C14"/>
  <c r="E26"/>
  <c r="E13"/>
  <c r="D23"/>
  <c r="D13"/>
  <c r="D26"/>
  <c r="C24"/>
  <c r="E17"/>
  <c r="D21"/>
  <c r="C23"/>
  <c r="C21"/>
  <c r="D17"/>
  <c r="D15"/>
  <c r="E19"/>
  <c r="D14"/>
  <c r="C13"/>
  <c r="E15"/>
  <c r="E21"/>
  <c r="E23"/>
  <c r="C18"/>
  <c r="E24"/>
  <c r="D24"/>
  <c r="E18"/>
  <c r="C15"/>
  <c r="E14"/>
  <c r="C22"/>
  <c r="C17"/>
  <c r="D18"/>
  <c r="C19"/>
  <c r="F22" i="35"/>
  <c r="B8"/>
  <c r="B20" s="1"/>
  <c r="C74" i="100" l="1"/>
  <c r="D77"/>
  <c r="E86"/>
  <c r="D83"/>
  <c r="C83"/>
  <c r="C85"/>
  <c r="E79"/>
  <c r="D85"/>
  <c r="E83"/>
  <c r="C75"/>
  <c r="E76"/>
  <c r="D86"/>
  <c r="D82"/>
  <c r="D84"/>
  <c r="C80"/>
  <c r="E84"/>
  <c r="E85"/>
  <c r="C84"/>
  <c r="E82"/>
  <c r="D81"/>
  <c r="E81"/>
  <c r="E80"/>
  <c r="C79"/>
  <c r="C81"/>
  <c r="D80"/>
  <c r="D79"/>
  <c r="C86"/>
  <c r="C82"/>
  <c r="C77"/>
  <c r="D75"/>
  <c r="E78"/>
  <c r="C76"/>
  <c r="E77"/>
  <c r="D78"/>
  <c r="E75"/>
  <c r="C78"/>
  <c r="D76"/>
  <c r="D74"/>
  <c r="E73"/>
  <c r="C73"/>
  <c r="D73"/>
  <c r="E74"/>
  <c r="E72"/>
  <c r="C72"/>
  <c r="D72"/>
  <c r="E27"/>
  <c r="E32" i="157" s="1"/>
  <c r="E33" s="1"/>
  <c r="C27" i="100"/>
  <c r="C71" s="1"/>
  <c r="D27"/>
  <c r="D32" i="157" s="1"/>
  <c r="D33" s="1"/>
  <c r="E29"/>
  <c r="D29"/>
  <c r="C66" i="100"/>
  <c r="C61"/>
  <c r="D61"/>
  <c r="D57"/>
  <c r="C63"/>
  <c r="D66"/>
  <c r="D62"/>
  <c r="C62"/>
  <c r="D59"/>
  <c r="D70"/>
  <c r="D67"/>
  <c r="C57"/>
  <c r="D65"/>
  <c r="D68"/>
  <c r="D58"/>
  <c r="C65"/>
  <c r="C59"/>
  <c r="C67"/>
  <c r="C58"/>
  <c r="C68"/>
  <c r="C70"/>
  <c r="E66"/>
  <c r="E67"/>
  <c r="E65"/>
  <c r="E58"/>
  <c r="E59"/>
  <c r="E57"/>
  <c r="E62"/>
  <c r="E70"/>
  <c r="E61"/>
  <c r="E68"/>
  <c r="E63"/>
  <c r="D63"/>
  <c r="D25"/>
  <c r="D69" s="1"/>
  <c r="C25"/>
  <c r="C69" s="1"/>
  <c r="D16"/>
  <c r="E25"/>
  <c r="E69" s="1"/>
  <c r="C16"/>
  <c r="G46"/>
  <c r="E16"/>
  <c r="E60" s="1"/>
  <c r="B21" i="35"/>
  <c r="D12" i="50"/>
  <c r="D13" s="1"/>
  <c r="F12"/>
  <c r="F13" s="1"/>
  <c r="B12" i="35"/>
  <c r="B17" s="1"/>
  <c r="C32" i="157" l="1"/>
  <c r="C33" s="1"/>
  <c r="E71" i="100"/>
  <c r="D71"/>
  <c r="B22" i="35"/>
  <c r="B25"/>
  <c r="C20" i="100"/>
  <c r="C64" s="1"/>
  <c r="C60"/>
  <c r="D20"/>
  <c r="D64" s="1"/>
  <c r="D60"/>
  <c r="E12" i="50"/>
  <c r="E13" s="1"/>
  <c r="E20" i="100"/>
  <c r="E64" l="1"/>
  <c r="F57" i="55" l="1"/>
  <c r="E57"/>
  <c r="D57"/>
  <c r="E46"/>
  <c r="D46"/>
  <c r="D22"/>
  <c r="F46"/>
  <c r="B31" i="115"/>
  <c r="G8" i="101" l="1"/>
  <c r="G7"/>
  <c r="G52" l="1"/>
  <c r="E8"/>
  <c r="E52" s="1"/>
  <c r="G51"/>
  <c r="E7"/>
  <c r="G9"/>
  <c r="G53" l="1"/>
  <c r="E9"/>
  <c r="E53" s="1"/>
  <c r="E51"/>
  <c r="G10"/>
  <c r="G54" s="1"/>
  <c r="G11"/>
  <c r="G55" s="1"/>
  <c r="E11" l="1"/>
  <c r="E55" s="1"/>
  <c r="E10"/>
  <c r="E54" s="1"/>
  <c r="I17" i="78" l="1"/>
  <c r="I18"/>
  <c r="K17" l="1"/>
  <c r="K18"/>
  <c r="H39" i="55" l="1"/>
  <c r="G18" i="101" l="1"/>
  <c r="G62" l="1"/>
  <c r="H40" i="55" l="1"/>
  <c r="H36"/>
  <c r="H37" s="1"/>
  <c r="J18" i="50" s="1"/>
  <c r="G19" i="101" l="1"/>
  <c r="G63" s="1"/>
  <c r="C50" i="100" l="1"/>
  <c r="C8" i="157" s="1"/>
  <c r="F8" l="1"/>
  <c r="F23"/>
  <c r="F13"/>
  <c r="F14"/>
  <c r="F17"/>
  <c r="F12"/>
  <c r="F18"/>
  <c r="F16"/>
  <c r="F21"/>
  <c r="F19"/>
  <c r="F25"/>
  <c r="F15"/>
  <c r="F24"/>
  <c r="F22"/>
  <c r="F11"/>
  <c r="F20"/>
  <c r="F26"/>
  <c r="C30"/>
  <c r="H50" i="100"/>
  <c r="M50" l="1"/>
  <c r="M13" i="101"/>
  <c r="M57" l="1"/>
  <c r="M16"/>
  <c r="M60" s="1"/>
  <c r="H13"/>
  <c r="R50" i="100"/>
  <c r="R13" i="101"/>
  <c r="N16" i="55"/>
  <c r="P16" i="50" s="1"/>
  <c r="R16" i="101" l="1"/>
  <c r="R60" s="1"/>
  <c r="R57"/>
  <c r="H16"/>
  <c r="H60" s="1"/>
  <c r="H57"/>
  <c r="W50" i="100"/>
  <c r="W13" i="101"/>
  <c r="S16" i="55"/>
  <c r="U16" i="50" s="1"/>
  <c r="I16" i="55"/>
  <c r="K16" i="50" s="1"/>
  <c r="W57" i="101" l="1"/>
  <c r="W16"/>
  <c r="W60" s="1"/>
  <c r="X16" i="55"/>
  <c r="Z16" i="50" s="1"/>
  <c r="AB50" i="100"/>
  <c r="N40" i="55"/>
  <c r="M19" i="101" s="1"/>
  <c r="M63" s="1"/>
  <c r="S40" i="55" l="1"/>
  <c r="R19" i="101" s="1"/>
  <c r="R63" s="1"/>
  <c r="AG13"/>
  <c r="N36" i="55"/>
  <c r="N37" s="1"/>
  <c r="P18" i="50" s="1"/>
  <c r="N39" i="55"/>
  <c r="M18" i="101" s="1"/>
  <c r="M62" s="1"/>
  <c r="AG57" l="1"/>
  <c r="AG16"/>
  <c r="AG60" s="1"/>
  <c r="I40" i="55"/>
  <c r="H19" i="101" s="1"/>
  <c r="H63" s="1"/>
  <c r="X40" i="55"/>
  <c r="W19" i="101" s="1"/>
  <c r="W63" s="1"/>
  <c r="S36" i="55"/>
  <c r="S37" s="1"/>
  <c r="U18" i="50" s="1"/>
  <c r="S39" i="55"/>
  <c r="R18" i="101" s="1"/>
  <c r="R62" s="1"/>
  <c r="I36" i="55"/>
  <c r="I37" s="1"/>
  <c r="K18" i="50" s="1"/>
  <c r="I39" i="55"/>
  <c r="H18" i="101" s="1"/>
  <c r="H62" s="1"/>
  <c r="AB13"/>
  <c r="AH16" i="55"/>
  <c r="AJ16" i="50" s="1"/>
  <c r="AB16" i="101" l="1"/>
  <c r="AB60" s="1"/>
  <c r="AB57"/>
  <c r="AC16" i="55"/>
  <c r="AE16" i="50" s="1"/>
  <c r="X36" i="55"/>
  <c r="X37" s="1"/>
  <c r="Z18" i="50" s="1"/>
  <c r="X39" i="55"/>
  <c r="W18" i="101" s="1"/>
  <c r="W62" s="1"/>
  <c r="AH40" i="55" l="1"/>
  <c r="AG19" i="101" s="1"/>
  <c r="AG63" l="1"/>
  <c r="AH36" i="55"/>
  <c r="AH37" s="1"/>
  <c r="AJ18" i="50" s="1"/>
  <c r="AH39" i="55"/>
  <c r="AG18" i="101" s="1"/>
  <c r="AG62" l="1"/>
  <c r="AC40" i="55"/>
  <c r="AB19" i="101" s="1"/>
  <c r="AB63" s="1"/>
  <c r="AC36" i="55"/>
  <c r="AC37" s="1"/>
  <c r="AE18" i="50" s="1"/>
  <c r="AC39" i="55"/>
  <c r="AB18" i="101" s="1"/>
  <c r="AB62" s="1"/>
  <c r="D50" i="100" l="1"/>
  <c r="D8" i="157" s="1"/>
  <c r="G8" l="1"/>
  <c r="G13"/>
  <c r="G15"/>
  <c r="G23"/>
  <c r="G11"/>
  <c r="G17"/>
  <c r="G21"/>
  <c r="G25"/>
  <c r="G14"/>
  <c r="G24"/>
  <c r="G18"/>
  <c r="G16"/>
  <c r="G22"/>
  <c r="G12"/>
  <c r="G20"/>
  <c r="G19"/>
  <c r="G26"/>
  <c r="D30"/>
  <c r="I50" i="100"/>
  <c r="I13" i="101" l="1"/>
  <c r="N50" i="100"/>
  <c r="N13" i="101"/>
  <c r="N16" l="1"/>
  <c r="N60" s="1"/>
  <c r="N57"/>
  <c r="I16"/>
  <c r="I60" s="1"/>
  <c r="I57"/>
  <c r="J16" i="55"/>
  <c r="L16" i="50" s="1"/>
  <c r="O16" i="55"/>
  <c r="Q16" i="50" s="1"/>
  <c r="S50" i="100"/>
  <c r="X50" l="1"/>
  <c r="J40" i="55" l="1"/>
  <c r="I19" i="101" s="1"/>
  <c r="I63" s="1"/>
  <c r="S13"/>
  <c r="O40" i="55"/>
  <c r="N19" i="101" s="1"/>
  <c r="N63" s="1"/>
  <c r="AC50" i="100"/>
  <c r="S16" i="101" l="1"/>
  <c r="S60" s="1"/>
  <c r="S57"/>
  <c r="J39" i="55"/>
  <c r="I18" i="101" s="1"/>
  <c r="I62" s="1"/>
  <c r="J36" i="55"/>
  <c r="J37" s="1"/>
  <c r="L18" i="50" s="1"/>
  <c r="X13" i="101"/>
  <c r="O36" i="55"/>
  <c r="O37" s="1"/>
  <c r="Q18" i="50" s="1"/>
  <c r="O39" i="55"/>
  <c r="N18" i="101" s="1"/>
  <c r="N62" s="1"/>
  <c r="T16" i="55"/>
  <c r="V16" i="50" s="1"/>
  <c r="X16" i="101" l="1"/>
  <c r="X60" s="1"/>
  <c r="X57"/>
  <c r="AH13"/>
  <c r="Y16" i="55"/>
  <c r="AA16" i="50" s="1"/>
  <c r="AC13" i="101"/>
  <c r="AI16" i="55" l="1"/>
  <c r="AK16" i="50" s="1"/>
  <c r="AH16" i="101"/>
  <c r="AH60" s="1"/>
  <c r="AH57"/>
  <c r="AC16"/>
  <c r="AC60" s="1"/>
  <c r="AC57"/>
  <c r="AD16" i="55"/>
  <c r="AF16" i="50" s="1"/>
  <c r="Y40" i="55" l="1"/>
  <c r="X19" i="101" s="1"/>
  <c r="X63" s="1"/>
  <c r="T40" i="55"/>
  <c r="S19" i="101" s="1"/>
  <c r="S63" s="1"/>
  <c r="T39" i="55"/>
  <c r="S18" i="101" s="1"/>
  <c r="S62" s="1"/>
  <c r="T36" i="55"/>
  <c r="T37" s="1"/>
  <c r="V18" i="50" s="1"/>
  <c r="AI40" i="55" l="1"/>
  <c r="AH19" i="101" s="1"/>
  <c r="Y39" i="55"/>
  <c r="X18" i="101" s="1"/>
  <c r="X62" s="1"/>
  <c r="Y36" i="55"/>
  <c r="Y37" s="1"/>
  <c r="AA18" i="50" s="1"/>
  <c r="AI39" i="55"/>
  <c r="AH18" i="101" s="1"/>
  <c r="AI36" i="55"/>
  <c r="AI37" s="1"/>
  <c r="AK18" i="50" s="1"/>
  <c r="AH62" i="101" l="1"/>
  <c r="AH63"/>
  <c r="AD40" i="55"/>
  <c r="AC19" i="101" s="1"/>
  <c r="AC63" s="1"/>
  <c r="AD39" i="55"/>
  <c r="AC18" i="101" s="1"/>
  <c r="AC62" s="1"/>
  <c r="AD36" i="55"/>
  <c r="AD37" s="1"/>
  <c r="AF18" i="50" s="1"/>
  <c r="E50" i="100" l="1"/>
  <c r="E8" i="157" s="1"/>
  <c r="H8" l="1"/>
  <c r="H11"/>
  <c r="H25"/>
  <c r="H15"/>
  <c r="H12"/>
  <c r="H20"/>
  <c r="H19"/>
  <c r="H22"/>
  <c r="H24"/>
  <c r="H23"/>
  <c r="H21"/>
  <c r="H13"/>
  <c r="H17"/>
  <c r="H18"/>
  <c r="H16"/>
  <c r="H14"/>
  <c r="H26"/>
  <c r="E30"/>
  <c r="J50" i="100"/>
  <c r="O50" l="1"/>
  <c r="O13" i="101"/>
  <c r="O57" l="1"/>
  <c r="O16"/>
  <c r="O60" s="1"/>
  <c r="C14"/>
  <c r="C26"/>
  <c r="C23"/>
  <c r="C24"/>
  <c r="C21"/>
  <c r="C22"/>
  <c r="C15"/>
  <c r="T50" i="100"/>
  <c r="J13" i="101"/>
  <c r="P16" i="55"/>
  <c r="R16" i="50" s="1"/>
  <c r="J16" i="101" l="1"/>
  <c r="J60" s="1"/>
  <c r="J57"/>
  <c r="D16" i="55"/>
  <c r="C58" i="101"/>
  <c r="C59"/>
  <c r="C66"/>
  <c r="C65"/>
  <c r="C71"/>
  <c r="C68"/>
  <c r="C67"/>
  <c r="C70"/>
  <c r="C25"/>
  <c r="C69" s="1"/>
  <c r="K16" i="55"/>
  <c r="M16" i="50" s="1"/>
  <c r="D16" s="1"/>
  <c r="Y50" i="100"/>
  <c r="C50" i="101"/>
  <c r="T13" l="1"/>
  <c r="P40" i="55"/>
  <c r="O19" i="101" s="1"/>
  <c r="O63" s="1"/>
  <c r="AD50" i="100"/>
  <c r="T16" i="101" l="1"/>
  <c r="T60" s="1"/>
  <c r="T57"/>
  <c r="Y13"/>
  <c r="D6"/>
  <c r="U16" i="55"/>
  <c r="W16" i="50" s="1"/>
  <c r="P36" i="55"/>
  <c r="P37" s="1"/>
  <c r="R18" i="50" s="1"/>
  <c r="P39" i="55"/>
  <c r="O18" i="101" s="1"/>
  <c r="O62" s="1"/>
  <c r="Y57" l="1"/>
  <c r="Y16"/>
  <c r="Y60" s="1"/>
  <c r="D80"/>
  <c r="D82"/>
  <c r="D81"/>
  <c r="D79"/>
  <c r="D84"/>
  <c r="D86"/>
  <c r="D83"/>
  <c r="D85"/>
  <c r="D77"/>
  <c r="D78"/>
  <c r="D76"/>
  <c r="D75"/>
  <c r="D72"/>
  <c r="D74"/>
  <c r="D73"/>
  <c r="Z16" i="55"/>
  <c r="AB16" i="50" s="1"/>
  <c r="D65" i="101"/>
  <c r="D71"/>
  <c r="D59"/>
  <c r="D70"/>
  <c r="D68"/>
  <c r="D58"/>
  <c r="D67"/>
  <c r="D66"/>
  <c r="D69"/>
  <c r="K40" i="55"/>
  <c r="J19" i="101" s="1"/>
  <c r="J63" s="1"/>
  <c r="D50"/>
  <c r="K36" i="55"/>
  <c r="K37" s="1"/>
  <c r="M18" i="50" s="1"/>
  <c r="D18" s="1"/>
  <c r="K39" i="55"/>
  <c r="J18" i="101" s="1"/>
  <c r="J62" s="1"/>
  <c r="AD13"/>
  <c r="AD16" l="1"/>
  <c r="AD60" s="1"/>
  <c r="AD57"/>
  <c r="E16" i="55"/>
  <c r="D39"/>
  <c r="D40"/>
  <c r="E13" i="101"/>
  <c r="E16" s="1"/>
  <c r="E60" s="1"/>
  <c r="F16" i="55"/>
  <c r="C13" i="101"/>
  <c r="C57" s="1"/>
  <c r="H16" i="50"/>
  <c r="AE16" i="55"/>
  <c r="AG16" i="50" s="1"/>
  <c r="F16" s="1"/>
  <c r="E16" l="1"/>
  <c r="E57" i="101"/>
  <c r="Z40" i="55"/>
  <c r="Y19" i="101" s="1"/>
  <c r="Y63" s="1"/>
  <c r="G16" i="50"/>
  <c r="C16" i="101"/>
  <c r="C60" s="1"/>
  <c r="U40" i="55"/>
  <c r="T19" i="101" s="1"/>
  <c r="T63" s="1"/>
  <c r="D13"/>
  <c r="D57" s="1"/>
  <c r="U36" i="55"/>
  <c r="U37" s="1"/>
  <c r="W18" i="50" s="1"/>
  <c r="U39" i="55"/>
  <c r="T18" i="101" s="1"/>
  <c r="T62" s="1"/>
  <c r="Z36" i="55" l="1"/>
  <c r="Z37" s="1"/>
  <c r="AB18" i="50" s="1"/>
  <c r="Z39" i="55"/>
  <c r="Y18" i="101" s="1"/>
  <c r="Y62" s="1"/>
  <c r="C19"/>
  <c r="C63" s="1"/>
  <c r="D16"/>
  <c r="D60" s="1"/>
  <c r="C18" l="1"/>
  <c r="C62" s="1"/>
  <c r="AE40" i="55"/>
  <c r="AD19" i="101" s="1"/>
  <c r="AD63" s="1"/>
  <c r="AE36" i="55"/>
  <c r="AE37" s="1"/>
  <c r="AG18" i="50" s="1"/>
  <c r="F18" s="1"/>
  <c r="AE39" i="55"/>
  <c r="AD18" i="101" s="1"/>
  <c r="AD62" s="1"/>
  <c r="F39" i="55" l="1"/>
  <c r="F40"/>
  <c r="E40"/>
  <c r="E39"/>
  <c r="E18" i="50"/>
  <c r="D36" i="55"/>
  <c r="D37" s="1"/>
  <c r="H18" i="50"/>
  <c r="G18"/>
  <c r="E36" i="55"/>
  <c r="E37" s="1"/>
  <c r="F36"/>
  <c r="F37" s="1"/>
  <c r="E19" i="101" l="1"/>
  <c r="E63" s="1"/>
  <c r="E18"/>
  <c r="E62" s="1"/>
  <c r="D18"/>
  <c r="D62" s="1"/>
  <c r="D19"/>
  <c r="D63" s="1"/>
  <c r="E9" i="100" l="1"/>
  <c r="C9"/>
  <c r="C53" s="1"/>
  <c r="D8"/>
  <c r="D52" s="1"/>
  <c r="E8"/>
  <c r="E52" s="1"/>
  <c r="C8"/>
  <c r="C52" s="1"/>
  <c r="D9"/>
  <c r="C7"/>
  <c r="E7"/>
  <c r="D7"/>
  <c r="E53" l="1"/>
  <c r="D51"/>
  <c r="D53"/>
  <c r="E51"/>
  <c r="D10"/>
  <c r="D54" s="1"/>
  <c r="C9" i="101"/>
  <c r="C53" s="1"/>
  <c r="D7"/>
  <c r="D51" s="1"/>
  <c r="D9"/>
  <c r="D53" s="1"/>
  <c r="C8"/>
  <c r="C52" s="1"/>
  <c r="D11" i="100"/>
  <c r="D55" s="1"/>
  <c r="C7" i="101"/>
  <c r="E10" i="100"/>
  <c r="E54" s="1"/>
  <c r="E11"/>
  <c r="E55" s="1"/>
  <c r="C10"/>
  <c r="C54" s="1"/>
  <c r="C11"/>
  <c r="C55" s="1"/>
  <c r="C51"/>
  <c r="D8" i="101"/>
  <c r="D52" s="1"/>
  <c r="E46" i="100" l="1"/>
  <c r="D43"/>
  <c r="D87" s="1"/>
  <c r="C10" i="101"/>
  <c r="C54" s="1"/>
  <c r="C11"/>
  <c r="C55" s="1"/>
  <c r="C51"/>
  <c r="E43" i="100"/>
  <c r="E87" s="1"/>
  <c r="D10" i="101"/>
  <c r="D54" s="1"/>
  <c r="D11"/>
  <c r="D55" s="1"/>
  <c r="C43" i="100"/>
  <c r="C87" s="1"/>
  <c r="I22" i="78" l="1"/>
  <c r="D46" i="100"/>
  <c r="K22" i="78" l="1"/>
  <c r="I21"/>
  <c r="K21"/>
  <c r="B30" i="115" l="1"/>
  <c r="I43" i="100" l="1"/>
  <c r="I46" s="1"/>
  <c r="H43"/>
  <c r="H87" s="1"/>
  <c r="I71"/>
  <c r="H71"/>
  <c r="H46" l="1"/>
  <c r="C46" s="1"/>
  <c r="B28" i="115" s="1"/>
  <c r="I87" i="100"/>
  <c r="I64" i="55" l="1"/>
  <c r="H17" i="101" s="1"/>
  <c r="H20" l="1"/>
  <c r="H61"/>
  <c r="K21" i="50"/>
  <c r="K26" s="1"/>
  <c r="K27" s="1"/>
  <c r="H43" i="101" l="1"/>
  <c r="H87" s="1"/>
  <c r="H64"/>
  <c r="K28" i="50"/>
  <c r="K64" i="55"/>
  <c r="J17" i="101" s="1"/>
  <c r="J61" l="1"/>
  <c r="J20"/>
  <c r="H46"/>
  <c r="M64" i="55"/>
  <c r="L17" i="101" s="1"/>
  <c r="H64" i="55"/>
  <c r="M21" i="50"/>
  <c r="M26" s="1"/>
  <c r="M27" s="1"/>
  <c r="L64" i="55"/>
  <c r="K17" i="101" s="1"/>
  <c r="J64" l="1"/>
  <c r="J43"/>
  <c r="J87" s="1"/>
  <c r="K20"/>
  <c r="K61"/>
  <c r="L20"/>
  <c r="L61"/>
  <c r="M28" i="50"/>
  <c r="G17" i="101"/>
  <c r="J21" i="50"/>
  <c r="O21"/>
  <c r="O26" s="1"/>
  <c r="O27" s="1"/>
  <c r="N21"/>
  <c r="N26" s="1"/>
  <c r="N27" s="1"/>
  <c r="N64" i="55" l="1"/>
  <c r="M17" i="101" s="1"/>
  <c r="M61" s="1"/>
  <c r="J46"/>
  <c r="L43"/>
  <c r="L87" s="1"/>
  <c r="L64"/>
  <c r="K43"/>
  <c r="K87" s="1"/>
  <c r="K64"/>
  <c r="J64" i="55"/>
  <c r="I17" i="101" s="1"/>
  <c r="N28" i="50"/>
  <c r="P21"/>
  <c r="P26" s="1"/>
  <c r="P27" s="1"/>
  <c r="O28"/>
  <c r="J26"/>
  <c r="J27" s="1"/>
  <c r="G20" i="101"/>
  <c r="G61"/>
  <c r="L46" l="1"/>
  <c r="K46"/>
  <c r="M20"/>
  <c r="M64" s="1"/>
  <c r="I20"/>
  <c r="I61"/>
  <c r="L21" i="50"/>
  <c r="P64" i="55"/>
  <c r="O17" i="101" s="1"/>
  <c r="P28" i="50"/>
  <c r="G64" i="101"/>
  <c r="G43"/>
  <c r="G87" s="1"/>
  <c r="J28" i="50"/>
  <c r="M43" i="101" l="1"/>
  <c r="M87" s="1"/>
  <c r="O61"/>
  <c r="O20"/>
  <c r="I43"/>
  <c r="I87" s="1"/>
  <c r="I64"/>
  <c r="G46"/>
  <c r="Q64" i="55"/>
  <c r="P17" i="101" s="1"/>
  <c r="R21" i="50"/>
  <c r="R26" s="1"/>
  <c r="R27" s="1"/>
  <c r="L26"/>
  <c r="L27" s="1"/>
  <c r="M46" i="101" l="1"/>
  <c r="I46"/>
  <c r="O64"/>
  <c r="O43"/>
  <c r="O87" s="1"/>
  <c r="P20"/>
  <c r="P61"/>
  <c r="S21" i="50"/>
  <c r="S26" s="1"/>
  <c r="S27" s="1"/>
  <c r="R28"/>
  <c r="L28"/>
  <c r="P43" i="101" l="1"/>
  <c r="P87" s="1"/>
  <c r="P64"/>
  <c r="O46"/>
  <c r="S64" i="55"/>
  <c r="R17" i="101" s="1"/>
  <c r="O64" i="55"/>
  <c r="N17" i="101" s="1"/>
  <c r="S28" i="50"/>
  <c r="N61" i="101" l="1"/>
  <c r="N20"/>
  <c r="R20"/>
  <c r="R61"/>
  <c r="P46"/>
  <c r="Q21" i="50"/>
  <c r="U21"/>
  <c r="U26" s="1"/>
  <c r="U27" s="1"/>
  <c r="R64" i="101" l="1"/>
  <c r="R43"/>
  <c r="R87" s="1"/>
  <c r="N64"/>
  <c r="N43"/>
  <c r="N87" s="1"/>
  <c r="U28" i="50"/>
  <c r="Q26"/>
  <c r="Q27" s="1"/>
  <c r="R64" i="55"/>
  <c r="Q17" i="101" s="1"/>
  <c r="D64" i="55"/>
  <c r="R46" i="101" l="1"/>
  <c r="Q20"/>
  <c r="Q61"/>
  <c r="N46"/>
  <c r="Q28" i="50"/>
  <c r="V64" i="55"/>
  <c r="U17" i="101" s="1"/>
  <c r="T21" i="50"/>
  <c r="U64" i="55"/>
  <c r="T17" i="101" s="1"/>
  <c r="T20" l="1"/>
  <c r="T61"/>
  <c r="U61"/>
  <c r="U20"/>
  <c r="Q43"/>
  <c r="Q87" s="1"/>
  <c r="Q64"/>
  <c r="X21" i="50"/>
  <c r="X26" s="1"/>
  <c r="X27" s="1"/>
  <c r="W21"/>
  <c r="W26" s="1"/>
  <c r="W27" s="1"/>
  <c r="T26"/>
  <c r="T27" s="1"/>
  <c r="D21"/>
  <c r="D26" s="1"/>
  <c r="D27" s="1"/>
  <c r="D28" s="1"/>
  <c r="U43" i="101" l="1"/>
  <c r="U87" s="1"/>
  <c r="U64"/>
  <c r="Q46"/>
  <c r="T43"/>
  <c r="T87" s="1"/>
  <c r="T64"/>
  <c r="X28" i="50"/>
  <c r="T28"/>
  <c r="X64" i="55"/>
  <c r="W17" i="101" s="1"/>
  <c r="W28" i="50"/>
  <c r="U46" i="101" l="1"/>
  <c r="W61"/>
  <c r="W20"/>
  <c r="T46"/>
  <c r="C46"/>
  <c r="Y64" i="55"/>
  <c r="X17" i="101" s="1"/>
  <c r="Z21" i="50"/>
  <c r="Z26" s="1"/>
  <c r="Z27" s="1"/>
  <c r="T64" i="55"/>
  <c r="S17" i="101" s="1"/>
  <c r="S61" l="1"/>
  <c r="S20"/>
  <c r="X20"/>
  <c r="X61"/>
  <c r="W64"/>
  <c r="W43"/>
  <c r="W87" s="1"/>
  <c r="Z28" i="50"/>
  <c r="V21"/>
  <c r="AA21"/>
  <c r="AA26" s="1"/>
  <c r="AA27" s="1"/>
  <c r="Z64" i="55"/>
  <c r="Y17" i="101" s="1"/>
  <c r="W46" l="1"/>
  <c r="X43"/>
  <c r="X87" s="1"/>
  <c r="X64"/>
  <c r="Y20"/>
  <c r="Y61"/>
  <c r="S43"/>
  <c r="S87" s="1"/>
  <c r="S64"/>
  <c r="AB21" i="50"/>
  <c r="AB26" s="1"/>
  <c r="AB27" s="1"/>
  <c r="AA28"/>
  <c r="V26"/>
  <c r="V27" s="1"/>
  <c r="D23" i="78"/>
  <c r="Y43" i="101" l="1"/>
  <c r="Y87" s="1"/>
  <c r="Y64"/>
  <c r="S46"/>
  <c r="X46"/>
  <c r="AB28" i="50"/>
  <c r="AB64" i="55"/>
  <c r="AA17" i="101" s="1"/>
  <c r="W64" i="55"/>
  <c r="V17" i="101" s="1"/>
  <c r="V28" i="50"/>
  <c r="Y46" i="101" l="1"/>
  <c r="AA20"/>
  <c r="AA61"/>
  <c r="V61"/>
  <c r="V20"/>
  <c r="AD21" i="50"/>
  <c r="AD26" s="1"/>
  <c r="AD27" s="1"/>
  <c r="Y21"/>
  <c r="V64" i="101" l="1"/>
  <c r="V43"/>
  <c r="V87" s="1"/>
  <c r="AA43"/>
  <c r="AA87" s="1"/>
  <c r="AA64"/>
  <c r="AD28" i="50"/>
  <c r="AD64" i="55"/>
  <c r="AC17" i="101" s="1"/>
  <c r="Y26" i="50"/>
  <c r="Y27" s="1"/>
  <c r="V46" i="101" l="1"/>
  <c r="AA46"/>
  <c r="AC20"/>
  <c r="AC61"/>
  <c r="AA64" i="55"/>
  <c r="Z17" i="101" s="1"/>
  <c r="AF21" i="50"/>
  <c r="AF26" s="1"/>
  <c r="AF27" s="1"/>
  <c r="Y28"/>
  <c r="Z61" i="101" l="1"/>
  <c r="Z20"/>
  <c r="AC64"/>
  <c r="AC43"/>
  <c r="AC87" s="1"/>
  <c r="AC21" i="50"/>
  <c r="AF28"/>
  <c r="AC46" i="101" l="1"/>
  <c r="Z43"/>
  <c r="Z87" s="1"/>
  <c r="Z64"/>
  <c r="AG64" i="55"/>
  <c r="AF17" i="101" s="1"/>
  <c r="AC26" i="50"/>
  <c r="AC27" s="1"/>
  <c r="G21"/>
  <c r="G26" s="1"/>
  <c r="G27" s="1"/>
  <c r="AF64" i="55"/>
  <c r="AE17" i="101" s="1"/>
  <c r="Z46" l="1"/>
  <c r="AF61"/>
  <c r="AF20"/>
  <c r="AE61"/>
  <c r="AE20"/>
  <c r="AI21" i="50"/>
  <c r="AI26" s="1"/>
  <c r="AI27" s="1"/>
  <c r="AC28"/>
  <c r="AC64" i="55"/>
  <c r="AB17" i="101" s="1"/>
  <c r="AH21" i="50"/>
  <c r="AH64" i="55"/>
  <c r="AG17" i="101" s="1"/>
  <c r="AG61" l="1"/>
  <c r="AG20"/>
  <c r="AF64"/>
  <c r="AF43"/>
  <c r="AF87" s="1"/>
  <c r="AE64"/>
  <c r="AE43"/>
  <c r="AE87" s="1"/>
  <c r="AB20"/>
  <c r="AB61"/>
  <c r="C17"/>
  <c r="AH26" i="50"/>
  <c r="AH27" s="1"/>
  <c r="AE21"/>
  <c r="AI28"/>
  <c r="AJ21"/>
  <c r="AJ26" s="1"/>
  <c r="AJ27" s="1"/>
  <c r="AE46" i="101" l="1"/>
  <c r="AG64"/>
  <c r="AG43"/>
  <c r="AG87" s="1"/>
  <c r="AF46"/>
  <c r="AB64"/>
  <c r="AB43"/>
  <c r="AB87" s="1"/>
  <c r="C20"/>
  <c r="C61"/>
  <c r="AE64" i="55"/>
  <c r="AD17" i="101" s="1"/>
  <c r="E64" i="55"/>
  <c r="AE26" i="50"/>
  <c r="AE27" s="1"/>
  <c r="J8" i="157"/>
  <c r="N8" s="1"/>
  <c r="AH28" i="50"/>
  <c r="AJ28"/>
  <c r="K8" i="157"/>
  <c r="O8" s="1"/>
  <c r="AB46" i="101" l="1"/>
  <c r="AG46"/>
  <c r="D36" i="78"/>
  <c r="AD20" i="101"/>
  <c r="AD61"/>
  <c r="C43"/>
  <c r="C87" s="1"/>
  <c r="C64"/>
  <c r="AG21" i="50"/>
  <c r="I12" i="78"/>
  <c r="E36"/>
  <c r="Q23" i="157"/>
  <c r="Q11"/>
  <c r="Q24"/>
  <c r="Q17"/>
  <c r="Q20"/>
  <c r="Q22"/>
  <c r="Q18"/>
  <c r="Q19"/>
  <c r="Q26"/>
  <c r="Q21"/>
  <c r="Q16"/>
  <c r="Q13"/>
  <c r="Q8"/>
  <c r="Q15"/>
  <c r="Q14"/>
  <c r="Q25"/>
  <c r="Q12"/>
  <c r="D35" i="78"/>
  <c r="D43"/>
  <c r="D45"/>
  <c r="D44"/>
  <c r="D42"/>
  <c r="D38"/>
  <c r="D46"/>
  <c r="D41"/>
  <c r="D48"/>
  <c r="D39"/>
  <c r="D47"/>
  <c r="D37"/>
  <c r="D40"/>
  <c r="K12"/>
  <c r="E13"/>
  <c r="D34"/>
  <c r="I7"/>
  <c r="E43"/>
  <c r="E39"/>
  <c r="E46"/>
  <c r="E42"/>
  <c r="E8"/>
  <c r="E48"/>
  <c r="E44"/>
  <c r="E45"/>
  <c r="E38"/>
  <c r="E41"/>
  <c r="E35"/>
  <c r="I11"/>
  <c r="K11"/>
  <c r="AE28" i="50"/>
  <c r="R13" i="157"/>
  <c r="R11"/>
  <c r="R17"/>
  <c r="R21"/>
  <c r="R18"/>
  <c r="R15"/>
  <c r="R16"/>
  <c r="R14"/>
  <c r="R26"/>
  <c r="R23"/>
  <c r="R19"/>
  <c r="R12"/>
  <c r="R22"/>
  <c r="R8"/>
  <c r="R20"/>
  <c r="R25"/>
  <c r="R24"/>
  <c r="E37" i="78"/>
  <c r="I16"/>
  <c r="F34" l="1"/>
  <c r="L8" i="157"/>
  <c r="P8" s="1"/>
  <c r="AD64" i="101"/>
  <c r="AD43"/>
  <c r="AD87" s="1"/>
  <c r="D13" i="78"/>
  <c r="D31" s="1"/>
  <c r="D17" i="101"/>
  <c r="AG26" i="50"/>
  <c r="AG27" s="1"/>
  <c r="E21"/>
  <c r="E34" i="78"/>
  <c r="I10"/>
  <c r="I13" s="1"/>
  <c r="I19"/>
  <c r="E14"/>
  <c r="K10"/>
  <c r="F13" l="1"/>
  <c r="F14" s="1"/>
  <c r="AD46" i="101"/>
  <c r="F46" i="78"/>
  <c r="F36"/>
  <c r="K7"/>
  <c r="K13" s="1"/>
  <c r="F8"/>
  <c r="F44"/>
  <c r="F39"/>
  <c r="F41"/>
  <c r="F42"/>
  <c r="F43"/>
  <c r="F35"/>
  <c r="F38"/>
  <c r="F48"/>
  <c r="F45"/>
  <c r="S20" i="157"/>
  <c r="S22"/>
  <c r="S16"/>
  <c r="S18"/>
  <c r="S8"/>
  <c r="S17"/>
  <c r="S12"/>
  <c r="S26"/>
  <c r="S24"/>
  <c r="S19"/>
  <c r="S23"/>
  <c r="S21"/>
  <c r="S15"/>
  <c r="S13"/>
  <c r="S11"/>
  <c r="S25"/>
  <c r="S14"/>
  <c r="D14" i="78"/>
  <c r="AI64" i="55"/>
  <c r="AH17" i="101" s="1"/>
  <c r="F64" i="55"/>
  <c r="I29" i="78"/>
  <c r="E47"/>
  <c r="D20" i="101"/>
  <c r="D61"/>
  <c r="K29" i="78"/>
  <c r="F47"/>
  <c r="E26" i="50"/>
  <c r="E27" s="1"/>
  <c r="AG28"/>
  <c r="D32" i="78"/>
  <c r="D50"/>
  <c r="AH61" i="101" l="1"/>
  <c r="AH20"/>
  <c r="D43"/>
  <c r="D87" s="1"/>
  <c r="D64"/>
  <c r="E28" i="50"/>
  <c r="K16" i="78"/>
  <c r="F37"/>
  <c r="AK21" i="50"/>
  <c r="AH64" i="101" l="1"/>
  <c r="AH43"/>
  <c r="AH87" s="1"/>
  <c r="AK26" i="50"/>
  <c r="AK27" s="1"/>
  <c r="H21"/>
  <c r="H26" s="1"/>
  <c r="H27" s="1"/>
  <c r="F21"/>
  <c r="E17" i="101"/>
  <c r="K19" i="78"/>
  <c r="AH46" i="101" l="1"/>
  <c r="I20" i="78"/>
  <c r="E40"/>
  <c r="E23"/>
  <c r="E20" i="101"/>
  <c r="E61"/>
  <c r="AK28" i="50"/>
  <c r="F26"/>
  <c r="F27" s="1"/>
  <c r="E64" i="101" l="1"/>
  <c r="E43"/>
  <c r="E87" s="1"/>
  <c r="F28" i="50"/>
  <c r="I23" i="78"/>
  <c r="I31" s="1"/>
  <c r="E31"/>
  <c r="E32" l="1"/>
  <c r="E50"/>
  <c r="D46" i="101"/>
  <c r="E46"/>
  <c r="B29" i="115" l="1"/>
  <c r="F40" i="78"/>
  <c r="K20"/>
  <c r="F23"/>
  <c r="K23" l="1"/>
  <c r="K31" s="1"/>
  <c r="F31"/>
  <c r="F32" l="1"/>
  <c r="F50"/>
  <c r="B27" i="115" s="1"/>
</calcChain>
</file>

<file path=xl/sharedStrings.xml><?xml version="1.0" encoding="utf-8"?>
<sst xmlns="http://schemas.openxmlformats.org/spreadsheetml/2006/main" count="579" uniqueCount="232">
  <si>
    <t>Advertising</t>
  </si>
  <si>
    <t>Other</t>
  </si>
  <si>
    <t>Check</t>
  </si>
  <si>
    <t>Adjusted EBITDA</t>
  </si>
  <si>
    <t>Reported EBITDA</t>
  </si>
  <si>
    <t>CONFIDENTIAL</t>
  </si>
  <si>
    <t>%</t>
  </si>
  <si>
    <t>In $000's</t>
  </si>
  <si>
    <t>Reported revenue</t>
  </si>
  <si>
    <t>Ref</t>
  </si>
  <si>
    <t>EBITDA adjustment</t>
  </si>
  <si>
    <t>Gross profit</t>
  </si>
  <si>
    <t>Revenue, net</t>
  </si>
  <si>
    <t>Mapping from TB</t>
  </si>
  <si>
    <t xml:space="preserve">Source: Internal financials and Bank statements provided by Management </t>
  </si>
  <si>
    <t>Difference as % of total revenue</t>
  </si>
  <si>
    <t>Difference</t>
  </si>
  <si>
    <t>Proof of Revenues</t>
  </si>
  <si>
    <t>Source check:</t>
  </si>
  <si>
    <t>EBITDA margin</t>
  </si>
  <si>
    <t>Opex as % of revenue</t>
  </si>
  <si>
    <t>n/a</t>
  </si>
  <si>
    <t>Revenue growth</t>
  </si>
  <si>
    <t>EBITDA, as reported</t>
  </si>
  <si>
    <t>Income tax</t>
  </si>
  <si>
    <t>Interest expense</t>
  </si>
  <si>
    <t>Depreciation and amortization</t>
  </si>
  <si>
    <t>Net income</t>
  </si>
  <si>
    <t>Operating expense</t>
  </si>
  <si>
    <t>Cost of goods sold</t>
  </si>
  <si>
    <t>Net revenue</t>
  </si>
  <si>
    <t>Historical Operating Results</t>
  </si>
  <si>
    <t>Source: Internal financials provided by Management</t>
  </si>
  <si>
    <t xml:space="preserve">Source: Internal financials provided by Management </t>
  </si>
  <si>
    <t>Check:</t>
  </si>
  <si>
    <t>Net income per source TB</t>
  </si>
  <si>
    <t>Income taxes</t>
  </si>
  <si>
    <t>Net EBITDA items</t>
  </si>
  <si>
    <t>Interest expense, net</t>
  </si>
  <si>
    <t>Other income/(expense)</t>
  </si>
  <si>
    <t>Expenses</t>
  </si>
  <si>
    <t>Cost of Goods Sold</t>
  </si>
  <si>
    <t>$</t>
  </si>
  <si>
    <t>Mapping for Recast</t>
  </si>
  <si>
    <t>Gross margin</t>
  </si>
  <si>
    <t>Revenue</t>
  </si>
  <si>
    <t>Management adjustments</t>
  </si>
  <si>
    <t>Total management adjustments</t>
  </si>
  <si>
    <t>Management adjusted EBITDA</t>
  </si>
  <si>
    <t>Insurance</t>
  </si>
  <si>
    <t>Account #1</t>
  </si>
  <si>
    <t>Account #2</t>
  </si>
  <si>
    <t>OPEN</t>
  </si>
  <si>
    <t>Amount</t>
  </si>
  <si>
    <t>Description</t>
  </si>
  <si>
    <t>Adjustment</t>
  </si>
  <si>
    <t>Tax Return</t>
  </si>
  <si>
    <t>QE Summary</t>
  </si>
  <si>
    <t xml:space="preserve"> </t>
  </si>
  <si>
    <t>YoY Change</t>
  </si>
  <si>
    <t>Gross Profit</t>
  </si>
  <si>
    <t>Gross Margin</t>
  </si>
  <si>
    <t>Adjusted EBITDA %</t>
  </si>
  <si>
    <t>Key Issue(s)</t>
  </si>
  <si>
    <t>Source: Internal financials provided by Management &amp; STOC analysis</t>
  </si>
  <si>
    <t>Quality of Earnings Table</t>
  </si>
  <si>
    <r>
      <rPr>
        <b/>
        <sz val="8"/>
        <rFont val="Arial"/>
        <family val="2"/>
      </rPr>
      <t>Overview:</t>
    </r>
    <r>
      <rPr>
        <sz val="8"/>
        <rFont val="Arial"/>
        <family val="2"/>
      </rPr>
      <t xml:space="preserve"> Reported EBITDA was calculated as net income plus interest expense, amortization, and depreciation expense. Management adjustments consist of the amounts presented in the LOI. Due diligence adjustments consist of various items considered to be one-time, non-recurring, inconsistent with GAAP, out-of-period, go-forward, or otherwise non-operating in nature. Pro forma adjustments relate to anticipated cost structure changes and views of certain financial conditions, as if they were present throughout the entire Historical Period. We analyzed the Company's financial records and held discussions with Management to understand the circumstances of each adjustment. Unless specifically noted, we corroborated these adjustments with detailed trial balance information and other supporting documentation. </t>
    </r>
  </si>
  <si>
    <t>Summarized Reported P&amp;L</t>
  </si>
  <si>
    <t>Summary P&amp;L Format: Reported (As a % of Revenue)</t>
  </si>
  <si>
    <t>Summarized Mgmt. Adjusted P&amp;L</t>
  </si>
  <si>
    <t>Summary P&amp;L Format: Due Diligence (As a % of Revenue)</t>
  </si>
  <si>
    <t>Summarized Pro Forma P&amp;L</t>
  </si>
  <si>
    <t>Doctor wages</t>
  </si>
  <si>
    <t>Dental supplies</t>
  </si>
  <si>
    <t>Lab fees</t>
  </si>
  <si>
    <t>Gross wages</t>
  </si>
  <si>
    <t>EBITDA adjustment [A] + [B]</t>
  </si>
  <si>
    <t>Total go-forward [B]</t>
  </si>
  <si>
    <t>Source</t>
  </si>
  <si>
    <t>LOI Mapping</t>
  </si>
  <si>
    <t>Project Name</t>
  </si>
  <si>
    <t>Location of Practice (State)</t>
  </si>
  <si>
    <t>Location of Practice (City)</t>
  </si>
  <si>
    <t>States</t>
  </si>
  <si>
    <t>Stub Period</t>
  </si>
  <si>
    <t>Calendar Year / Fiscal Year</t>
  </si>
  <si>
    <t>External Financial Statement</t>
  </si>
  <si>
    <t>Calendar</t>
  </si>
  <si>
    <t>Financial Reporting Period 2</t>
  </si>
  <si>
    <t>Financial Reporting Period 1</t>
  </si>
  <si>
    <t>Financial / reporting period:</t>
  </si>
  <si>
    <t>Project:</t>
  </si>
  <si>
    <t>Tab delineation</t>
  </si>
  <si>
    <t>Tab is completed and ready to be sent to the Client</t>
  </si>
  <si>
    <t>Tab has been completed by junior staff and is ready for review</t>
  </si>
  <si>
    <t>Tab has been started, but awaiting information from Client</t>
  </si>
  <si>
    <t>Tab has not been started</t>
  </si>
  <si>
    <t>Input Tab</t>
  </si>
  <si>
    <t>% margin</t>
  </si>
  <si>
    <t>Recast PL</t>
  </si>
  <si>
    <t>Tab checks:</t>
  </si>
  <si>
    <t>% growth</t>
  </si>
  <si>
    <t>% revenue</t>
  </si>
  <si>
    <t>Operating expenses</t>
  </si>
  <si>
    <t>Other (income) expense</t>
  </si>
  <si>
    <t>FY21</t>
  </si>
  <si>
    <t>Other Recast</t>
  </si>
  <si>
    <t>Lead Profit and Loss</t>
  </si>
  <si>
    <t>Monthly Profit and Loss</t>
  </si>
  <si>
    <t>Recast Reported</t>
  </si>
  <si>
    <t>Recast Mgmt. Adjusted</t>
  </si>
  <si>
    <t>Source file</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</si>
  <si>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</si>
  <si>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</si>
  <si>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</si>
  <si>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</si>
  <si>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</si>
  <si>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</si>
  <si>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</si>
  <si>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</si>
  <si>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</si>
  <si>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</si>
  <si>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</si>
  <si>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</si>
  <si>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</si>
  <si>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</si>
  <si>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</si>
  <si>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</si>
  <si>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</si>
  <si>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</si>
  <si>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</si>
  <si>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</si>
  <si>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</si>
  <si>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</si>
  <si>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</si>
  <si>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</si>
  <si>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</si>
  <si>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</si>
  <si>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</si>
  <si>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</si>
  <si>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</si>
  <si>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</si>
  <si>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</si>
  <si>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</si>
  <si>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</si>
  <si>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</si>
  <si>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</si>
  <si>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</si>
  <si>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</si>
  <si>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</si>
  <si>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</si>
  <si>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</si>
  <si>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</si>
  <si>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</si>
  <si>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</si>
  <si>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</si>
  <si>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</si>
  <si>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</si>
  <si>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</si>
  <si>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</si>
  <si>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</si>
  <si>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</si>
  <si>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Quality of Earnings Analysis [DRAFT]</t>
  </si>
  <si>
    <t>Account</t>
  </si>
  <si>
    <t>Mapping1</t>
  </si>
  <si>
    <t>Account No.</t>
  </si>
  <si>
    <t>Difference [A] - [B]</t>
  </si>
  <si>
    <r>
      <t>(+/-) Adjustments to cash</t>
    </r>
    <r>
      <rPr>
        <i/>
        <sz val="8"/>
        <color rgb="FF262261"/>
        <rFont val="Arial"/>
        <family val="2"/>
      </rPr>
      <t>:</t>
    </r>
  </si>
  <si>
    <t xml:space="preserve">Dental supplies </t>
  </si>
  <si>
    <t>Ortho supplies</t>
  </si>
  <si>
    <t>Gross wages, total</t>
  </si>
  <si>
    <t>Payroll taxes</t>
  </si>
  <si>
    <t>Salary, payroll taxes, and benefits, total</t>
  </si>
  <si>
    <t>FY22</t>
  </si>
  <si>
    <t>Clinic wages</t>
  </si>
  <si>
    <t>Admin wages</t>
  </si>
  <si>
    <t>Employee 401(k)</t>
  </si>
  <si>
    <t>Rent - real property</t>
  </si>
  <si>
    <t>Repairs and maintenance</t>
  </si>
  <si>
    <t>Utilities expense</t>
  </si>
  <si>
    <t>Rent and building expenses, total</t>
  </si>
  <si>
    <t>Property tax expense</t>
  </si>
  <si>
    <t>Starting balance:</t>
  </si>
  <si>
    <t>Per Bank statement</t>
  </si>
  <si>
    <t>Per GL bank balance</t>
  </si>
  <si>
    <t>Ending balance:</t>
  </si>
  <si>
    <t>EBITDA adjustment [A] - [B]</t>
  </si>
  <si>
    <t>Bank fees</t>
  </si>
  <si>
    <t>General insurance</t>
  </si>
  <si>
    <t>General Insurance</t>
  </si>
  <si>
    <t>Office expenses</t>
  </si>
  <si>
    <t>Occupancy expense</t>
  </si>
  <si>
    <t>Staff</t>
  </si>
  <si>
    <t>Staff expense</t>
  </si>
  <si>
    <t>Other expenses</t>
  </si>
  <si>
    <t>Practice-level EBITDA</t>
  </si>
  <si>
    <t xml:space="preserve">(-) refunds </t>
  </si>
  <si>
    <t>FY22 to FY23</t>
  </si>
  <si>
    <t>FY23</t>
  </si>
  <si>
    <r>
      <rPr>
        <b/>
        <sz val="8"/>
        <rFont val="Symbol"/>
        <family val="1"/>
        <charset val="2"/>
      </rPr>
      <t xml:space="preserve">D </t>
    </r>
    <r>
      <rPr>
        <b/>
        <sz val="8"/>
        <rFont val="Arial"/>
        <family val="2"/>
      </rPr>
      <t>FY22 to FY23</t>
    </r>
  </si>
  <si>
    <r>
      <rPr>
        <b/>
        <sz val="8"/>
        <rFont val="Symbol"/>
        <family val="1"/>
        <charset val="2"/>
      </rPr>
      <t xml:space="preserve">D </t>
    </r>
    <r>
      <rPr>
        <b/>
        <sz val="8"/>
        <rFont val="Arial"/>
        <family val="2"/>
      </rPr>
      <t>FY23 to TTM24</t>
    </r>
  </si>
  <si>
    <t>FY23 to TTM24</t>
  </si>
  <si>
    <t>Reported</t>
  </si>
  <si>
    <t>QE Adjustments</t>
  </si>
  <si>
    <t>Recast Adjusted</t>
  </si>
  <si>
    <t>As a % of revenue, net</t>
  </si>
  <si>
    <t>Trial balance collections:</t>
  </si>
  <si>
    <t>Cash receipts per Trial balance [A]</t>
  </si>
  <si>
    <t xml:space="preserve">Cash receipts per bank statement </t>
  </si>
  <si>
    <t>Adjusted Cash receipts  [B]</t>
  </si>
  <si>
    <t xml:space="preserve">Meals and Entertainment </t>
  </si>
  <si>
    <t>Bank Service Fees</t>
  </si>
  <si>
    <t>Computer and Software Expense</t>
  </si>
  <si>
    <t>Continuing Education</t>
  </si>
  <si>
    <t>Donations and Contributions</t>
  </si>
  <si>
    <t>Dues and Subscriptions</t>
  </si>
  <si>
    <t>Licenses and Permits</t>
  </si>
  <si>
    <t>Meals and Entertainment</t>
  </si>
  <si>
    <t>Merchant Fees</t>
  </si>
  <si>
    <t>Office Expense</t>
  </si>
  <si>
    <t>Outside Services</t>
  </si>
  <si>
    <t>Postage and Shipping</t>
  </si>
  <si>
    <t>Professional Fees</t>
  </si>
  <si>
    <t>Telephone and Internet Expense</t>
  </si>
  <si>
    <t>Travel Expense</t>
  </si>
  <si>
    <t>Uniforms Expense</t>
  </si>
  <si>
    <t xml:space="preserve">PnL </t>
  </si>
  <si>
    <t>FY24</t>
  </si>
  <si>
    <t>Bank statement cash receipts:</t>
  </si>
  <si>
    <t>YTD</t>
  </si>
  <si>
    <t>[Input adjustment]</t>
  </si>
  <si>
    <t>Recast PL Account Mapping</t>
  </si>
</sst>
</file>

<file path=xl/styles.xml><?xml version="1.0" encoding="utf-8"?>
<styleSheet xmlns="http://schemas.openxmlformats.org/spreadsheetml/2006/main">
  <numFmts count="25">
    <numFmt numFmtId="41" formatCode="_(* #,##0_);_(* \(#,##0\);_(* &quot;-&quot;_);_(@_)"/>
    <numFmt numFmtId="44" formatCode="_(&quot;$&quot;* #,##0.00_);_(&quot;$&quot;* \(#,##0.00\);_(&quot;$&quot;* &quot;-&quot;??_);_(@_)"/>
    <numFmt numFmtId="43" formatCode="_(* #,##0.00_);_(* \(#,##0.00\);_(* &quot;-&quot;??_);_(@_)"/>
    <numFmt numFmtId="164" formatCode="_(* #,##0_);_(* \(#,##0\);_(* &quot;-&quot;???_);_(@_)"/>
    <numFmt numFmtId="165" formatCode="_-#,##0_-;\(#,##0\);_-\ \ &quot;-&quot;_-;_-@_-"/>
    <numFmt numFmtId="166" formatCode="[$-409]mmm\-yy;@"/>
    <numFmt numFmtId="167" formatCode="0.0%"/>
    <numFmt numFmtId="168" formatCode="_(* #,##0_);_(* \(#,##0\);_(* &quot;-&quot;??_);_(@_)"/>
    <numFmt numFmtId="169" formatCode="_(* #,##0.0_);_(* \(#,##0.0\);_(* &quot;-&quot;??_);_(@_)"/>
    <numFmt numFmtId="170" formatCode="_(* #,##0.0_);_(* \(#,##0.0\);_(* &quot;-&quot;?_);_(@_)"/>
    <numFmt numFmtId="171" formatCode="[$-409]mmm\-yy_(;@_("/>
    <numFmt numFmtId="172" formatCode="#,##0_);\(#,##0\);\-_);@"/>
    <numFmt numFmtId="173" formatCode="_(* #,##0_);_(* \(#,##0\);_(* &quot;-&quot;?_);_(@_)"/>
    <numFmt numFmtId="174" formatCode="#,##0%_);\(#,##0\)%;\-_);@"/>
    <numFmt numFmtId="175" formatCode="_([$-409]mmm\-yy_);_(@_)"/>
    <numFmt numFmtId="176" formatCode="_(* #,##0.000_);_(* \(#,##0.000\);_(* &quot;-&quot;_);_(@_)"/>
    <numFmt numFmtId="177" formatCode="_-#,###,_-;\(#,###,\);_-\ \ &quot;-&quot;_-;_-@_-"/>
    <numFmt numFmtId="178" formatCode="_(\ yyyy_);_(* \(yyyy\);_(* &quot;-&quot;???_);_(@_)"/>
    <numFmt numFmtId="179" formatCode="_([$-409]mmm/yy_);_(@_)"/>
    <numFmt numFmtId="180" formatCode="_(* &quot;$&quot;#,##0_);_(* \(&quot;$&quot;#,##0\);_(* &quot;-&quot;???_);_(@_)"/>
    <numFmt numFmtId="181" formatCode="[$-409]mmmm\ d\,\ yyyy;@"/>
    <numFmt numFmtId="182" formatCode="&quot;TTM&quot;yy"/>
    <numFmt numFmtId="183" formatCode="&quot;FY&quot;yy"/>
    <numFmt numFmtId="184" formatCode="[Red]\ &quot;Error&quot;;[Red]\ \ &quot;Error&quot;;&quot;Ok!&quot;;[Red]\ &quot;Error&quot;"/>
    <numFmt numFmtId="185" formatCode="&quot;L9m&quot;yy"/>
  </numFmts>
  <fonts count="118">
    <font>
      <sz val="12"/>
      <color indexed="8"/>
      <name val="Calibri"/>
    </font>
    <font>
      <sz val="8"/>
      <color theme="1"/>
      <name val="Arial"/>
      <family val="2"/>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0"/>
      <color theme="1"/>
      <name val="Arial Narrow"/>
      <family val="2"/>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1"/>
      <color theme="1"/>
      <name val="Helvetica Neue"/>
      <family val="2"/>
      <scheme val="minor"/>
    </font>
    <font>
      <sz val="10"/>
      <color theme="1"/>
      <name val="Arial Narrow"/>
      <family val="2"/>
    </font>
    <font>
      <sz val="10"/>
      <color theme="1"/>
      <name val="Arial Narrow"/>
      <family val="2"/>
    </font>
    <font>
      <sz val="11"/>
      <color indexed="8"/>
      <name val="Calibri"/>
      <family val="2"/>
    </font>
    <font>
      <sz val="11"/>
      <color indexed="8"/>
      <name val="Calibri"/>
      <family val="2"/>
    </font>
    <font>
      <sz val="10"/>
      <color theme="1"/>
      <name val="Arial"/>
      <family val="2"/>
    </font>
    <font>
      <i/>
      <sz val="10"/>
      <color theme="1"/>
      <name val="Arial Narrow"/>
      <family val="2"/>
    </font>
    <font>
      <b/>
      <sz val="20"/>
      <color theme="1"/>
      <name val="Arial Narrow"/>
      <family val="2"/>
    </font>
    <font>
      <b/>
      <sz val="20"/>
      <color theme="0" tint="-0.499984740745262"/>
      <name val="Arial Narrow"/>
      <family val="2"/>
    </font>
    <font>
      <b/>
      <sz val="14"/>
      <color theme="1"/>
      <name val="Arial Narrow"/>
      <family val="2"/>
    </font>
    <font>
      <sz val="12"/>
      <color indexed="8"/>
      <name val="Calibri"/>
      <family val="2"/>
    </font>
    <font>
      <b/>
      <i/>
      <sz val="10"/>
      <color theme="1"/>
      <name val="Arial Narrow"/>
      <family val="2"/>
    </font>
    <font>
      <sz val="8"/>
      <color theme="1"/>
      <name val="Arial Narrow"/>
      <family val="2"/>
    </font>
    <font>
      <b/>
      <sz val="8"/>
      <color theme="3"/>
      <name val="Arial"/>
      <family val="2"/>
    </font>
    <font>
      <b/>
      <sz val="8"/>
      <color theme="1"/>
      <name val="Arial"/>
      <family val="2"/>
    </font>
    <font>
      <sz val="8"/>
      <color theme="1"/>
      <name val="Arial"/>
      <family val="2"/>
    </font>
    <font>
      <sz val="8"/>
      <color rgb="FF646464"/>
      <name val="Arial"/>
      <family val="2"/>
    </font>
    <font>
      <b/>
      <sz val="8"/>
      <color rgb="FF464646"/>
      <name val="Arial"/>
      <family val="2"/>
    </font>
    <font>
      <i/>
      <sz val="8"/>
      <color rgb="FF646464"/>
      <name val="Arial"/>
      <family val="2"/>
    </font>
    <font>
      <sz val="11"/>
      <color rgb="FF000000"/>
      <name val="Helvetica Neue"/>
      <family val="2"/>
      <scheme val="minor"/>
    </font>
    <font>
      <sz val="8"/>
      <name val="Arial"/>
      <family val="2"/>
    </font>
    <font>
      <b/>
      <sz val="8"/>
      <name val="Arial"/>
      <family val="2"/>
    </font>
    <font>
      <b/>
      <sz val="8"/>
      <color rgb="FFFFFFFF"/>
      <name val="Arial"/>
      <family val="2"/>
    </font>
    <font>
      <i/>
      <sz val="8"/>
      <color theme="3"/>
      <name val="Arial"/>
      <family val="2"/>
    </font>
    <font>
      <sz val="10"/>
      <name val="Arial"/>
      <family val="2"/>
    </font>
    <font>
      <i/>
      <sz val="8"/>
      <color theme="1"/>
      <name val="Arial"/>
      <family val="2"/>
    </font>
    <font>
      <b/>
      <sz val="8"/>
      <color rgb="FF646464"/>
      <name val="Arial"/>
      <family val="2"/>
    </font>
    <font>
      <sz val="8"/>
      <color rgb="FF464646"/>
      <name val="Arial"/>
      <family val="2"/>
    </font>
    <font>
      <sz val="7"/>
      <color theme="1"/>
      <name val="Verdana"/>
      <family val="2"/>
    </font>
    <font>
      <u/>
      <sz val="11"/>
      <color theme="10"/>
      <name val="Helvetica Neue"/>
      <family val="2"/>
      <scheme val="minor"/>
    </font>
    <font>
      <b/>
      <sz val="9"/>
      <color theme="3"/>
      <name val="Verdana"/>
      <family val="2"/>
    </font>
    <font>
      <sz val="8"/>
      <color theme="3"/>
      <name val="Arial"/>
      <family val="2"/>
    </font>
    <font>
      <b/>
      <i/>
      <sz val="8"/>
      <color theme="3"/>
      <name val="Arial"/>
      <family val="2"/>
    </font>
    <font>
      <sz val="8"/>
      <color theme="3"/>
      <name val="Arial Narrow"/>
      <family val="2"/>
    </font>
    <font>
      <sz val="8"/>
      <color rgb="FF646464"/>
      <name val="Arial Narrow"/>
      <family val="2"/>
    </font>
    <font>
      <sz val="10"/>
      <color theme="3"/>
      <name val="Arial Narrow"/>
      <family val="2"/>
    </font>
    <font>
      <sz val="9"/>
      <color theme="3"/>
      <name val="Arial"/>
      <family val="2"/>
    </font>
    <font>
      <sz val="9"/>
      <name val="Arial"/>
      <family val="2"/>
    </font>
    <font>
      <i/>
      <sz val="9"/>
      <color theme="3"/>
      <name val="Arial"/>
      <family val="2"/>
    </font>
    <font>
      <sz val="9"/>
      <color rgb="FF646464"/>
      <name val="Arial"/>
      <family val="2"/>
    </font>
    <font>
      <i/>
      <sz val="9"/>
      <color rgb="FF646464"/>
      <name val="Arial"/>
      <family val="2"/>
    </font>
    <font>
      <sz val="10"/>
      <color rgb="FF464646"/>
      <name val="Arial Narrow"/>
      <family val="2"/>
    </font>
    <font>
      <sz val="10"/>
      <color theme="3"/>
      <name val="Arial"/>
      <family val="2"/>
    </font>
    <font>
      <i/>
      <sz val="10"/>
      <color theme="3"/>
      <name val="Arial"/>
      <family val="2"/>
    </font>
    <font>
      <sz val="10"/>
      <color rgb="FF646464"/>
      <name val="Arial"/>
      <family val="2"/>
    </font>
    <font>
      <i/>
      <sz val="8"/>
      <name val="Arial"/>
      <family val="2"/>
    </font>
    <font>
      <sz val="10"/>
      <color indexed="8"/>
      <name val="Arial Narrow"/>
      <family val="2"/>
    </font>
    <font>
      <b/>
      <sz val="24"/>
      <color rgb="FF1B75BC"/>
      <name val="Arial Narrow"/>
      <family val="2"/>
    </font>
    <font>
      <sz val="10"/>
      <color theme="1"/>
      <name val="Calibri"/>
      <family val="2"/>
    </font>
    <font>
      <sz val="8"/>
      <color theme="0"/>
      <name val="Arial"/>
      <family val="2"/>
    </font>
    <font>
      <b/>
      <sz val="8"/>
      <color theme="0"/>
      <name val="Arial"/>
      <family val="2"/>
    </font>
    <font>
      <sz val="8"/>
      <color rgb="FFFF0000"/>
      <name val="Arial"/>
      <family val="2"/>
    </font>
    <font>
      <b/>
      <sz val="10"/>
      <color theme="1"/>
      <name val="Arial  "/>
    </font>
    <font>
      <b/>
      <sz val="20"/>
      <color rgb="FF262261"/>
      <name val="Arial"/>
      <family val="2"/>
    </font>
    <font>
      <b/>
      <sz val="24"/>
      <color theme="0"/>
      <name val="Arial"/>
      <family val="2"/>
    </font>
    <font>
      <b/>
      <i/>
      <sz val="8"/>
      <color theme="1"/>
      <name val="Arial"/>
      <family val="2"/>
    </font>
    <font>
      <b/>
      <sz val="10"/>
      <color rgb="FF262261"/>
      <name val="Arial  "/>
    </font>
    <font>
      <sz val="8"/>
      <color indexed="8"/>
      <name val="Arial"/>
      <family val="2"/>
    </font>
    <font>
      <b/>
      <sz val="20"/>
      <color rgb="FF1B75BC"/>
      <name val="Arial"/>
      <family val="2"/>
    </font>
    <font>
      <sz val="9"/>
      <color theme="1"/>
      <name val="Arial"/>
      <family val="2"/>
    </font>
    <font>
      <b/>
      <i/>
      <sz val="9"/>
      <color theme="1"/>
      <name val="Arial"/>
      <family val="2"/>
    </font>
    <font>
      <u/>
      <sz val="12"/>
      <color theme="10"/>
      <name val="Calibri"/>
      <family val="2"/>
    </font>
    <font>
      <sz val="8"/>
      <color rgb="FF1B75BC"/>
      <name val="Arial"/>
      <family val="2"/>
    </font>
    <font>
      <b/>
      <u val="singleAccounting"/>
      <sz val="8"/>
      <color theme="1"/>
      <name val="Arial"/>
      <family val="2"/>
    </font>
    <font>
      <sz val="8"/>
      <color theme="0" tint="-0.499984740745262"/>
      <name val="Arial"/>
      <family val="2"/>
    </font>
    <font>
      <b/>
      <sz val="8"/>
      <color rgb="FF000000"/>
      <name val="Arial"/>
      <family val="2"/>
    </font>
    <font>
      <u val="singleAccounting"/>
      <sz val="8"/>
      <name val="Arial"/>
      <family val="2"/>
    </font>
    <font>
      <b/>
      <sz val="8"/>
      <color indexed="8"/>
      <name val="Arial"/>
      <family val="2"/>
    </font>
    <font>
      <u/>
      <sz val="8"/>
      <name val="Arial"/>
      <family val="2"/>
    </font>
    <font>
      <i/>
      <u val="singleAccounting"/>
      <sz val="8"/>
      <name val="Arial"/>
      <family val="2"/>
    </font>
    <font>
      <b/>
      <i/>
      <sz val="8"/>
      <name val="Arial"/>
      <family val="2"/>
    </font>
    <font>
      <b/>
      <i/>
      <sz val="8"/>
      <color theme="3"/>
      <name val="Arial Narrow"/>
      <family val="2"/>
    </font>
    <font>
      <b/>
      <i/>
      <sz val="8"/>
      <color theme="0"/>
      <name val="Arial"/>
      <family val="2"/>
    </font>
    <font>
      <b/>
      <i/>
      <sz val="8"/>
      <color rgb="FF464646"/>
      <name val="Arial"/>
      <family val="2"/>
    </font>
    <font>
      <b/>
      <u val="singleAccounting"/>
      <sz val="8"/>
      <name val="Arial"/>
      <family val="2"/>
    </font>
    <font>
      <b/>
      <sz val="8"/>
      <color rgb="FF262261"/>
      <name val="Arial"/>
      <family val="2"/>
    </font>
    <font>
      <b/>
      <i/>
      <sz val="10"/>
      <color rgb="FF262261"/>
      <name val="Arial  "/>
    </font>
    <font>
      <b/>
      <i/>
      <sz val="10"/>
      <color theme="1"/>
      <name val="Arial  "/>
    </font>
    <font>
      <b/>
      <sz val="10"/>
      <color rgb="FF262261"/>
      <name val="Arial"/>
      <family val="2"/>
    </font>
    <font>
      <b/>
      <sz val="10"/>
      <color theme="1"/>
      <name val="Arial"/>
      <family val="2"/>
    </font>
    <font>
      <b/>
      <u/>
      <sz val="8"/>
      <name val="Arial"/>
      <family val="2"/>
    </font>
    <font>
      <sz val="12"/>
      <color indexed="8"/>
      <name val="Calibri"/>
      <family val="2"/>
    </font>
    <font>
      <sz val="8"/>
      <color rgb="FF0000FF"/>
      <name val="Arial"/>
      <family val="2"/>
    </font>
    <font>
      <sz val="9"/>
      <color indexed="8"/>
      <name val="Arial"/>
      <family val="2"/>
    </font>
    <font>
      <b/>
      <u/>
      <sz val="8"/>
      <color indexed="8"/>
      <name val="Arial"/>
      <family val="2"/>
    </font>
    <font>
      <sz val="8"/>
      <color rgb="FF262261"/>
      <name val="Arial"/>
      <family val="2"/>
    </font>
    <font>
      <sz val="8"/>
      <color rgb="FF262261"/>
      <name val="Arial Narrow"/>
      <family val="2"/>
    </font>
    <font>
      <b/>
      <u/>
      <sz val="8"/>
      <color rgb="FF262261"/>
      <name val="Arial"/>
      <family val="2"/>
    </font>
    <font>
      <sz val="8"/>
      <name val="Calibri"/>
      <family val="2"/>
    </font>
    <font>
      <b/>
      <i/>
      <sz val="8"/>
      <color rgb="FF262261"/>
      <name val="Arial"/>
      <family val="2"/>
    </font>
    <font>
      <b/>
      <sz val="8"/>
      <name val="Symbol"/>
      <family val="1"/>
      <charset val="2"/>
    </font>
    <font>
      <b/>
      <sz val="8"/>
      <name val="Arial"/>
      <family val="1"/>
      <charset val="2"/>
    </font>
    <font>
      <i/>
      <sz val="8"/>
      <color rgb="FF262261"/>
      <name val="Arial"/>
      <family val="2"/>
    </font>
    <font>
      <i/>
      <u/>
      <sz val="8"/>
      <color rgb="FF262261"/>
      <name val="Arial"/>
      <family val="2"/>
    </font>
    <font>
      <sz val="12"/>
      <color indexed="8"/>
      <name val="Calibri"/>
      <family val="2"/>
    </font>
    <font>
      <b/>
      <sz val="8"/>
      <color theme="1"/>
      <name val="Arial  "/>
    </font>
    <font>
      <sz val="8"/>
      <color theme="1"/>
      <name val="Arial  "/>
    </font>
    <font>
      <i/>
      <sz val="8"/>
      <color rgb="FF000000"/>
      <name val="Arial"/>
      <family val="2"/>
    </font>
    <font>
      <sz val="12"/>
      <color indexed="8"/>
      <name val="Calibri"/>
      <family val="2"/>
    </font>
    <font>
      <sz val="10"/>
      <name val="Segoe UI"/>
      <family val="2"/>
    </font>
    <font>
      <sz val="10"/>
      <color rgb="FF000000"/>
      <name val="Helvetica Neue"/>
      <family val="2"/>
      <scheme val="minor"/>
    </font>
    <font>
      <sz val="12"/>
      <color indexed="8"/>
      <name val="Calibri"/>
      <family val="2"/>
    </font>
    <font>
      <sz val="12"/>
      <color indexed="8"/>
      <name val="Calibri"/>
      <family val="2"/>
    </font>
    <font>
      <b/>
      <i/>
      <u val="singleAccounting"/>
      <sz val="8"/>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6A01A"/>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rgb="FF26226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s>
  <borders count="31">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rgb="FF464646"/>
      </bottom>
      <diagonal/>
    </border>
    <border>
      <left style="thin">
        <color rgb="FF464646"/>
      </left>
      <right/>
      <top/>
      <bottom style="thin">
        <color rgb="FF464646"/>
      </bottom>
      <diagonal/>
    </border>
    <border>
      <left/>
      <right/>
      <top style="thin">
        <color rgb="FF464646"/>
      </top>
      <bottom/>
      <diagonal/>
    </border>
    <border>
      <left/>
      <right style="hair">
        <color indexed="64"/>
      </right>
      <top/>
      <bottom/>
      <diagonal/>
    </border>
    <border>
      <left/>
      <right/>
      <top style="thin">
        <color rgb="FF858585"/>
      </top>
      <bottom style="medium">
        <color rgb="FF858585"/>
      </bottom>
      <diagonal/>
    </border>
    <border>
      <left/>
      <right/>
      <top style="thin">
        <color rgb="FF858585"/>
      </top>
      <bottom style="thin">
        <color theme="7"/>
      </bottom>
      <diagonal/>
    </border>
    <border>
      <left/>
      <right/>
      <top/>
      <bottom style="medium">
        <color rgb="FF858585"/>
      </bottom>
      <diagonal/>
    </border>
    <border>
      <left style="thin">
        <color rgb="FF464646"/>
      </left>
      <right/>
      <top/>
      <bottom/>
      <diagonal/>
    </border>
    <border>
      <left/>
      <right style="hair">
        <color indexed="64"/>
      </right>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style="thin">
        <color rgb="FF464646"/>
      </left>
      <right/>
      <top style="thin">
        <color rgb="FF464646"/>
      </top>
      <bottom/>
      <diagonal/>
    </border>
    <border>
      <left/>
      <right style="hair">
        <color indexed="64"/>
      </right>
      <top style="medium">
        <color indexed="64"/>
      </top>
      <bottom/>
      <diagonal/>
    </border>
    <border>
      <left/>
      <right style="hair">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theme="0"/>
      </left>
      <right/>
      <top style="medium">
        <color theme="0"/>
      </top>
      <bottom style="medium">
        <color theme="0"/>
      </bottom>
      <diagonal/>
    </border>
    <border>
      <left/>
      <right style="hair">
        <color indexed="64"/>
      </right>
      <top style="thin">
        <color indexed="64"/>
      </top>
      <bottom style="thin">
        <color indexed="64"/>
      </bottom>
      <diagonal/>
    </border>
    <border>
      <left/>
      <right style="hair">
        <color indexed="64"/>
      </right>
      <top style="thin">
        <color indexed="64"/>
      </top>
      <bottom/>
      <diagonal/>
    </border>
  </borders>
  <cellStyleXfs count="111">
    <xf numFmtId="0" fontId="0" fillId="0" borderId="0" applyNumberFormat="0" applyFill="0" applyBorder="0" applyProtection="0"/>
    <xf numFmtId="0" fontId="17" fillId="0" borderId="1" applyNumberFormat="0" applyFill="0" applyBorder="0" applyProtection="0"/>
    <xf numFmtId="0" fontId="18" fillId="0" borderId="1" applyNumberFormat="0" applyFill="0" applyBorder="0" applyProtection="0"/>
    <xf numFmtId="0" fontId="19" fillId="0" borderId="1"/>
    <xf numFmtId="0" fontId="24" fillId="0" borderId="1" applyNumberFormat="0" applyFill="0" applyBorder="0" applyProtection="0"/>
    <xf numFmtId="0" fontId="29" fillId="0" borderId="1"/>
    <xf numFmtId="165" fontId="30" fillId="0" borderId="1" applyFill="0" applyBorder="0">
      <alignment vertical="center"/>
    </xf>
    <xf numFmtId="0" fontId="14" fillId="0" borderId="1"/>
    <xf numFmtId="0" fontId="30" fillId="0" borderId="1"/>
    <xf numFmtId="0" fontId="33" fillId="0" borderId="1"/>
    <xf numFmtId="0" fontId="14" fillId="0" borderId="1"/>
    <xf numFmtId="0" fontId="38" fillId="0" borderId="1"/>
    <xf numFmtId="9" fontId="42" fillId="0" borderId="1" applyFill="0" applyBorder="0" applyAlignment="0" applyProtection="0"/>
    <xf numFmtId="9" fontId="14" fillId="0" borderId="1" applyFont="0" applyFill="0" applyBorder="0" applyAlignment="0" applyProtection="0"/>
    <xf numFmtId="0" fontId="30" fillId="0" borderId="1">
      <alignment horizontal="left" vertical="center" readingOrder="1"/>
    </xf>
    <xf numFmtId="43" fontId="30" fillId="0" borderId="1" applyFont="0" applyFill="0" applyBorder="0" applyAlignment="0" applyProtection="0"/>
    <xf numFmtId="0" fontId="36" fillId="4" borderId="1">
      <alignment horizontal="left" vertical="center" readingOrder="1"/>
    </xf>
    <xf numFmtId="0" fontId="43" fillId="0" borderId="1" applyNumberFormat="0" applyFill="0" applyBorder="0" applyAlignment="0" applyProtection="0"/>
    <xf numFmtId="0" fontId="44" fillId="0" borderId="1" applyNumberFormat="0" applyFill="0" applyAlignment="0" applyProtection="0"/>
    <xf numFmtId="9" fontId="30" fillId="0" borderId="1" applyFont="0" applyFill="0" applyBorder="0" applyAlignment="0" applyProtection="0"/>
    <xf numFmtId="173" fontId="30" fillId="0" borderId="1">
      <alignment horizontal="right" vertical="center" readingOrder="1"/>
    </xf>
    <xf numFmtId="165" fontId="30" fillId="0" borderId="1" applyFill="0" applyBorder="0">
      <alignment vertical="center"/>
    </xf>
    <xf numFmtId="174" fontId="29" fillId="0" borderId="1" applyFill="0" applyBorder="0" applyAlignment="0" applyProtection="0"/>
    <xf numFmtId="0" fontId="39" fillId="0" borderId="1">
      <alignment horizontal="left" vertical="center" readingOrder="1"/>
    </xf>
    <xf numFmtId="43" fontId="14" fillId="0" borderId="1" applyFont="0" applyFill="0" applyBorder="0" applyAlignment="0" applyProtection="0"/>
    <xf numFmtId="0" fontId="28" fillId="0" borderId="16">
      <alignment horizontal="left" vertical="center" readingOrder="1"/>
    </xf>
    <xf numFmtId="49" fontId="28" fillId="0" borderId="17">
      <alignment horizontal="left" vertical="center" readingOrder="1"/>
    </xf>
    <xf numFmtId="175" fontId="40" fillId="0" borderId="18">
      <alignment horizontal="right" vertical="center" readingOrder="1"/>
    </xf>
    <xf numFmtId="0" fontId="40" fillId="0" borderId="18">
      <alignment horizontal="left" vertical="center" readingOrder="1"/>
    </xf>
    <xf numFmtId="43" fontId="14" fillId="0" borderId="1" applyFont="0" applyFill="0" applyBorder="0" applyAlignment="0" applyProtection="0"/>
    <xf numFmtId="165" fontId="30" fillId="0" borderId="1" applyFill="0" applyBorder="0">
      <alignment vertical="center"/>
    </xf>
    <xf numFmtId="166" fontId="40" fillId="0" borderId="18">
      <alignment horizontal="right" vertical="center" readingOrder="1"/>
    </xf>
    <xf numFmtId="0" fontId="13" fillId="0" borderId="1"/>
    <xf numFmtId="0" fontId="13" fillId="0" borderId="1"/>
    <xf numFmtId="43" fontId="24" fillId="0" borderId="1" applyFont="0" applyFill="0" applyBorder="0" applyAlignment="0" applyProtection="0"/>
    <xf numFmtId="9" fontId="24" fillId="0" borderId="1" applyFont="0" applyFill="0" applyBorder="0" applyAlignment="0" applyProtection="0"/>
    <xf numFmtId="0" fontId="29" fillId="0" borderId="1"/>
    <xf numFmtId="0" fontId="12" fillId="0" borderId="1"/>
    <xf numFmtId="9" fontId="24" fillId="0" borderId="1" applyFont="0" applyFill="0" applyBorder="0" applyAlignment="0" applyProtection="0"/>
    <xf numFmtId="0" fontId="12" fillId="0" borderId="1"/>
    <xf numFmtId="165" fontId="30" fillId="0" borderId="1" applyFill="0" applyBorder="0">
      <alignment vertical="center"/>
    </xf>
    <xf numFmtId="179" fontId="40" fillId="0" borderId="18">
      <alignment horizontal="right" vertical="center" readingOrder="1"/>
    </xf>
    <xf numFmtId="173" fontId="30" fillId="0" borderId="1">
      <alignment horizontal="right" vertical="center" readingOrder="1"/>
    </xf>
    <xf numFmtId="177" fontId="28" fillId="0" borderId="16">
      <alignment horizontal="right" vertical="center" readingOrder="1"/>
    </xf>
    <xf numFmtId="0" fontId="62" fillId="0" borderId="1"/>
    <xf numFmtId="43" fontId="62" fillId="0" borderId="1" applyFont="0" applyFill="0" applyBorder="0" applyAlignment="0" applyProtection="0"/>
    <xf numFmtId="9" fontId="62" fillId="0" borderId="1" applyFont="0" applyFill="0" applyBorder="0" applyAlignment="0" applyProtection="0"/>
    <xf numFmtId="0" fontId="11" fillId="0" borderId="1"/>
    <xf numFmtId="0" fontId="11" fillId="0" borderId="1"/>
    <xf numFmtId="43" fontId="11" fillId="0" borderId="1" applyFont="0" applyFill="0" applyBorder="0" applyAlignment="0" applyProtection="0"/>
    <xf numFmtId="0" fontId="30" fillId="0" borderId="1"/>
    <xf numFmtId="44" fontId="11" fillId="0" borderId="1" applyFont="0" applyFill="0" applyBorder="0" applyAlignment="0" applyProtection="0"/>
    <xf numFmtId="0" fontId="10" fillId="0" borderId="1"/>
    <xf numFmtId="0" fontId="9" fillId="0" borderId="1"/>
    <xf numFmtId="43" fontId="30" fillId="0" borderId="1" applyFont="0" applyFill="0" applyBorder="0" applyAlignment="0" applyProtection="0"/>
    <xf numFmtId="43" fontId="24" fillId="0" borderId="1" applyFont="0" applyFill="0" applyBorder="0" applyAlignment="0" applyProtection="0"/>
    <xf numFmtId="0" fontId="24" fillId="0" borderId="1" applyNumberFormat="0" applyFill="0" applyBorder="0" applyProtection="0"/>
    <xf numFmtId="0" fontId="9" fillId="0" borderId="1"/>
    <xf numFmtId="0" fontId="75" fillId="0" borderId="1" applyNumberFormat="0" applyFill="0" applyBorder="0" applyAlignment="0" applyProtection="0"/>
    <xf numFmtId="0" fontId="9" fillId="0" borderId="1"/>
    <xf numFmtId="44" fontId="24" fillId="0" borderId="1" applyFont="0" applyFill="0" applyBorder="0" applyAlignment="0" applyProtection="0"/>
    <xf numFmtId="43" fontId="95" fillId="0" borderId="0" applyFont="0" applyFill="0" applyBorder="0" applyAlignment="0" applyProtection="0"/>
    <xf numFmtId="0" fontId="108" fillId="0" borderId="1" applyNumberFormat="0" applyFill="0" applyBorder="0" applyProtection="0"/>
    <xf numFmtId="0" fontId="7" fillId="0" borderId="1"/>
    <xf numFmtId="0" fontId="24" fillId="0" borderId="1" applyNumberFormat="0" applyFill="0" applyBorder="0" applyProtection="0"/>
    <xf numFmtId="43" fontId="7" fillId="0" borderId="1" applyFont="0" applyFill="0" applyBorder="0" applyAlignment="0" applyProtection="0"/>
    <xf numFmtId="44" fontId="7" fillId="0" borderId="1" applyFont="0" applyFill="0" applyBorder="0" applyAlignment="0" applyProtection="0"/>
    <xf numFmtId="0" fontId="6" fillId="0" borderId="1"/>
    <xf numFmtId="0" fontId="24" fillId="0" borderId="1" applyNumberFormat="0" applyFill="0" applyBorder="0" applyProtection="0"/>
    <xf numFmtId="0" fontId="19" fillId="0" borderId="1"/>
    <xf numFmtId="0" fontId="6" fillId="0" borderId="1"/>
    <xf numFmtId="43" fontId="6" fillId="0" borderId="1" applyFont="0" applyFill="0" applyBorder="0" applyAlignment="0" applyProtection="0"/>
    <xf numFmtId="0" fontId="24" fillId="0" borderId="1" applyNumberFormat="0" applyFill="0" applyBorder="0" applyProtection="0"/>
    <xf numFmtId="0" fontId="30" fillId="0" borderId="1"/>
    <xf numFmtId="165" fontId="30" fillId="0" borderId="1" applyFill="0" applyBorder="0">
      <alignment vertical="center"/>
    </xf>
    <xf numFmtId="43" fontId="42" fillId="0" borderId="1" applyFill="0" applyBorder="0" applyAlignment="0" applyProtection="0"/>
    <xf numFmtId="0" fontId="113" fillId="0" borderId="1"/>
    <xf numFmtId="0" fontId="112" fillId="0" borderId="1" applyNumberFormat="0" applyFill="0" applyBorder="0" applyProtection="0"/>
    <xf numFmtId="0" fontId="24" fillId="0" borderId="1" applyNumberFormat="0" applyFill="0" applyBorder="0" applyProtection="0"/>
    <xf numFmtId="0" fontId="24" fillId="0" borderId="1" applyNumberFormat="0" applyFill="0" applyBorder="0" applyProtection="0"/>
    <xf numFmtId="0" fontId="114" fillId="0" borderId="1"/>
    <xf numFmtId="0" fontId="115" fillId="0" borderId="1" applyNumberFormat="0" applyFill="0" applyBorder="0" applyProtection="0"/>
    <xf numFmtId="0" fontId="5" fillId="0" borderId="1"/>
    <xf numFmtId="0" fontId="4" fillId="0" borderId="1"/>
    <xf numFmtId="0" fontId="4" fillId="0" borderId="1"/>
    <xf numFmtId="0" fontId="17" fillId="0" borderId="1" applyNumberFormat="0" applyFill="0" applyBorder="0" applyProtection="0"/>
    <xf numFmtId="0" fontId="3" fillId="0" borderId="1"/>
    <xf numFmtId="0" fontId="3" fillId="0" borderId="1"/>
    <xf numFmtId="9"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24" fillId="0" borderId="1" applyFont="0" applyFill="0" applyBorder="0" applyAlignment="0" applyProtection="0"/>
    <xf numFmtId="0" fontId="24" fillId="0" borderId="1" applyNumberFormat="0" applyFill="0" applyBorder="0" applyProtection="0"/>
    <xf numFmtId="0" fontId="3" fillId="0" borderId="1"/>
    <xf numFmtId="0" fontId="8" fillId="0" borderId="1"/>
    <xf numFmtId="0" fontId="24" fillId="0" borderId="1" applyNumberFormat="0" applyFill="0" applyBorder="0" applyProtection="0"/>
    <xf numFmtId="0" fontId="2" fillId="0" borderId="1"/>
    <xf numFmtId="0" fontId="116" fillId="0" borderId="1" applyNumberFormat="0" applyFill="0" applyBorder="0" applyProtection="0"/>
    <xf numFmtId="0" fontId="24" fillId="0" borderId="1" applyNumberFormat="0" applyFill="0" applyBorder="0" applyProtection="0"/>
  </cellStyleXfs>
  <cellXfs count="537">
    <xf numFmtId="0" fontId="0" fillId="0" borderId="0" xfId="0"/>
    <xf numFmtId="164" fontId="16" fillId="0" borderId="1" xfId="3" applyNumberFormat="1" applyFont="1" applyAlignment="1">
      <alignment vertical="center"/>
    </xf>
    <xf numFmtId="164" fontId="16" fillId="0" borderId="1" xfId="3" applyNumberFormat="1" applyFont="1" applyAlignment="1">
      <alignment horizontal="center" vertical="center"/>
    </xf>
    <xf numFmtId="164" fontId="21" fillId="0" borderId="1" xfId="3" applyNumberFormat="1" applyFont="1" applyAlignment="1">
      <alignment horizontal="center" vertical="center"/>
    </xf>
    <xf numFmtId="164" fontId="23" fillId="0" borderId="1" xfId="3" applyNumberFormat="1" applyFont="1" applyAlignment="1">
      <alignment horizontal="center" vertical="center"/>
    </xf>
    <xf numFmtId="164" fontId="25" fillId="0" borderId="1" xfId="3" applyNumberFormat="1" applyFont="1" applyAlignment="1">
      <alignment horizontal="left" vertical="center" indent="1"/>
    </xf>
    <xf numFmtId="0" fontId="29" fillId="0" borderId="1" xfId="5"/>
    <xf numFmtId="0" fontId="31" fillId="0" borderId="1" xfId="6" applyNumberFormat="1" applyFont="1" applyBorder="1" applyAlignment="1"/>
    <xf numFmtId="165" fontId="30" fillId="0" borderId="1" xfId="21" applyAlignment="1">
      <alignment readingOrder="1"/>
    </xf>
    <xf numFmtId="165" fontId="45" fillId="0" borderId="1" xfId="21" applyFont="1" applyAlignment="1">
      <alignment readingOrder="1"/>
    </xf>
    <xf numFmtId="0" fontId="30" fillId="0" borderId="1" xfId="21" applyNumberFormat="1" applyAlignment="1">
      <alignment readingOrder="1"/>
    </xf>
    <xf numFmtId="0" fontId="45" fillId="0" borderId="1" xfId="21" applyNumberFormat="1" applyFont="1" applyAlignment="1">
      <alignment readingOrder="1"/>
    </xf>
    <xf numFmtId="0" fontId="27" fillId="0" borderId="1" xfId="21" applyNumberFormat="1" applyFont="1" applyAlignment="1">
      <alignment vertical="top" readingOrder="1"/>
    </xf>
    <xf numFmtId="41" fontId="26" fillId="0" borderId="1" xfId="6" applyNumberFormat="1" applyFont="1" applyAlignment="1"/>
    <xf numFmtId="41" fontId="30" fillId="0" borderId="1" xfId="30" applyNumberFormat="1">
      <alignment vertical="center"/>
    </xf>
    <xf numFmtId="41" fontId="32" fillId="0" borderId="1" xfId="30" applyNumberFormat="1" applyFont="1">
      <alignment vertical="center"/>
    </xf>
    <xf numFmtId="41" fontId="45" fillId="0" borderId="1" xfId="30" applyNumberFormat="1" applyFont="1">
      <alignment vertical="center"/>
    </xf>
    <xf numFmtId="41" fontId="37" fillId="0" borderId="1" xfId="30" applyNumberFormat="1" applyFont="1">
      <alignment vertical="center"/>
    </xf>
    <xf numFmtId="0" fontId="45" fillId="0" borderId="1" xfId="30" applyNumberFormat="1" applyFont="1">
      <alignment vertical="center"/>
    </xf>
    <xf numFmtId="41" fontId="45" fillId="0" borderId="1" xfId="30" applyNumberFormat="1" applyFont="1" applyAlignment="1">
      <alignment horizontal="right" vertical="center" readingOrder="1"/>
    </xf>
    <xf numFmtId="41" fontId="45" fillId="0" borderId="1" xfId="30" applyNumberFormat="1" applyFont="1" applyBorder="1" applyAlignment="1">
      <alignment horizontal="right" vertical="center" readingOrder="1"/>
    </xf>
    <xf numFmtId="41" fontId="45" fillId="0" borderId="1" xfId="30" applyNumberFormat="1" applyFont="1" applyAlignment="1"/>
    <xf numFmtId="41" fontId="30" fillId="0" borderId="1" xfId="30" applyNumberFormat="1" applyAlignment="1"/>
    <xf numFmtId="41" fontId="45" fillId="0" borderId="1" xfId="30" applyNumberFormat="1" applyFont="1" applyBorder="1" applyAlignment="1"/>
    <xf numFmtId="41" fontId="30" fillId="0" borderId="1" xfId="30" applyNumberFormat="1" applyAlignment="1">
      <alignment horizontal="center"/>
    </xf>
    <xf numFmtId="41" fontId="30" fillId="0" borderId="1" xfId="30" applyNumberFormat="1" applyBorder="1" applyAlignment="1"/>
    <xf numFmtId="0" fontId="30" fillId="0" borderId="1" xfId="30" applyNumberFormat="1" applyAlignment="1"/>
    <xf numFmtId="41" fontId="45" fillId="0" borderId="1" xfId="30" applyNumberFormat="1" applyFont="1" applyAlignment="1">
      <alignment horizontal="left"/>
    </xf>
    <xf numFmtId="41" fontId="30" fillId="0" borderId="1" xfId="30" applyNumberFormat="1" applyBorder="1" applyAlignment="1">
      <alignment horizontal="right" vertical="center" readingOrder="1"/>
    </xf>
    <xf numFmtId="41" fontId="30" fillId="0" borderId="1" xfId="30" applyNumberFormat="1" applyAlignment="1">
      <alignment horizontal="right" vertical="center" readingOrder="1"/>
    </xf>
    <xf numFmtId="41" fontId="45" fillId="0" borderId="1" xfId="30" applyNumberFormat="1" applyFont="1" applyAlignment="1">
      <alignment horizontal="left" vertical="center"/>
    </xf>
    <xf numFmtId="41" fontId="45" fillId="0" borderId="1" xfId="30" applyNumberFormat="1" applyFont="1" applyAlignment="1">
      <alignment horizontal="center"/>
    </xf>
    <xf numFmtId="0" fontId="45" fillId="0" borderId="1" xfId="30" applyNumberFormat="1" applyFont="1" applyAlignment="1"/>
    <xf numFmtId="41" fontId="45" fillId="0" borderId="1" xfId="30" applyNumberFormat="1" applyFont="1" applyFill="1" applyBorder="1" applyAlignment="1">
      <alignment horizontal="center"/>
    </xf>
    <xf numFmtId="41" fontId="45" fillId="0" borderId="1" xfId="30" applyNumberFormat="1" applyFont="1" applyFill="1" applyBorder="1" applyAlignment="1">
      <alignment horizontal="center" wrapText="1"/>
    </xf>
    <xf numFmtId="0" fontId="45" fillId="0" borderId="1" xfId="30" applyNumberFormat="1" applyFont="1" applyFill="1" applyBorder="1" applyAlignment="1">
      <alignment horizontal="left" wrapText="1"/>
    </xf>
    <xf numFmtId="0" fontId="45" fillId="0" borderId="1" xfId="30" applyNumberFormat="1" applyFont="1" applyFill="1" applyBorder="1" applyAlignment="1">
      <alignment horizontal="left"/>
    </xf>
    <xf numFmtId="41" fontId="45" fillId="0" borderId="1" xfId="30" applyNumberFormat="1" applyFont="1" applyFill="1" applyAlignment="1">
      <alignment horizontal="center"/>
    </xf>
    <xf numFmtId="41" fontId="32" fillId="0" borderId="1" xfId="30" applyNumberFormat="1" applyFont="1" applyAlignment="1"/>
    <xf numFmtId="41" fontId="37" fillId="0" borderId="1" xfId="30" applyNumberFormat="1" applyFont="1" applyAlignment="1">
      <alignment horizontal="right" vertical="center" readingOrder="1"/>
    </xf>
    <xf numFmtId="0" fontId="37" fillId="0" borderId="1" xfId="30" applyNumberFormat="1" applyFont="1" applyFill="1" applyBorder="1" applyAlignment="1">
      <alignment horizontal="left" vertical="center"/>
    </xf>
    <xf numFmtId="0" fontId="34" fillId="0" borderId="1" xfId="21" applyNumberFormat="1" applyFont="1" applyAlignment="1">
      <alignment readingOrder="1"/>
    </xf>
    <xf numFmtId="165" fontId="34" fillId="0" borderId="1" xfId="21" applyFont="1" applyAlignment="1">
      <alignment readingOrder="1"/>
    </xf>
    <xf numFmtId="41" fontId="50" fillId="0" borderId="1" xfId="30" applyNumberFormat="1" applyFont="1">
      <alignment vertical="center"/>
    </xf>
    <xf numFmtId="41" fontId="52" fillId="0" borderId="1" xfId="30" applyNumberFormat="1" applyFont="1">
      <alignment vertical="center"/>
    </xf>
    <xf numFmtId="41" fontId="53" fillId="0" borderId="1" xfId="30" applyNumberFormat="1" applyFont="1">
      <alignment vertical="center"/>
    </xf>
    <xf numFmtId="41" fontId="54" fillId="0" borderId="1" xfId="30" applyNumberFormat="1" applyFont="1">
      <alignment vertical="center"/>
    </xf>
    <xf numFmtId="0" fontId="20" fillId="0" borderId="1" xfId="6" applyNumberFormat="1" applyFont="1" applyAlignment="1">
      <alignment horizontal="left" vertical="center" readingOrder="1"/>
    </xf>
    <xf numFmtId="41" fontId="15" fillId="0" borderId="1" xfId="6" applyNumberFormat="1" applyFont="1" applyAlignment="1"/>
    <xf numFmtId="0" fontId="49" fillId="0" borderId="1" xfId="6" applyNumberFormat="1" applyFont="1">
      <alignment vertical="center"/>
    </xf>
    <xf numFmtId="41" fontId="56" fillId="0" borderId="1" xfId="30" applyNumberFormat="1" applyFont="1">
      <alignment vertical="center"/>
    </xf>
    <xf numFmtId="41" fontId="57" fillId="0" borderId="1" xfId="30" applyNumberFormat="1" applyFont="1">
      <alignment vertical="center"/>
    </xf>
    <xf numFmtId="41" fontId="58" fillId="0" borderId="1" xfId="30" applyNumberFormat="1" applyFont="1">
      <alignment vertical="center"/>
    </xf>
    <xf numFmtId="0" fontId="56" fillId="0" borderId="1" xfId="30" applyNumberFormat="1" applyFont="1" applyAlignment="1">
      <alignment horizontal="left" vertical="center"/>
    </xf>
    <xf numFmtId="41" fontId="56" fillId="0" borderId="1" xfId="30" applyNumberFormat="1" applyFont="1" applyBorder="1" applyAlignment="1">
      <alignment horizontal="right" vertical="center"/>
    </xf>
    <xf numFmtId="0" fontId="35" fillId="0" borderId="1" xfId="30" applyNumberFormat="1" applyFont="1" applyBorder="1" applyAlignment="1">
      <alignment horizontal="left" vertical="center" readingOrder="1"/>
    </xf>
    <xf numFmtId="41" fontId="34" fillId="0" borderId="1" xfId="30" applyNumberFormat="1" applyFont="1">
      <alignment vertical="center"/>
    </xf>
    <xf numFmtId="41" fontId="59" fillId="0" borderId="1" xfId="30" applyNumberFormat="1" applyFont="1">
      <alignment vertical="center"/>
    </xf>
    <xf numFmtId="41" fontId="34" fillId="0" borderId="1" xfId="30" applyNumberFormat="1" applyFont="1" applyBorder="1" applyAlignment="1">
      <alignment horizontal="right" vertical="center" readingOrder="1"/>
    </xf>
    <xf numFmtId="41" fontId="35" fillId="0" borderId="1" xfId="30" applyNumberFormat="1" applyFont="1" applyBorder="1" applyAlignment="1">
      <alignment horizontal="right" vertical="center" readingOrder="1"/>
    </xf>
    <xf numFmtId="0" fontId="34" fillId="0" borderId="1" xfId="30" applyNumberFormat="1" applyFont="1" applyBorder="1" applyAlignment="1">
      <alignment horizontal="left" vertical="center" readingOrder="1"/>
    </xf>
    <xf numFmtId="41" fontId="15" fillId="0" borderId="1" xfId="6" applyNumberFormat="1" applyFont="1">
      <alignment vertical="center"/>
    </xf>
    <xf numFmtId="41" fontId="15" fillId="0" borderId="1" xfId="6" applyNumberFormat="1" applyFont="1" applyAlignment="1">
      <alignment horizontal="right" vertical="center"/>
    </xf>
    <xf numFmtId="0" fontId="26" fillId="0" borderId="1" xfId="6" applyNumberFormat="1" applyFont="1" applyAlignment="1"/>
    <xf numFmtId="0" fontId="15" fillId="0" borderId="1" xfId="6" applyNumberFormat="1" applyFont="1" applyAlignment="1"/>
    <xf numFmtId="41" fontId="25" fillId="0" borderId="1" xfId="6" applyNumberFormat="1" applyFont="1" applyAlignment="1"/>
    <xf numFmtId="0" fontId="60" fillId="0" borderId="0" xfId="0" applyFont="1"/>
    <xf numFmtId="0" fontId="29" fillId="0" borderId="1" xfId="36"/>
    <xf numFmtId="164" fontId="61" fillId="0" borderId="1" xfId="3" applyNumberFormat="1" applyFont="1" applyAlignment="1">
      <alignment horizontal="center" vertical="center"/>
    </xf>
    <xf numFmtId="41" fontId="37" fillId="0" borderId="1" xfId="30" applyNumberFormat="1" applyFont="1" applyAlignment="1"/>
    <xf numFmtId="164" fontId="67" fillId="0" borderId="1" xfId="3" applyNumberFormat="1" applyFont="1" applyAlignment="1">
      <alignment horizontal="center" vertical="center"/>
    </xf>
    <xf numFmtId="0" fontId="68" fillId="8" borderId="1" xfId="32" applyFont="1" applyFill="1" applyAlignment="1">
      <alignment horizontal="left" vertical="center"/>
    </xf>
    <xf numFmtId="0" fontId="28" fillId="0" borderId="1" xfId="6" applyNumberFormat="1" applyFont="1" applyAlignment="1">
      <alignment horizontal="left" vertical="center" readingOrder="1"/>
    </xf>
    <xf numFmtId="0" fontId="28" fillId="0" borderId="1" xfId="6" applyNumberFormat="1" applyFont="1" applyAlignment="1">
      <alignment horizontal="center" vertical="center" readingOrder="1"/>
    </xf>
    <xf numFmtId="41" fontId="28" fillId="0" borderId="1" xfId="6" applyNumberFormat="1" applyFont="1">
      <alignment vertical="center"/>
    </xf>
    <xf numFmtId="0" fontId="29" fillId="0" borderId="1" xfId="6" applyNumberFormat="1" applyFont="1" applyAlignment="1">
      <alignment horizontal="left" vertical="center" wrapText="1"/>
    </xf>
    <xf numFmtId="0" fontId="29" fillId="0" borderId="1" xfId="6" applyNumberFormat="1" applyFont="1" applyAlignment="1">
      <alignment horizontal="center" vertical="center" wrapText="1" readingOrder="1"/>
    </xf>
    <xf numFmtId="41" fontId="29" fillId="0" borderId="1" xfId="6" applyNumberFormat="1" applyFont="1">
      <alignment vertical="center"/>
    </xf>
    <xf numFmtId="0" fontId="69" fillId="0" borderId="1" xfId="6" applyNumberFormat="1" applyFont="1" applyAlignment="1">
      <alignment horizontal="left" vertical="center" wrapText="1"/>
    </xf>
    <xf numFmtId="0" fontId="39" fillId="0" borderId="1" xfId="6" applyNumberFormat="1" applyFont="1" applyAlignment="1">
      <alignment horizontal="center" vertical="center" wrapText="1" readingOrder="1"/>
    </xf>
    <xf numFmtId="0" fontId="29" fillId="0" borderId="1" xfId="6" applyNumberFormat="1" applyFont="1" applyAlignment="1">
      <alignment horizontal="left" vertical="center" readingOrder="1"/>
    </xf>
    <xf numFmtId="0" fontId="29" fillId="0" borderId="1" xfId="6" applyNumberFormat="1" applyFont="1" applyAlignment="1">
      <alignment horizontal="center" vertical="center" readingOrder="1"/>
    </xf>
    <xf numFmtId="0" fontId="64" fillId="8" borderId="1" xfId="6" applyNumberFormat="1" applyFont="1" applyFill="1" applyAlignment="1">
      <alignment horizontal="left" vertical="center" readingOrder="1"/>
    </xf>
    <xf numFmtId="164" fontId="70" fillId="0" borderId="1" xfId="3" applyNumberFormat="1" applyFont="1" applyAlignment="1">
      <alignment vertical="center"/>
    </xf>
    <xf numFmtId="164" fontId="66" fillId="0" borderId="1" xfId="3" applyNumberFormat="1" applyFont="1" applyAlignment="1">
      <alignment vertical="center"/>
    </xf>
    <xf numFmtId="0" fontId="64" fillId="8" borderId="1" xfId="37" applyFont="1" applyFill="1" applyAlignment="1">
      <alignment horizontal="left" vertical="center" readingOrder="1"/>
    </xf>
    <xf numFmtId="0" fontId="71" fillId="0" borderId="0" xfId="0" applyFont="1"/>
    <xf numFmtId="0" fontId="28" fillId="7" borderId="1" xfId="36" applyFont="1" applyFill="1" applyAlignment="1">
      <alignment horizontal="left" vertical="center" wrapText="1"/>
    </xf>
    <xf numFmtId="0" fontId="34" fillId="7" borderId="1" xfId="4" applyFont="1" applyFill="1" applyAlignment="1">
      <alignment horizontal="left" vertical="center" wrapText="1"/>
    </xf>
    <xf numFmtId="0" fontId="28" fillId="0" borderId="1" xfId="36" applyFont="1" applyAlignment="1">
      <alignment horizontal="left" vertical="center" wrapText="1"/>
    </xf>
    <xf numFmtId="0" fontId="34" fillId="0" borderId="1" xfId="4" applyFont="1" applyFill="1" applyAlignment="1">
      <alignment horizontal="left" vertical="center" wrapText="1"/>
    </xf>
    <xf numFmtId="0" fontId="29" fillId="0" borderId="2" xfId="6" applyNumberFormat="1" applyFont="1" applyBorder="1" applyAlignment="1">
      <alignment horizontal="center" vertical="center" readingOrder="1"/>
    </xf>
    <xf numFmtId="164" fontId="72" fillId="0" borderId="1" xfId="3" applyNumberFormat="1" applyFont="1" applyAlignment="1">
      <alignment horizontal="center" vertical="center"/>
    </xf>
    <xf numFmtId="0" fontId="39" fillId="0" borderId="1" xfId="6" applyNumberFormat="1" applyFont="1" applyAlignment="1">
      <alignment horizontal="left" vertical="center" readingOrder="1"/>
    </xf>
    <xf numFmtId="0" fontId="39" fillId="0" borderId="1" xfId="6" applyNumberFormat="1" applyFont="1" applyAlignment="1">
      <alignment horizontal="center" vertical="center" readingOrder="1"/>
    </xf>
    <xf numFmtId="170" fontId="29" fillId="0" borderId="1" xfId="6" applyNumberFormat="1" applyFont="1" applyAlignment="1">
      <alignment horizontal="right" vertical="center"/>
    </xf>
    <xf numFmtId="170" fontId="29" fillId="0" borderId="1" xfId="6" applyNumberFormat="1" applyFont="1">
      <alignment vertical="center"/>
    </xf>
    <xf numFmtId="41" fontId="39" fillId="0" borderId="1" xfId="6" applyNumberFormat="1" applyFont="1">
      <alignment vertical="center"/>
    </xf>
    <xf numFmtId="165" fontId="29" fillId="0" borderId="1" xfId="6" applyFont="1">
      <alignment vertical="center"/>
    </xf>
    <xf numFmtId="0" fontId="34" fillId="0" borderId="1" xfId="6" applyNumberFormat="1" applyFont="1" applyFill="1" applyAlignment="1">
      <alignment horizontal="left" vertical="center" readingOrder="1"/>
    </xf>
    <xf numFmtId="0" fontId="29" fillId="0" borderId="1" xfId="6" applyNumberFormat="1" applyFont="1" applyAlignment="1">
      <alignment horizontal="left" vertical="center" indent="1" readingOrder="1"/>
    </xf>
    <xf numFmtId="0" fontId="28" fillId="0" borderId="4" xfId="6" applyNumberFormat="1" applyFont="1" applyBorder="1" applyAlignment="1">
      <alignment horizontal="left" vertical="center" readingOrder="1"/>
    </xf>
    <xf numFmtId="41" fontId="15" fillId="0" borderId="1" xfId="6" applyNumberFormat="1" applyFont="1" applyFill="1" applyAlignment="1"/>
    <xf numFmtId="41" fontId="69" fillId="0" borderId="1" xfId="6" applyNumberFormat="1" applyFont="1" applyAlignment="1"/>
    <xf numFmtId="41" fontId="29" fillId="0" borderId="1" xfId="6" applyNumberFormat="1" applyFont="1" applyAlignment="1"/>
    <xf numFmtId="0" fontId="73" fillId="0" borderId="1" xfId="6" applyNumberFormat="1" applyFont="1" applyAlignment="1"/>
    <xf numFmtId="41" fontId="73" fillId="0" borderId="1" xfId="6" applyNumberFormat="1" applyFont="1" applyAlignment="1"/>
    <xf numFmtId="41" fontId="74" fillId="0" borderId="1" xfId="6" applyNumberFormat="1" applyFont="1" applyAlignment="1"/>
    <xf numFmtId="0" fontId="28" fillId="8" borderId="1" xfId="6" applyNumberFormat="1" applyFont="1" applyFill="1" applyAlignment="1">
      <alignment horizontal="left" vertical="center" readingOrder="1"/>
    </xf>
    <xf numFmtId="41" fontId="29" fillId="8" borderId="1" xfId="6" applyNumberFormat="1" applyFont="1" applyFill="1" applyAlignment="1">
      <alignment horizontal="center" vertical="center"/>
    </xf>
    <xf numFmtId="41" fontId="29" fillId="8" borderId="1" xfId="6" applyNumberFormat="1" applyFont="1" applyFill="1">
      <alignment vertical="center"/>
    </xf>
    <xf numFmtId="41" fontId="29" fillId="0" borderId="1" xfId="6" applyNumberFormat="1" applyFont="1" applyBorder="1" applyAlignment="1">
      <alignment horizontal="right" vertical="center" readingOrder="1"/>
    </xf>
    <xf numFmtId="168" fontId="29" fillId="0" borderId="1" xfId="15" applyNumberFormat="1" applyFont="1" applyAlignment="1">
      <alignment horizontal="right" vertical="center" readingOrder="1"/>
    </xf>
    <xf numFmtId="41" fontId="29" fillId="0" borderId="1" xfId="6" applyNumberFormat="1" applyFont="1" applyFill="1" applyBorder="1">
      <alignment vertical="center"/>
    </xf>
    <xf numFmtId="0" fontId="29" fillId="0" borderId="1" xfId="6" applyNumberFormat="1" applyFont="1" applyBorder="1" applyAlignment="1">
      <alignment horizontal="left" vertical="center" readingOrder="1"/>
    </xf>
    <xf numFmtId="171" fontId="28" fillId="0" borderId="1" xfId="6" applyNumberFormat="1" applyFont="1" applyBorder="1" applyAlignment="1">
      <alignment horizontal="right" vertical="center" readingOrder="1"/>
    </xf>
    <xf numFmtId="41" fontId="29" fillId="0" borderId="1" xfId="6" applyNumberFormat="1" applyFont="1" applyBorder="1">
      <alignment vertical="center"/>
    </xf>
    <xf numFmtId="41" fontId="29" fillId="0" borderId="1" xfId="6" applyNumberFormat="1" applyFont="1" applyAlignment="1">
      <alignment horizontal="right" vertical="center"/>
    </xf>
    <xf numFmtId="0" fontId="76" fillId="0" borderId="0" xfId="0" applyFont="1"/>
    <xf numFmtId="0" fontId="27" fillId="8" borderId="1" xfId="6" applyNumberFormat="1" applyFont="1" applyFill="1" applyAlignment="1">
      <alignment horizontal="center" vertical="center" readingOrder="1"/>
    </xf>
    <xf numFmtId="0" fontId="27" fillId="8" borderId="1" xfId="6" applyNumberFormat="1" applyFont="1" applyFill="1" applyAlignment="1">
      <alignment horizontal="left" vertical="center" readingOrder="1"/>
    </xf>
    <xf numFmtId="164" fontId="29" fillId="0" borderId="1" xfId="3" applyNumberFormat="1" applyFont="1" applyAlignment="1">
      <alignment horizontal="center" vertical="center" wrapText="1"/>
    </xf>
    <xf numFmtId="164" fontId="77" fillId="0" borderId="1" xfId="3" applyNumberFormat="1" applyFont="1" applyAlignment="1">
      <alignment horizontal="center" wrapText="1"/>
    </xf>
    <xf numFmtId="164" fontId="28" fillId="0" borderId="2" xfId="3" applyNumberFormat="1" applyFont="1" applyBorder="1" applyAlignment="1">
      <alignment horizontal="centerContinuous" vertical="center" wrapText="1"/>
    </xf>
    <xf numFmtId="164" fontId="28" fillId="0" borderId="1" xfId="3" applyNumberFormat="1" applyFont="1" applyAlignment="1">
      <alignment horizontal="center" vertical="center" wrapText="1"/>
    </xf>
    <xf numFmtId="164" fontId="29" fillId="0" borderId="1" xfId="3" applyNumberFormat="1" applyFont="1" applyAlignment="1">
      <alignment vertical="center"/>
    </xf>
    <xf numFmtId="164" fontId="78" fillId="0" borderId="1" xfId="3" applyNumberFormat="1" applyFont="1" applyAlignment="1">
      <alignment vertical="center"/>
    </xf>
    <xf numFmtId="180" fontId="28" fillId="0" borderId="1" xfId="3" applyNumberFormat="1" applyFont="1" applyAlignment="1">
      <alignment horizontal="center" wrapText="1"/>
    </xf>
    <xf numFmtId="178" fontId="28" fillId="0" borderId="1" xfId="3" applyNumberFormat="1" applyFont="1" applyAlignment="1">
      <alignment horizontal="center"/>
    </xf>
    <xf numFmtId="178" fontId="28" fillId="3" borderId="2" xfId="3" applyNumberFormat="1" applyFont="1" applyFill="1" applyBorder="1" applyAlignment="1">
      <alignment horizontal="center"/>
    </xf>
    <xf numFmtId="178" fontId="28" fillId="0" borderId="1" xfId="3" applyNumberFormat="1" applyFont="1" applyAlignment="1">
      <alignment horizontal="center" wrapText="1"/>
    </xf>
    <xf numFmtId="164" fontId="34" fillId="0" borderId="1" xfId="3" applyNumberFormat="1" applyFont="1" applyAlignment="1">
      <alignment vertical="center"/>
    </xf>
    <xf numFmtId="164" fontId="35" fillId="0" borderId="1" xfId="3" applyNumberFormat="1" applyFont="1" applyAlignment="1">
      <alignment vertical="center"/>
    </xf>
    <xf numFmtId="180" fontId="35" fillId="0" borderId="1" xfId="3" applyNumberFormat="1" applyFont="1" applyAlignment="1">
      <alignment vertical="center"/>
    </xf>
    <xf numFmtId="180" fontId="35" fillId="3" borderId="1" xfId="3" applyNumberFormat="1" applyFont="1" applyFill="1" applyAlignment="1">
      <alignment vertical="center"/>
    </xf>
    <xf numFmtId="164" fontId="59" fillId="0" borderId="1" xfId="3" applyNumberFormat="1" applyFont="1" applyAlignment="1">
      <alignment vertical="center"/>
    </xf>
    <xf numFmtId="169" fontId="59" fillId="0" borderId="1" xfId="34" applyNumberFormat="1" applyFont="1" applyBorder="1" applyAlignment="1">
      <alignment vertical="center"/>
    </xf>
    <xf numFmtId="180" fontId="59" fillId="0" borderId="1" xfId="3" applyNumberFormat="1" applyFont="1" applyAlignment="1">
      <alignment horizontal="right" vertical="center"/>
    </xf>
    <xf numFmtId="169" fontId="59" fillId="3" borderId="1" xfId="34" applyNumberFormat="1" applyFont="1" applyFill="1" applyBorder="1" applyAlignment="1">
      <alignment vertical="center"/>
    </xf>
    <xf numFmtId="180" fontId="34" fillId="0" borderId="1" xfId="3" applyNumberFormat="1" applyFont="1" applyAlignment="1">
      <alignment vertical="center"/>
    </xf>
    <xf numFmtId="180" fontId="34" fillId="3" borderId="1" xfId="3" applyNumberFormat="1" applyFont="1" applyFill="1" applyAlignment="1">
      <alignment vertical="center"/>
    </xf>
    <xf numFmtId="164" fontId="34" fillId="0" borderId="1" xfId="3" applyNumberFormat="1" applyFont="1" applyAlignment="1">
      <alignment horizontal="left" vertical="center" indent="1"/>
    </xf>
    <xf numFmtId="180" fontId="79" fillId="0" borderId="1" xfId="3" applyNumberFormat="1" applyFont="1" applyAlignment="1">
      <alignment vertical="center"/>
    </xf>
    <xf numFmtId="180" fontId="79" fillId="3" borderId="1" xfId="3" applyNumberFormat="1" applyFont="1" applyFill="1" applyAlignment="1">
      <alignment vertical="center"/>
    </xf>
    <xf numFmtId="169" fontId="59" fillId="3" borderId="1" xfId="34" applyNumberFormat="1" applyFont="1" applyFill="1" applyBorder="1" applyAlignment="1">
      <alignment horizontal="right" vertical="center"/>
    </xf>
    <xf numFmtId="164" fontId="34" fillId="3" borderId="1" xfId="3" applyNumberFormat="1" applyFont="1" applyFill="1" applyAlignment="1">
      <alignment vertical="center"/>
    </xf>
    <xf numFmtId="180" fontId="80" fillId="0" borderId="1" xfId="3" applyNumberFormat="1" applyFont="1" applyAlignment="1">
      <alignment vertical="center"/>
    </xf>
    <xf numFmtId="164" fontId="35" fillId="0" borderId="1" xfId="3" applyNumberFormat="1" applyFont="1"/>
    <xf numFmtId="180" fontId="79" fillId="0" borderId="1" xfId="3" applyNumberFormat="1" applyFont="1"/>
    <xf numFmtId="180" fontId="35" fillId="0" borderId="1" xfId="3" applyNumberFormat="1" applyFont="1"/>
    <xf numFmtId="164" fontId="59" fillId="0" borderId="26" xfId="3" applyNumberFormat="1" applyFont="1" applyBorder="1" applyAlignment="1">
      <alignment vertical="center"/>
    </xf>
    <xf numFmtId="169" fontId="59" fillId="0" borderId="26" xfId="34" applyNumberFormat="1" applyFont="1" applyBorder="1" applyAlignment="1">
      <alignment vertical="center"/>
    </xf>
    <xf numFmtId="164" fontId="34" fillId="0" borderId="5" xfId="3" applyNumberFormat="1" applyFont="1" applyBorder="1" applyAlignment="1">
      <alignment vertical="center"/>
    </xf>
    <xf numFmtId="169" fontId="59" fillId="0" borderId="4" xfId="34" applyNumberFormat="1" applyFont="1" applyBorder="1" applyAlignment="1">
      <alignment vertical="center"/>
    </xf>
    <xf numFmtId="169" fontId="59" fillId="0" borderId="6" xfId="34" applyNumberFormat="1" applyFont="1" applyBorder="1" applyAlignment="1">
      <alignment vertical="center"/>
    </xf>
    <xf numFmtId="164" fontId="34" fillId="0" borderId="7" xfId="3" applyNumberFormat="1" applyFont="1" applyBorder="1" applyAlignment="1">
      <alignment vertical="center"/>
    </xf>
    <xf numFmtId="169" fontId="59" fillId="0" borderId="8" xfId="34" applyNumberFormat="1" applyFont="1" applyBorder="1" applyAlignment="1">
      <alignment vertical="center"/>
    </xf>
    <xf numFmtId="164" fontId="34" fillId="0" borderId="9" xfId="3" applyNumberFormat="1" applyFont="1" applyBorder="1" applyAlignment="1">
      <alignment vertical="center"/>
    </xf>
    <xf numFmtId="169" fontId="59" fillId="0" borderId="2" xfId="34" applyNumberFormat="1" applyFont="1" applyBorder="1" applyAlignment="1">
      <alignment vertical="center"/>
    </xf>
    <xf numFmtId="169" fontId="59" fillId="0" borderId="10" xfId="34" applyNumberFormat="1" applyFont="1" applyBorder="1" applyAlignment="1">
      <alignment vertical="center"/>
    </xf>
    <xf numFmtId="0" fontId="71" fillId="0" borderId="1" xfId="0" applyFont="1" applyFill="1" applyBorder="1"/>
    <xf numFmtId="0" fontId="81" fillId="0" borderId="2" xfId="0" applyFont="1" applyBorder="1" applyAlignment="1">
      <alignment horizontal="left"/>
    </xf>
    <xf numFmtId="0" fontId="81" fillId="0" borderId="2" xfId="0" applyFont="1" applyBorder="1" applyAlignment="1">
      <alignment wrapText="1"/>
    </xf>
    <xf numFmtId="0" fontId="81" fillId="0" borderId="1" xfId="0" applyFont="1" applyFill="1" applyBorder="1" applyAlignment="1">
      <alignment wrapText="1"/>
    </xf>
    <xf numFmtId="0" fontId="46" fillId="8" borderId="1" xfId="6" applyNumberFormat="1" applyFont="1" applyFill="1" applyAlignment="1">
      <alignment horizontal="left" vertical="center" readingOrder="1"/>
    </xf>
    <xf numFmtId="41" fontId="45" fillId="8" borderId="1" xfId="6" applyNumberFormat="1" applyFont="1" applyFill="1" applyAlignment="1">
      <alignment horizontal="center" vertical="center"/>
    </xf>
    <xf numFmtId="41" fontId="45" fillId="8" borderId="1" xfId="6" applyNumberFormat="1" applyFont="1" applyFill="1">
      <alignment vertical="center"/>
    </xf>
    <xf numFmtId="0" fontId="59" fillId="0" borderId="1" xfId="21" applyNumberFormat="1" applyFont="1" applyBorder="1" applyAlignment="1">
      <alignment horizontal="left" vertical="center" readingOrder="1"/>
    </xf>
    <xf numFmtId="171" fontId="35" fillId="0" borderId="1" xfId="21" applyNumberFormat="1" applyFont="1" applyBorder="1" applyAlignment="1">
      <alignment horizontal="right" vertical="center" readingOrder="1"/>
    </xf>
    <xf numFmtId="0" fontId="34" fillId="0" borderId="1" xfId="30" applyNumberFormat="1" applyFont="1" applyAlignment="1">
      <alignment horizontal="left" vertical="center" readingOrder="1"/>
    </xf>
    <xf numFmtId="41" fontId="34" fillId="0" borderId="1" xfId="30" applyNumberFormat="1" applyFont="1" applyAlignment="1">
      <alignment horizontal="right" vertical="center" readingOrder="1"/>
    </xf>
    <xf numFmtId="167" fontId="34" fillId="0" borderId="1" xfId="30" applyNumberFormat="1" applyFont="1">
      <alignment vertical="center"/>
    </xf>
    <xf numFmtId="0" fontId="34" fillId="0" borderId="2" xfId="30" applyNumberFormat="1" applyFont="1" applyBorder="1" applyAlignment="1">
      <alignment horizontal="left" vertical="center" readingOrder="1"/>
    </xf>
    <xf numFmtId="0" fontId="35" fillId="0" borderId="1" xfId="30" applyNumberFormat="1" applyFont="1" applyAlignment="1">
      <alignment vertical="top"/>
    </xf>
    <xf numFmtId="41" fontId="34" fillId="0" borderId="1" xfId="30" applyNumberFormat="1" applyFont="1" applyAlignment="1">
      <alignment horizontal="right" vertical="center"/>
    </xf>
    <xf numFmtId="0" fontId="59" fillId="0" borderId="23" xfId="30" applyNumberFormat="1" applyFont="1" applyBorder="1" applyAlignment="1">
      <alignment horizontal="left" vertical="center" readingOrder="1"/>
    </xf>
    <xf numFmtId="170" fontId="59" fillId="0" borderId="14" xfId="30" applyNumberFormat="1" applyFont="1" applyBorder="1" applyAlignment="1">
      <alignment horizontal="right" vertical="center"/>
    </xf>
    <xf numFmtId="0" fontId="59" fillId="0" borderId="19" xfId="30" applyNumberFormat="1" applyFont="1" applyBorder="1" applyAlignment="1">
      <alignment horizontal="left" vertical="center" readingOrder="1"/>
    </xf>
    <xf numFmtId="170" fontId="59" fillId="0" borderId="1" xfId="30" applyNumberFormat="1" applyFont="1" applyBorder="1" applyAlignment="1">
      <alignment horizontal="right" vertical="center"/>
    </xf>
    <xf numFmtId="0" fontId="59" fillId="0" borderId="13" xfId="30" applyNumberFormat="1" applyFont="1" applyBorder="1" applyAlignment="1">
      <alignment horizontal="left" vertical="center" readingOrder="1"/>
    </xf>
    <xf numFmtId="170" fontId="59" fillId="0" borderId="12" xfId="30" applyNumberFormat="1" applyFont="1" applyBorder="1" applyAlignment="1">
      <alignment horizontal="right" vertical="center"/>
    </xf>
    <xf numFmtId="0" fontId="59" fillId="0" borderId="1" xfId="30" applyNumberFormat="1" applyFont="1" applyAlignment="1">
      <alignment horizontal="left" vertical="center" readingOrder="1"/>
    </xf>
    <xf numFmtId="41" fontId="59" fillId="0" borderId="1" xfId="30" applyNumberFormat="1" applyFont="1" applyBorder="1" applyAlignment="1">
      <alignment horizontal="right" vertical="center"/>
    </xf>
    <xf numFmtId="0" fontId="45" fillId="5" borderId="1" xfId="30" applyNumberFormat="1" applyFont="1" applyFill="1" applyAlignment="1">
      <alignment horizontal="left" vertical="center" readingOrder="1"/>
    </xf>
    <xf numFmtId="41" fontId="63" fillId="0" borderId="1" xfId="30" applyNumberFormat="1" applyFont="1" applyAlignment="1"/>
    <xf numFmtId="41" fontId="27" fillId="5" borderId="1" xfId="30" applyNumberFormat="1" applyFont="1" applyFill="1" applyBorder="1" applyAlignment="1">
      <alignment horizontal="left"/>
    </xf>
    <xf numFmtId="0" fontId="59" fillId="0" borderId="1" xfId="30" applyNumberFormat="1" applyFont="1" applyFill="1" applyBorder="1" applyAlignment="1">
      <alignment horizontal="left" vertical="center" readingOrder="1"/>
    </xf>
    <xf numFmtId="171" fontId="35" fillId="0" borderId="1" xfId="30" applyNumberFormat="1" applyFont="1" applyFill="1" applyBorder="1" applyAlignment="1">
      <alignment horizontal="right" vertical="center" readingOrder="1"/>
    </xf>
    <xf numFmtId="41" fontId="35" fillId="0" borderId="1" xfId="30" applyNumberFormat="1" applyFont="1" applyFill="1" applyBorder="1" applyAlignment="1">
      <alignment horizontal="right" vertical="center" readingOrder="1"/>
    </xf>
    <xf numFmtId="41" fontId="34" fillId="0" borderId="1" xfId="30" applyNumberFormat="1" applyFont="1" applyBorder="1" applyAlignment="1"/>
    <xf numFmtId="0" fontId="35" fillId="0" borderId="1" xfId="30" applyNumberFormat="1" applyFont="1" applyFill="1" applyAlignment="1">
      <alignment horizontal="left" vertical="center" readingOrder="1"/>
    </xf>
    <xf numFmtId="0" fontId="34" fillId="0" borderId="1" xfId="30" applyNumberFormat="1" applyFont="1" applyFill="1" applyAlignment="1">
      <alignment horizontal="left" vertical="center" indent="1" readingOrder="1"/>
    </xf>
    <xf numFmtId="41" fontId="34" fillId="0" borderId="1" xfId="30" applyNumberFormat="1" applyFont="1" applyFill="1" applyBorder="1" applyAlignment="1">
      <alignment horizontal="right" vertical="center" readingOrder="1"/>
    </xf>
    <xf numFmtId="41" fontId="34" fillId="0" borderId="1" xfId="30" applyNumberFormat="1" applyFont="1" applyFill="1" applyAlignment="1"/>
    <xf numFmtId="0" fontId="34" fillId="0" borderId="1" xfId="30" applyNumberFormat="1" applyFont="1" applyFill="1" applyAlignment="1">
      <alignment horizontal="left" vertical="center" readingOrder="1"/>
    </xf>
    <xf numFmtId="172" fontId="34" fillId="0" borderId="1" xfId="30" applyNumberFormat="1" applyFont="1" applyFill="1" applyBorder="1" applyAlignment="1">
      <alignment horizontal="right" vertical="center"/>
    </xf>
    <xf numFmtId="41" fontId="34" fillId="0" borderId="1" xfId="30" applyNumberFormat="1" applyFont="1" applyAlignment="1"/>
    <xf numFmtId="41" fontId="35" fillId="0" borderId="1" xfId="30" applyNumberFormat="1" applyFont="1" applyFill="1" applyBorder="1" applyAlignment="1">
      <alignment vertical="center" readingOrder="1"/>
    </xf>
    <xf numFmtId="9" fontId="35" fillId="0" borderId="1" xfId="19" applyFont="1" applyAlignment="1"/>
    <xf numFmtId="41" fontId="35" fillId="0" borderId="1" xfId="30" applyNumberFormat="1" applyFont="1" applyAlignment="1"/>
    <xf numFmtId="0" fontId="35" fillId="0" borderId="1" xfId="30" applyNumberFormat="1" applyFont="1" applyFill="1" applyBorder="1" applyAlignment="1">
      <alignment horizontal="left" vertical="center" readingOrder="1"/>
    </xf>
    <xf numFmtId="0" fontId="34" fillId="0" borderId="1" xfId="30" applyNumberFormat="1" applyFont="1" applyFill="1" applyBorder="1" applyAlignment="1">
      <alignment horizontal="left" vertical="center" indent="1" readingOrder="1"/>
    </xf>
    <xf numFmtId="41" fontId="34" fillId="0" borderId="1" xfId="30" applyNumberFormat="1" applyFont="1" applyFill="1" applyBorder="1" applyAlignment="1"/>
    <xf numFmtId="0" fontId="35" fillId="0" borderId="4" xfId="30" applyNumberFormat="1" applyFont="1" applyBorder="1" applyAlignment="1">
      <alignment horizontal="left" vertical="center" readingOrder="1"/>
    </xf>
    <xf numFmtId="0" fontId="34" fillId="0" borderId="2" xfId="30" applyNumberFormat="1" applyFont="1" applyFill="1" applyBorder="1" applyAlignment="1">
      <alignment horizontal="left" vertical="center" readingOrder="1"/>
    </xf>
    <xf numFmtId="0" fontId="34" fillId="0" borderId="1" xfId="30" applyNumberFormat="1" applyFont="1" applyFill="1" applyBorder="1" applyAlignment="1">
      <alignment horizontal="left" vertical="center" wrapText="1"/>
    </xf>
    <xf numFmtId="43" fontId="34" fillId="0" borderId="1" xfId="30" applyNumberFormat="1" applyFont="1" applyFill="1" applyBorder="1" applyAlignment="1">
      <alignment horizontal="right"/>
    </xf>
    <xf numFmtId="41" fontId="34" fillId="0" borderId="1" xfId="30" applyNumberFormat="1" applyFont="1" applyFill="1" applyBorder="1" applyAlignment="1">
      <alignment horizontal="right"/>
    </xf>
    <xf numFmtId="41" fontId="59" fillId="0" borderId="1" xfId="30" applyNumberFormat="1" applyFont="1" applyAlignment="1"/>
    <xf numFmtId="0" fontId="35" fillId="0" borderId="1" xfId="30" applyNumberFormat="1" applyFont="1" applyBorder="1" applyAlignment="1">
      <alignment horizontal="left" vertical="center" indent="1" readingOrder="1"/>
    </xf>
    <xf numFmtId="0" fontId="34" fillId="0" borderId="1" xfId="30" applyNumberFormat="1" applyFont="1">
      <alignment vertical="center"/>
    </xf>
    <xf numFmtId="41" fontId="34" fillId="0" borderId="1" xfId="20" applyNumberFormat="1" applyFont="1">
      <alignment horizontal="right" vertical="center" readingOrder="1"/>
    </xf>
    <xf numFmtId="41" fontId="47" fillId="0" borderId="1" xfId="6" applyNumberFormat="1" applyFont="1" applyAlignment="1">
      <alignment horizontal="left"/>
    </xf>
    <xf numFmtId="41" fontId="47" fillId="0" borderId="1" xfId="6" applyNumberFormat="1" applyFont="1" applyAlignment="1"/>
    <xf numFmtId="41" fontId="85" fillId="0" borderId="1" xfId="6" applyNumberFormat="1" applyFont="1" applyAlignment="1"/>
    <xf numFmtId="41" fontId="48" fillId="0" borderId="1" xfId="6" applyNumberFormat="1" applyFont="1" applyAlignment="1"/>
    <xf numFmtId="41" fontId="49" fillId="0" borderId="1" xfId="6" applyNumberFormat="1" applyFont="1" applyAlignment="1"/>
    <xf numFmtId="0" fontId="48" fillId="0" borderId="1" xfId="6" applyNumberFormat="1" applyFont="1" applyAlignment="1"/>
    <xf numFmtId="0" fontId="28" fillId="0" borderId="1" xfId="6" applyNumberFormat="1" applyFont="1" applyFill="1" applyBorder="1" applyAlignment="1">
      <alignment horizontal="left" vertical="center" readingOrder="1"/>
    </xf>
    <xf numFmtId="41" fontId="63" fillId="8" borderId="1" xfId="6" applyNumberFormat="1" applyFont="1" applyFill="1" applyAlignment="1"/>
    <xf numFmtId="41" fontId="30" fillId="0" borderId="1" xfId="6" applyNumberFormat="1" applyAlignment="1"/>
    <xf numFmtId="41" fontId="34" fillId="0" borderId="1" xfId="6" applyNumberFormat="1" applyFont="1" applyAlignment="1"/>
    <xf numFmtId="168" fontId="34" fillId="0" borderId="1" xfId="15" applyNumberFormat="1" applyFont="1" applyAlignment="1">
      <alignment horizontal="left" wrapText="1"/>
    </xf>
    <xf numFmtId="0" fontId="34" fillId="0" borderId="1" xfId="6" applyNumberFormat="1" applyFont="1" applyAlignment="1">
      <alignment horizontal="left" vertical="center" readingOrder="1"/>
    </xf>
    <xf numFmtId="41" fontId="34" fillId="0" borderId="1" xfId="6" applyNumberFormat="1" applyFont="1" applyAlignment="1">
      <alignment horizontal="right" vertical="center" readingOrder="1"/>
    </xf>
    <xf numFmtId="0" fontId="86" fillId="8" borderId="1" xfId="6" applyNumberFormat="1" applyFont="1" applyFill="1" applyAlignment="1">
      <alignment horizontal="left" vertical="center" readingOrder="1"/>
    </xf>
    <xf numFmtId="41" fontId="63" fillId="0" borderId="1" xfId="21" applyNumberFormat="1" applyFont="1" applyAlignment="1">
      <alignment readingOrder="1"/>
    </xf>
    <xf numFmtId="41" fontId="45" fillId="0" borderId="1" xfId="21" applyNumberFormat="1" applyFont="1" applyAlignment="1">
      <alignment readingOrder="1"/>
    </xf>
    <xf numFmtId="165" fontId="87" fillId="0" borderId="1" xfId="21" applyFont="1" applyAlignment="1">
      <alignment readingOrder="1"/>
    </xf>
    <xf numFmtId="165" fontId="31" fillId="0" borderId="1" xfId="21" applyFont="1" applyAlignment="1">
      <alignment readingOrder="1"/>
    </xf>
    <xf numFmtId="0" fontId="35" fillId="0" borderId="1" xfId="21" applyNumberFormat="1" applyFont="1" applyAlignment="1">
      <alignment horizontal="left" vertical="center" readingOrder="1"/>
    </xf>
    <xf numFmtId="0" fontId="34" fillId="0" borderId="1" xfId="21" applyNumberFormat="1" applyFont="1" applyAlignment="1">
      <alignment horizontal="left" vertical="center" readingOrder="1"/>
    </xf>
    <xf numFmtId="0" fontId="35" fillId="0" borderId="14" xfId="21" applyNumberFormat="1" applyFont="1" applyBorder="1" applyAlignment="1">
      <alignment horizontal="left" vertical="center" readingOrder="1"/>
    </xf>
    <xf numFmtId="0" fontId="34" fillId="0" borderId="1" xfId="21" applyNumberFormat="1" applyFont="1" applyBorder="1" applyAlignment="1">
      <alignment horizontal="left" vertical="center" readingOrder="1"/>
    </xf>
    <xf numFmtId="0" fontId="59" fillId="0" borderId="1" xfId="21" applyNumberFormat="1" applyFont="1" applyBorder="1" applyAlignment="1">
      <alignment vertical="center" readingOrder="1"/>
    </xf>
    <xf numFmtId="0" fontId="34" fillId="0" borderId="2" xfId="30" applyNumberFormat="1" applyFont="1" applyFill="1" applyBorder="1" applyAlignment="1">
      <alignment horizontal="left" vertical="center" indent="1" readingOrder="1"/>
    </xf>
    <xf numFmtId="0" fontId="35" fillId="0" borderId="4" xfId="6" applyNumberFormat="1" applyFont="1" applyBorder="1" applyAlignment="1">
      <alignment horizontal="left" vertical="center" readingOrder="1"/>
    </xf>
    <xf numFmtId="0" fontId="28" fillId="0" borderId="1" xfId="6" applyNumberFormat="1" applyFont="1" applyBorder="1" applyAlignment="1">
      <alignment horizontal="left" vertical="center" readingOrder="1"/>
    </xf>
    <xf numFmtId="0" fontId="30" fillId="0" borderId="1" xfId="6" applyNumberFormat="1" applyAlignment="1"/>
    <xf numFmtId="0" fontId="35" fillId="0" borderId="1" xfId="6" applyNumberFormat="1" applyFont="1" applyFill="1" applyAlignment="1">
      <alignment horizontal="left" vertical="center" readingOrder="1"/>
    </xf>
    <xf numFmtId="0" fontId="35" fillId="0" borderId="1" xfId="6" applyNumberFormat="1" applyFont="1" applyBorder="1" applyAlignment="1">
      <alignment horizontal="left" vertical="center" readingOrder="1"/>
    </xf>
    <xf numFmtId="164" fontId="80" fillId="0" borderId="1" xfId="3" applyNumberFormat="1" applyFont="1" applyAlignment="1">
      <alignment vertical="center"/>
    </xf>
    <xf numFmtId="180" fontId="88" fillId="0" borderId="1" xfId="3" applyNumberFormat="1" applyFont="1" applyAlignment="1">
      <alignment vertical="center"/>
    </xf>
    <xf numFmtId="180" fontId="80" fillId="3" borderId="1" xfId="3" applyNumberFormat="1" applyFont="1" applyFill="1" applyAlignment="1">
      <alignment vertical="center"/>
    </xf>
    <xf numFmtId="0" fontId="71" fillId="0" borderId="0" xfId="0" applyFont="1" applyAlignment="1">
      <alignment vertical="center"/>
    </xf>
    <xf numFmtId="0" fontId="71" fillId="0" borderId="0" xfId="0" applyFont="1" applyAlignment="1">
      <alignment horizontal="left" vertical="center"/>
    </xf>
    <xf numFmtId="0" fontId="71" fillId="0" borderId="1" xfId="0" applyFont="1" applyBorder="1" applyAlignment="1">
      <alignment vertical="center"/>
    </xf>
    <xf numFmtId="41" fontId="80" fillId="0" borderId="1" xfId="30" applyNumberFormat="1" applyFont="1" applyAlignment="1">
      <alignment wrapText="1"/>
    </xf>
    <xf numFmtId="41" fontId="83" fillId="0" borderId="1" xfId="30" applyNumberFormat="1" applyFont="1" applyAlignment="1">
      <alignment wrapText="1"/>
    </xf>
    <xf numFmtId="171" fontId="28" fillId="0" borderId="11" xfId="6" applyNumberFormat="1" applyFont="1" applyBorder="1" applyAlignment="1">
      <alignment horizontal="right" wrapText="1" readingOrder="1"/>
    </xf>
    <xf numFmtId="0" fontId="29" fillId="0" borderId="1" xfId="6" applyNumberFormat="1" applyFont="1" applyBorder="1" applyAlignment="1">
      <alignment horizontal="left" vertical="center" indent="1" readingOrder="1"/>
    </xf>
    <xf numFmtId="0" fontId="39" fillId="0" borderId="11" xfId="6" applyNumberFormat="1" applyFont="1" applyBorder="1" applyAlignment="1">
      <alignment horizontal="left" wrapText="1" readingOrder="1"/>
    </xf>
    <xf numFmtId="0" fontId="69" fillId="0" borderId="11" xfId="6" applyNumberFormat="1" applyFont="1" applyBorder="1" applyAlignment="1">
      <alignment horizontal="center" wrapText="1" readingOrder="1"/>
    </xf>
    <xf numFmtId="41" fontId="29" fillId="0" borderId="1" xfId="6" applyNumberFormat="1" applyFont="1" applyAlignment="1">
      <alignment wrapText="1"/>
    </xf>
    <xf numFmtId="171" fontId="28" fillId="0" borderId="1" xfId="6" applyNumberFormat="1" applyFont="1" applyAlignment="1">
      <alignment horizontal="right" wrapText="1" readingOrder="1"/>
    </xf>
    <xf numFmtId="0" fontId="59" fillId="0" borderId="11" xfId="21" applyNumberFormat="1" applyFont="1" applyBorder="1" applyAlignment="1">
      <alignment horizontal="left" wrapText="1" readingOrder="1"/>
    </xf>
    <xf numFmtId="171" fontId="35" fillId="0" borderId="11" xfId="21" applyNumberFormat="1" applyFont="1" applyBorder="1" applyAlignment="1">
      <alignment horizontal="right" wrapText="1" readingOrder="1"/>
    </xf>
    <xf numFmtId="165" fontId="46" fillId="0" borderId="1" xfId="21" applyFont="1" applyAlignment="1">
      <alignment wrapText="1" readingOrder="1"/>
    </xf>
    <xf numFmtId="0" fontId="34" fillId="0" borderId="2" xfId="21" applyNumberFormat="1" applyFont="1" applyBorder="1" applyAlignment="1">
      <alignment horizontal="left" vertical="center" readingOrder="1"/>
    </xf>
    <xf numFmtId="171" fontId="35" fillId="0" borderId="1" xfId="6" applyNumberFormat="1" applyFont="1" applyAlignment="1">
      <alignment horizontal="right" wrapText="1" readingOrder="1"/>
    </xf>
    <xf numFmtId="41" fontId="34" fillId="0" borderId="1" xfId="6" applyNumberFormat="1" applyFont="1" applyAlignment="1">
      <alignment wrapText="1"/>
    </xf>
    <xf numFmtId="0" fontId="59" fillId="0" borderId="11" xfId="6" applyNumberFormat="1" applyFont="1" applyBorder="1" applyAlignment="1">
      <alignment horizontal="left" wrapText="1" readingOrder="1"/>
    </xf>
    <xf numFmtId="41" fontId="34" fillId="0" borderId="1" xfId="6" applyNumberFormat="1" applyFont="1">
      <alignment vertical="center"/>
    </xf>
    <xf numFmtId="168" fontId="34" fillId="0" borderId="1" xfId="15" applyNumberFormat="1" applyFont="1" applyAlignment="1">
      <alignment horizontal="left" vertical="center" wrapText="1"/>
    </xf>
    <xf numFmtId="41" fontId="35" fillId="0" borderId="1" xfId="6" applyNumberFormat="1" applyFont="1">
      <alignment vertical="center"/>
    </xf>
    <xf numFmtId="41" fontId="55" fillId="0" borderId="1" xfId="6" applyNumberFormat="1" applyFont="1">
      <alignment vertical="center"/>
    </xf>
    <xf numFmtId="41" fontId="30" fillId="0" borderId="1" xfId="6" applyNumberFormat="1">
      <alignment vertical="center"/>
    </xf>
    <xf numFmtId="0" fontId="59" fillId="0" borderId="11" xfId="30" applyNumberFormat="1" applyFont="1" applyFill="1" applyBorder="1" applyAlignment="1">
      <alignment horizontal="left" wrapText="1" readingOrder="1"/>
    </xf>
    <xf numFmtId="171" fontId="35" fillId="0" borderId="11" xfId="30" applyNumberFormat="1" applyFont="1" applyFill="1" applyBorder="1" applyAlignment="1">
      <alignment horizontal="right" wrapText="1" readingOrder="1"/>
    </xf>
    <xf numFmtId="171" fontId="35" fillId="0" borderId="1" xfId="30" applyNumberFormat="1" applyFont="1" applyFill="1" applyBorder="1" applyAlignment="1">
      <alignment horizontal="right" wrapText="1" readingOrder="1"/>
    </xf>
    <xf numFmtId="41" fontId="34" fillId="0" borderId="1" xfId="30" applyNumberFormat="1" applyFont="1" applyBorder="1" applyAlignment="1">
      <alignment wrapText="1"/>
    </xf>
    <xf numFmtId="164" fontId="90" fillId="0" borderId="1" xfId="3" applyNumberFormat="1" applyFont="1" applyAlignment="1">
      <alignment vertical="center"/>
    </xf>
    <xf numFmtId="164" fontId="91" fillId="0" borderId="1" xfId="3" applyNumberFormat="1" applyFont="1" applyAlignment="1">
      <alignment vertical="center"/>
    </xf>
    <xf numFmtId="171" fontId="84" fillId="0" borderId="15" xfId="30" applyNumberFormat="1" applyFont="1" applyFill="1" applyBorder="1" applyAlignment="1">
      <alignment horizontal="centerContinuous" vertical="center" readingOrder="1"/>
    </xf>
    <xf numFmtId="171" fontId="84" fillId="0" borderId="20" xfId="30" applyNumberFormat="1" applyFont="1" applyFill="1" applyBorder="1" applyAlignment="1">
      <alignment horizontal="right" wrapText="1" readingOrder="1"/>
    </xf>
    <xf numFmtId="43" fontId="59" fillId="0" borderId="1" xfId="30" applyNumberFormat="1" applyFont="1" applyFill="1" applyBorder="1" applyAlignment="1">
      <alignment horizontal="right"/>
    </xf>
    <xf numFmtId="41" fontId="59" fillId="0" borderId="1" xfId="30" applyNumberFormat="1" applyFont="1" applyAlignment="1">
      <alignment horizontal="right" vertical="center" readingOrder="1"/>
    </xf>
    <xf numFmtId="41" fontId="32" fillId="0" borderId="1" xfId="30" applyNumberFormat="1" applyFont="1" applyAlignment="1">
      <alignment horizontal="right" vertical="center" readingOrder="1"/>
    </xf>
    <xf numFmtId="164" fontId="92" fillId="0" borderId="1" xfId="3" applyNumberFormat="1" applyFont="1" applyAlignment="1">
      <alignment vertical="center"/>
    </xf>
    <xf numFmtId="164" fontId="93" fillId="0" borderId="1" xfId="3" applyNumberFormat="1" applyFont="1" applyAlignment="1">
      <alignment vertical="center"/>
    </xf>
    <xf numFmtId="0" fontId="29" fillId="0" borderId="1" xfId="6" applyNumberFormat="1" applyFont="1" applyBorder="1" applyAlignment="1">
      <alignment horizontal="center" vertical="center" wrapText="1" readingOrder="1"/>
    </xf>
    <xf numFmtId="0" fontId="59" fillId="0" borderId="1" xfId="30" applyNumberFormat="1" applyFont="1" applyBorder="1" applyAlignment="1">
      <alignment horizontal="left" vertical="center" indent="1" readingOrder="1"/>
    </xf>
    <xf numFmtId="0" fontId="29" fillId="0" borderId="2" xfId="6" applyNumberFormat="1" applyFont="1" applyBorder="1" applyAlignment="1">
      <alignment horizontal="left" vertical="center" indent="1" readingOrder="1"/>
    </xf>
    <xf numFmtId="164" fontId="80" fillId="3" borderId="1" xfId="3" applyNumberFormat="1" applyFont="1" applyFill="1" applyAlignment="1">
      <alignment vertical="center"/>
    </xf>
    <xf numFmtId="180" fontId="79" fillId="3" borderId="11" xfId="3" applyNumberFormat="1" applyFont="1" applyFill="1" applyBorder="1"/>
    <xf numFmtId="0" fontId="65" fillId="0" borderId="1" xfId="6" applyNumberFormat="1" applyFont="1" applyBorder="1" applyAlignment="1">
      <alignment horizontal="left" vertical="center" readingOrder="1"/>
    </xf>
    <xf numFmtId="0" fontId="97" fillId="0" borderId="0" xfId="0" applyFont="1"/>
    <xf numFmtId="0" fontId="98" fillId="0" borderId="0" xfId="0" applyFont="1" applyAlignment="1">
      <alignment vertical="center"/>
    </xf>
    <xf numFmtId="0" fontId="71" fillId="2" borderId="28" xfId="0" applyFont="1" applyFill="1" applyBorder="1" applyAlignment="1">
      <alignment vertical="center"/>
    </xf>
    <xf numFmtId="0" fontId="71" fillId="11" borderId="28" xfId="0" applyFont="1" applyFill="1" applyBorder="1" applyAlignment="1">
      <alignment vertical="center"/>
    </xf>
    <xf numFmtId="0" fontId="71" fillId="12" borderId="28" xfId="0" applyFont="1" applyFill="1" applyBorder="1" applyAlignment="1">
      <alignment vertical="center"/>
    </xf>
    <xf numFmtId="0" fontId="71" fillId="9" borderId="28" xfId="0" applyFont="1" applyFill="1" applyBorder="1" applyAlignment="1">
      <alignment vertical="center"/>
    </xf>
    <xf numFmtId="168" fontId="28" fillId="0" borderId="1" xfId="61" applyNumberFormat="1" applyFont="1" applyBorder="1" applyAlignment="1">
      <alignment horizontal="right" vertical="center" readingOrder="1"/>
    </xf>
    <xf numFmtId="168" fontId="29" fillId="0" borderId="1" xfId="61" applyNumberFormat="1" applyFont="1" applyBorder="1" applyAlignment="1">
      <alignment horizontal="right" vertical="center" readingOrder="1"/>
    </xf>
    <xf numFmtId="168" fontId="29" fillId="0" borderId="1" xfId="61" applyNumberFormat="1" applyFont="1" applyBorder="1" applyAlignment="1">
      <alignment vertical="center"/>
    </xf>
    <xf numFmtId="168" fontId="29" fillId="0" borderId="2" xfId="61" applyNumberFormat="1" applyFont="1" applyBorder="1" applyAlignment="1">
      <alignment horizontal="right" vertical="center" readingOrder="1"/>
    </xf>
    <xf numFmtId="182" fontId="28" fillId="0" borderId="11" xfId="6" applyNumberFormat="1" applyFont="1" applyBorder="1" applyAlignment="1">
      <alignment horizontal="right" wrapText="1" readingOrder="1"/>
    </xf>
    <xf numFmtId="183" fontId="28" fillId="0" borderId="11" xfId="6" applyNumberFormat="1" applyFont="1" applyBorder="1" applyAlignment="1">
      <alignment horizontal="right" wrapText="1" readingOrder="1"/>
    </xf>
    <xf numFmtId="0" fontId="39" fillId="0" borderId="1" xfId="6" applyNumberFormat="1" applyFont="1" applyAlignment="1">
      <alignment horizontal="left" vertical="center" wrapText="1" indent="1"/>
    </xf>
    <xf numFmtId="0" fontId="28" fillId="3" borderId="21" xfId="6" applyNumberFormat="1" applyFont="1" applyFill="1" applyBorder="1" applyAlignment="1">
      <alignment horizontal="left" vertical="center" readingOrder="1"/>
    </xf>
    <xf numFmtId="0" fontId="28" fillId="3" borderId="21" xfId="6" applyNumberFormat="1" applyFont="1" applyFill="1" applyBorder="1" applyAlignment="1">
      <alignment horizontal="center" vertical="center" readingOrder="1"/>
    </xf>
    <xf numFmtId="168" fontId="28" fillId="3" borderId="21" xfId="61" applyNumberFormat="1" applyFont="1" applyFill="1" applyBorder="1" applyAlignment="1">
      <alignment horizontal="right" vertical="center" readingOrder="1"/>
    </xf>
    <xf numFmtId="0" fontId="89" fillId="0" borderId="1" xfId="6" applyNumberFormat="1" applyFont="1" applyAlignment="1">
      <alignment horizontal="left" vertical="center" readingOrder="1"/>
    </xf>
    <xf numFmtId="0" fontId="89" fillId="0" borderId="1" xfId="6" applyNumberFormat="1" applyFont="1" applyAlignment="1">
      <alignment horizontal="center" vertical="center" readingOrder="1"/>
    </xf>
    <xf numFmtId="168" fontId="89" fillId="0" borderId="1" xfId="61" applyNumberFormat="1" applyFont="1" applyBorder="1" applyAlignment="1">
      <alignment horizontal="right" vertical="center" readingOrder="1"/>
    </xf>
    <xf numFmtId="168" fontId="89" fillId="0" borderId="1" xfId="61" applyNumberFormat="1" applyFont="1" applyBorder="1" applyAlignment="1">
      <alignment vertical="center"/>
    </xf>
    <xf numFmtId="41" fontId="100" fillId="10" borderId="1" xfId="6" applyNumberFormat="1" applyFont="1" applyFill="1">
      <alignment vertical="center"/>
    </xf>
    <xf numFmtId="41" fontId="89" fillId="10" borderId="1" xfId="6" applyNumberFormat="1" applyFont="1" applyFill="1">
      <alignment vertical="center"/>
    </xf>
    <xf numFmtId="41" fontId="99" fillId="10" borderId="1" xfId="6" applyNumberFormat="1" applyFont="1" applyFill="1">
      <alignment vertical="center"/>
    </xf>
    <xf numFmtId="41" fontId="99" fillId="10" borderId="1" xfId="6" applyNumberFormat="1" applyFont="1" applyFill="1" applyBorder="1">
      <alignment vertical="center"/>
    </xf>
    <xf numFmtId="41" fontId="101" fillId="10" borderId="1" xfId="6" applyNumberFormat="1" applyFont="1" applyFill="1" applyAlignment="1">
      <alignment horizontal="center"/>
    </xf>
    <xf numFmtId="41" fontId="99" fillId="10" borderId="1" xfId="6" applyNumberFormat="1" applyFont="1" applyFill="1" applyAlignment="1"/>
    <xf numFmtId="168" fontId="29" fillId="0" borderId="1" xfId="61" applyNumberFormat="1" applyFont="1" applyFill="1" applyBorder="1" applyAlignment="1">
      <alignment vertical="center"/>
    </xf>
    <xf numFmtId="0" fontId="39" fillId="0" borderId="1" xfId="6" applyNumberFormat="1" applyFont="1" applyBorder="1" applyAlignment="1">
      <alignment horizontal="left" vertical="center" wrapText="1" indent="1"/>
    </xf>
    <xf numFmtId="0" fontId="28" fillId="0" borderId="1" xfId="6" applyNumberFormat="1" applyFont="1" applyFill="1" applyBorder="1" applyAlignment="1">
      <alignment horizontal="center" vertical="center" readingOrder="1"/>
    </xf>
    <xf numFmtId="168" fontId="28" fillId="0" borderId="1" xfId="61" applyNumberFormat="1" applyFont="1" applyFill="1" applyBorder="1" applyAlignment="1">
      <alignment horizontal="right" vertical="center" readingOrder="1"/>
    </xf>
    <xf numFmtId="168" fontId="35" fillId="0" borderId="1" xfId="61" applyNumberFormat="1" applyFont="1" applyFill="1" applyBorder="1" applyAlignment="1">
      <alignment horizontal="right" vertical="center" readingOrder="1"/>
    </xf>
    <xf numFmtId="168" fontId="31" fillId="0" borderId="1" xfId="61" applyNumberFormat="1" applyFont="1" applyBorder="1" applyAlignment="1">
      <alignment readingOrder="1"/>
    </xf>
    <xf numFmtId="168" fontId="35" fillId="0" borderId="4" xfId="61" applyNumberFormat="1" applyFont="1" applyFill="1" applyBorder="1" applyAlignment="1">
      <alignment horizontal="right" vertical="center" readingOrder="1"/>
    </xf>
    <xf numFmtId="168" fontId="35" fillId="0" borderId="1" xfId="61" applyNumberFormat="1" applyFont="1" applyBorder="1" applyAlignment="1">
      <alignment horizontal="right" vertical="center" readingOrder="1"/>
    </xf>
    <xf numFmtId="168" fontId="34" fillId="0" borderId="12" xfId="61" applyNumberFormat="1" applyFont="1" applyBorder="1" applyAlignment="1">
      <alignment horizontal="right" vertical="center" readingOrder="1"/>
    </xf>
    <xf numFmtId="168" fontId="35" fillId="0" borderId="2" xfId="61" applyNumberFormat="1" applyFont="1" applyFill="1" applyBorder="1" applyAlignment="1">
      <alignment horizontal="right" vertical="center" readingOrder="1"/>
    </xf>
    <xf numFmtId="168" fontId="34" fillId="0" borderId="12" xfId="61" applyNumberFormat="1" applyFont="1" applyFill="1" applyBorder="1" applyAlignment="1">
      <alignment horizontal="right" vertical="center" readingOrder="1"/>
    </xf>
    <xf numFmtId="168" fontId="34" fillId="0" borderId="1" xfId="61" applyNumberFormat="1" applyFont="1" applyBorder="1" applyAlignment="1">
      <alignment horizontal="right" vertical="center" readingOrder="1"/>
    </xf>
    <xf numFmtId="0" fontId="59" fillId="0" borderId="1" xfId="21" applyNumberFormat="1" applyFont="1" applyAlignment="1">
      <alignment readingOrder="1"/>
    </xf>
    <xf numFmtId="168" fontId="59" fillId="0" borderId="1" xfId="61" applyNumberFormat="1" applyFont="1" applyBorder="1" applyAlignment="1">
      <alignment readingOrder="1"/>
    </xf>
    <xf numFmtId="168" fontId="37" fillId="0" borderId="1" xfId="61" applyNumberFormat="1" applyFont="1" applyBorder="1" applyAlignment="1">
      <alignment readingOrder="1"/>
    </xf>
    <xf numFmtId="168" fontId="34" fillId="0" borderId="1" xfId="61" applyNumberFormat="1" applyFont="1" applyBorder="1" applyAlignment="1">
      <alignment readingOrder="1"/>
    </xf>
    <xf numFmtId="169" fontId="84" fillId="0" borderId="1" xfId="21" applyNumberFormat="1" applyFont="1" applyBorder="1" applyAlignment="1">
      <alignment horizontal="right" vertical="center" readingOrder="1"/>
    </xf>
    <xf numFmtId="165" fontId="34" fillId="0" borderId="1" xfId="21" applyFont="1" applyBorder="1" applyAlignment="1">
      <alignment readingOrder="1"/>
    </xf>
    <xf numFmtId="165" fontId="41" fillId="0" borderId="1" xfId="21" applyFont="1" applyBorder="1" applyAlignment="1">
      <alignment readingOrder="1"/>
    </xf>
    <xf numFmtId="169" fontId="59" fillId="0" borderId="1" xfId="21" applyNumberFormat="1" applyFont="1" applyBorder="1" applyAlignment="1">
      <alignment horizontal="right" vertical="center" readingOrder="1"/>
    </xf>
    <xf numFmtId="168" fontId="35" fillId="3" borderId="21" xfId="61" applyNumberFormat="1" applyFont="1" applyFill="1" applyBorder="1" applyAlignment="1">
      <alignment horizontal="right" vertical="center" readingOrder="1"/>
    </xf>
    <xf numFmtId="0" fontId="35" fillId="3" borderId="21" xfId="21" applyNumberFormat="1" applyFont="1" applyFill="1" applyBorder="1" applyAlignment="1">
      <alignment horizontal="left" vertical="center" readingOrder="1"/>
    </xf>
    <xf numFmtId="168" fontId="34" fillId="0" borderId="1" xfId="61" applyNumberFormat="1" applyFont="1" applyBorder="1" applyAlignment="1">
      <alignment horizontal="left" vertical="center" wrapText="1"/>
    </xf>
    <xf numFmtId="168" fontId="34" fillId="0" borderId="1" xfId="61" applyNumberFormat="1" applyFont="1" applyBorder="1" applyAlignment="1">
      <alignment horizontal="right" vertical="center"/>
    </xf>
    <xf numFmtId="168" fontId="35" fillId="0" borderId="4" xfId="61" applyNumberFormat="1" applyFont="1" applyBorder="1" applyAlignment="1">
      <alignment horizontal="right" vertical="center" readingOrder="1"/>
    </xf>
    <xf numFmtId="168" fontId="35" fillId="0" borderId="1" xfId="61" applyNumberFormat="1" applyFont="1" applyBorder="1" applyAlignment="1">
      <alignment horizontal="left" vertical="center" wrapText="1"/>
    </xf>
    <xf numFmtId="169" fontId="59" fillId="0" borderId="1" xfId="61" applyNumberFormat="1" applyFont="1" applyBorder="1" applyAlignment="1">
      <alignment horizontal="right" vertical="center" readingOrder="1"/>
    </xf>
    <xf numFmtId="169" fontId="84" fillId="0" borderId="4" xfId="61" applyNumberFormat="1" applyFont="1" applyBorder="1" applyAlignment="1">
      <alignment horizontal="right" vertical="center" readingOrder="1"/>
    </xf>
    <xf numFmtId="0" fontId="35" fillId="3" borderId="21" xfId="6" applyNumberFormat="1" applyFont="1" applyFill="1" applyBorder="1">
      <alignment vertical="center"/>
    </xf>
    <xf numFmtId="168" fontId="35" fillId="3" borderId="21" xfId="61" applyNumberFormat="1" applyFont="1" applyFill="1" applyBorder="1" applyAlignment="1">
      <alignment horizontal="center" vertical="center"/>
    </xf>
    <xf numFmtId="168" fontId="89" fillId="0" borderId="1" xfId="61" applyNumberFormat="1" applyFont="1" applyBorder="1" applyAlignment="1">
      <alignment horizontal="right" vertical="center"/>
    </xf>
    <xf numFmtId="168" fontId="99" fillId="0" borderId="1" xfId="61" applyNumberFormat="1" applyFont="1" applyBorder="1" applyAlignment="1">
      <alignment horizontal="left" vertical="center" wrapText="1"/>
    </xf>
    <xf numFmtId="0" fontId="89" fillId="0" borderId="4" xfId="6" applyNumberFormat="1" applyFont="1" applyBorder="1" applyAlignment="1">
      <alignment horizontal="left" vertical="center" readingOrder="1"/>
    </xf>
    <xf numFmtId="0" fontId="89" fillId="10" borderId="21" xfId="6" applyNumberFormat="1" applyFont="1" applyFill="1" applyBorder="1">
      <alignment vertical="center"/>
    </xf>
    <xf numFmtId="168" fontId="89" fillId="10" borderId="21" xfId="61" applyNumberFormat="1" applyFont="1" applyFill="1" applyBorder="1" applyAlignment="1">
      <alignment horizontal="center" vertical="center"/>
    </xf>
    <xf numFmtId="183" fontId="28" fillId="0" borderId="11" xfId="6" applyNumberFormat="1" applyFont="1" applyBorder="1" applyAlignment="1">
      <alignment horizontal="right" vertical="center" wrapText="1" readingOrder="1"/>
    </xf>
    <xf numFmtId="182" fontId="28" fillId="0" borderId="11" xfId="6" applyNumberFormat="1" applyFont="1" applyBorder="1" applyAlignment="1">
      <alignment horizontal="right" vertical="center" wrapText="1" readingOrder="1"/>
    </xf>
    <xf numFmtId="0" fontId="59" fillId="0" borderId="11" xfId="30" applyNumberFormat="1" applyFont="1" applyBorder="1" applyAlignment="1">
      <alignment horizontal="left" vertical="center" wrapText="1" readingOrder="1"/>
    </xf>
    <xf numFmtId="168" fontId="34" fillId="0" borderId="2" xfId="61" applyNumberFormat="1" applyFont="1" applyBorder="1" applyAlignment="1">
      <alignment horizontal="right" vertical="center" readingOrder="1"/>
    </xf>
    <xf numFmtId="168" fontId="35" fillId="0" borderId="1" xfId="61" applyNumberFormat="1" applyFont="1" applyBorder="1" applyAlignment="1">
      <alignment vertical="center" readingOrder="1"/>
    </xf>
    <xf numFmtId="0" fontId="105" fillId="0" borderId="1" xfId="30" applyNumberFormat="1" applyFont="1" applyFill="1" applyBorder="1" applyAlignment="1">
      <alignment horizontal="centerContinuous" vertical="center" readingOrder="1"/>
    </xf>
    <xf numFmtId="0" fontId="35" fillId="3" borderId="21" xfId="30" applyNumberFormat="1" applyFont="1" applyFill="1" applyBorder="1" applyAlignment="1">
      <alignment horizontal="left" vertical="center" readingOrder="1"/>
    </xf>
    <xf numFmtId="171" fontId="35" fillId="10" borderId="1" xfId="30" applyNumberFormat="1" applyFont="1" applyFill="1" applyBorder="1" applyAlignment="1">
      <alignment horizontal="right" vertical="center" readingOrder="1"/>
    </xf>
    <xf numFmtId="171" fontId="84" fillId="10" borderId="24" xfId="30" applyNumberFormat="1" applyFont="1" applyFill="1" applyBorder="1" applyAlignment="1">
      <alignment horizontal="right" vertical="center" readingOrder="1"/>
    </xf>
    <xf numFmtId="171" fontId="84" fillId="10" borderId="1" xfId="30" applyNumberFormat="1" applyFont="1" applyFill="1" applyBorder="1" applyAlignment="1">
      <alignment horizontal="right" vertical="center" readingOrder="1"/>
    </xf>
    <xf numFmtId="0" fontId="89" fillId="0" borderId="1" xfId="30" applyNumberFormat="1" applyFont="1" applyFill="1" applyAlignment="1">
      <alignment horizontal="left" vertical="center" readingOrder="1"/>
    </xf>
    <xf numFmtId="172" fontId="89" fillId="0" borderId="1" xfId="30" applyNumberFormat="1" applyFont="1" applyFill="1" applyBorder="1" applyAlignment="1">
      <alignment horizontal="right" vertical="center"/>
    </xf>
    <xf numFmtId="41" fontId="89" fillId="0" borderId="1" xfId="30" applyNumberFormat="1" applyFont="1" applyAlignment="1"/>
    <xf numFmtId="0" fontId="89" fillId="0" borderId="1" xfId="30" applyNumberFormat="1" applyFont="1" applyAlignment="1">
      <alignment horizontal="left" vertical="center" readingOrder="1"/>
    </xf>
    <xf numFmtId="41" fontId="34" fillId="3" borderId="1" xfId="30" applyNumberFormat="1" applyFont="1" applyFill="1" applyAlignment="1">
      <alignment horizontal="left" vertical="center"/>
    </xf>
    <xf numFmtId="168" fontId="59" fillId="0" borderId="1" xfId="61" applyNumberFormat="1" applyFont="1" applyBorder="1" applyAlignment="1">
      <alignment horizontal="right" vertical="center" readingOrder="1"/>
    </xf>
    <xf numFmtId="0" fontId="59" fillId="0" borderId="1" xfId="30" applyNumberFormat="1" applyFont="1" applyFill="1" applyAlignment="1">
      <alignment horizontal="left" vertical="center" indent="1" readingOrder="1"/>
    </xf>
    <xf numFmtId="0" fontId="27" fillId="0" borderId="1" xfId="6" applyNumberFormat="1" applyFont="1" applyAlignment="1">
      <alignment horizontal="center" vertical="center" wrapText="1" readingOrder="1"/>
    </xf>
    <xf numFmtId="41" fontId="45" fillId="0" borderId="1" xfId="6" applyNumberFormat="1" applyFont="1" applyAlignment="1">
      <alignment horizontal="center" vertical="center"/>
    </xf>
    <xf numFmtId="41" fontId="45" fillId="0" borderId="1" xfId="6" applyNumberFormat="1" applyFont="1">
      <alignment vertical="center"/>
    </xf>
    <xf numFmtId="41" fontId="37" fillId="0" borderId="1" xfId="6" applyNumberFormat="1" applyFont="1">
      <alignment vertical="center"/>
    </xf>
    <xf numFmtId="165" fontId="45" fillId="0" borderId="1" xfId="6" applyFont="1">
      <alignment vertical="center"/>
    </xf>
    <xf numFmtId="41" fontId="45" fillId="0" borderId="1" xfId="6" applyNumberFormat="1" applyFont="1" applyAlignment="1">
      <alignment horizontal="center" vertical="center" readingOrder="1"/>
    </xf>
    <xf numFmtId="0" fontId="45" fillId="0" borderId="1" xfId="6" applyNumberFormat="1" applyFont="1">
      <alignment vertical="center"/>
    </xf>
    <xf numFmtId="41" fontId="46" fillId="0" borderId="1" xfId="6" applyNumberFormat="1" applyFont="1">
      <alignment vertical="center"/>
    </xf>
    <xf numFmtId="49" fontId="28" fillId="0" borderId="4" xfId="6" applyNumberFormat="1" applyFont="1" applyBorder="1" applyAlignment="1">
      <alignment horizontal="center" vertical="center" readingOrder="1"/>
    </xf>
    <xf numFmtId="168" fontId="28" fillId="0" borderId="4" xfId="61" applyNumberFormat="1" applyFont="1" applyBorder="1" applyAlignment="1">
      <alignment vertical="center" readingOrder="1"/>
    </xf>
    <xf numFmtId="41" fontId="45" fillId="5" borderId="1" xfId="6" applyNumberFormat="1" applyFont="1" applyFill="1">
      <alignment vertical="center"/>
    </xf>
    <xf numFmtId="41" fontId="94" fillId="0" borderId="1" xfId="6" applyNumberFormat="1" applyFont="1" applyFill="1" applyAlignment="1">
      <alignment horizontal="center"/>
    </xf>
    <xf numFmtId="41" fontId="34" fillId="0" borderId="1" xfId="6" applyNumberFormat="1" applyFont="1" applyFill="1" applyAlignment="1"/>
    <xf numFmtId="41" fontId="88" fillId="0" borderId="1" xfId="6" applyNumberFormat="1" applyFont="1" applyFill="1" applyAlignment="1">
      <alignment horizontal="centerContinuous"/>
    </xf>
    <xf numFmtId="0" fontId="89" fillId="0" borderId="1" xfId="6" applyNumberFormat="1" applyFont="1" applyBorder="1" applyAlignment="1">
      <alignment horizontal="left" vertical="center" readingOrder="1"/>
    </xf>
    <xf numFmtId="0" fontId="101" fillId="0" borderId="1" xfId="6" applyNumberFormat="1" applyFont="1" applyBorder="1" applyAlignment="1">
      <alignment horizontal="left" vertical="center" readingOrder="1"/>
    </xf>
    <xf numFmtId="168" fontId="35" fillId="3" borderId="21" xfId="61" applyNumberFormat="1" applyFont="1" applyFill="1" applyBorder="1" applyAlignment="1">
      <alignment vertical="center" readingOrder="1"/>
    </xf>
    <xf numFmtId="168" fontId="71" fillId="0" borderId="0" xfId="61" applyNumberFormat="1" applyFont="1"/>
    <xf numFmtId="0" fontId="51" fillId="0" borderId="1" xfId="30" applyNumberFormat="1" applyFont="1">
      <alignment vertical="center"/>
    </xf>
    <xf numFmtId="41" fontId="51" fillId="0" borderId="1" xfId="30" applyNumberFormat="1" applyFont="1">
      <alignment vertical="center"/>
    </xf>
    <xf numFmtId="41" fontId="59" fillId="0" borderId="1" xfId="30" applyNumberFormat="1" applyFont="1" applyBorder="1" applyAlignment="1">
      <alignment horizontal="right" vertical="center" readingOrder="1"/>
    </xf>
    <xf numFmtId="41" fontId="59" fillId="6" borderId="1" xfId="30" applyNumberFormat="1" applyFont="1" applyFill="1" applyBorder="1" applyAlignment="1">
      <alignment horizontal="center"/>
    </xf>
    <xf numFmtId="41" fontId="59" fillId="0" borderId="1" xfId="30" applyNumberFormat="1" applyFont="1" applyFill="1" applyBorder="1" applyAlignment="1">
      <alignment horizontal="center"/>
    </xf>
    <xf numFmtId="0" fontId="71" fillId="13" borderId="1" xfId="0" applyFont="1" applyFill="1" applyBorder="1" applyAlignment="1">
      <alignment vertical="center"/>
    </xf>
    <xf numFmtId="41" fontId="28" fillId="0" borderId="1" xfId="6" applyNumberFormat="1" applyFont="1" applyBorder="1">
      <alignment vertical="center"/>
    </xf>
    <xf numFmtId="41" fontId="99" fillId="10" borderId="1" xfId="6" applyNumberFormat="1" applyFont="1" applyFill="1" applyAlignment="1">
      <alignment wrapText="1"/>
    </xf>
    <xf numFmtId="41" fontId="35" fillId="0" borderId="1" xfId="6" applyNumberFormat="1" applyFont="1" applyAlignment="1">
      <alignment wrapText="1"/>
    </xf>
    <xf numFmtId="41" fontId="34" fillId="0" borderId="1" xfId="6" applyNumberFormat="1" applyFont="1" applyBorder="1">
      <alignment vertical="center"/>
    </xf>
    <xf numFmtId="169" fontId="39" fillId="0" borderId="1" xfId="34" applyNumberFormat="1" applyFont="1" applyBorder="1" applyAlignment="1">
      <alignment horizontal="right" vertical="center" readingOrder="1"/>
    </xf>
    <xf numFmtId="41" fontId="35" fillId="5" borderId="1" xfId="30" applyNumberFormat="1" applyFont="1" applyFill="1" applyBorder="1" applyAlignment="1">
      <alignment horizontal="left" wrapText="1"/>
    </xf>
    <xf numFmtId="41" fontId="35" fillId="3" borderId="1" xfId="30" applyNumberFormat="1" applyFont="1" applyFill="1" applyBorder="1" applyAlignment="1">
      <alignment horizontal="left" vertical="center"/>
    </xf>
    <xf numFmtId="165" fontId="34" fillId="3" borderId="1" xfId="30" applyFont="1" applyFill="1" applyAlignment="1"/>
    <xf numFmtId="41" fontId="35" fillId="3" borderId="1" xfId="30" applyNumberFormat="1" applyFont="1" applyFill="1" applyAlignment="1">
      <alignment horizontal="left" vertical="center"/>
    </xf>
    <xf numFmtId="41" fontId="34" fillId="3" borderId="1" xfId="30" applyNumberFormat="1" applyFont="1" applyFill="1" applyBorder="1" applyAlignment="1">
      <alignment horizontal="left" vertical="center"/>
    </xf>
    <xf numFmtId="41" fontId="34" fillId="0" borderId="1" xfId="30" applyNumberFormat="1" applyFont="1" applyFill="1" applyAlignment="1">
      <alignment horizontal="left" vertical="center"/>
    </xf>
    <xf numFmtId="41" fontId="34" fillId="0" borderId="1" xfId="30" applyNumberFormat="1" applyFont="1" applyAlignment="1">
      <alignment horizontal="left" vertical="center"/>
    </xf>
    <xf numFmtId="41" fontId="59" fillId="0" borderId="1" xfId="30" applyNumberFormat="1" applyFont="1" applyAlignment="1">
      <alignment horizontal="left" vertical="center"/>
    </xf>
    <xf numFmtId="168" fontId="28" fillId="0" borderId="2" xfId="61" applyNumberFormat="1" applyFont="1" applyBorder="1" applyAlignment="1">
      <alignment horizontal="right" vertical="center" readingOrder="1"/>
    </xf>
    <xf numFmtId="0" fontId="97" fillId="0" borderId="0" xfId="0" applyFont="1" applyAlignment="1">
      <alignment horizontal="centerContinuous" vertical="center"/>
    </xf>
    <xf numFmtId="0" fontId="97" fillId="0" borderId="0" xfId="0" applyFont="1" applyAlignment="1">
      <alignment vertical="center"/>
    </xf>
    <xf numFmtId="0" fontId="0" fillId="0" borderId="0" xfId="0" applyAlignment="1">
      <alignment vertical="center"/>
    </xf>
    <xf numFmtId="0" fontId="71" fillId="10" borderId="27" xfId="0" applyFont="1" applyFill="1" applyBorder="1" applyAlignment="1">
      <alignment vertical="center"/>
    </xf>
    <xf numFmtId="0" fontId="96" fillId="0" borderId="0" xfId="0" applyFont="1" applyAlignment="1">
      <alignment horizontal="left" vertical="center"/>
    </xf>
    <xf numFmtId="0" fontId="96" fillId="10" borderId="27" xfId="0" applyFont="1" applyFill="1" applyBorder="1" applyAlignment="1">
      <alignment horizontal="center" vertical="center"/>
    </xf>
    <xf numFmtId="0" fontId="96" fillId="0" borderId="1" xfId="0" applyFont="1" applyBorder="1" applyAlignment="1">
      <alignment horizontal="center" vertical="center"/>
    </xf>
    <xf numFmtId="181" fontId="96" fillId="10" borderId="27" xfId="0" applyNumberFormat="1" applyFont="1" applyFill="1" applyBorder="1" applyAlignment="1">
      <alignment horizontal="center" vertical="center"/>
    </xf>
    <xf numFmtId="0" fontId="65" fillId="0" borderId="0" xfId="0" applyFont="1" applyAlignment="1">
      <alignment vertical="center"/>
    </xf>
    <xf numFmtId="181" fontId="34" fillId="0" borderId="27" xfId="0" applyNumberFormat="1" applyFont="1" applyBorder="1" applyAlignment="1">
      <alignment horizontal="center" vertical="center"/>
    </xf>
    <xf numFmtId="184" fontId="59" fillId="0" borderId="27" xfId="0" applyNumberFormat="1" applyFont="1" applyFill="1" applyBorder="1" applyAlignment="1">
      <alignment horizontal="center" vertical="center"/>
    </xf>
    <xf numFmtId="181" fontId="22" fillId="0" borderId="1" xfId="3" applyNumberFormat="1" applyFont="1" applyAlignment="1">
      <alignment horizontal="center" vertical="center"/>
    </xf>
    <xf numFmtId="0" fontId="81" fillId="0" borderId="11" xfId="0" applyFont="1" applyBorder="1"/>
    <xf numFmtId="14" fontId="81" fillId="0" borderId="11" xfId="0" applyNumberFormat="1" applyFont="1" applyBorder="1"/>
    <xf numFmtId="0" fontId="89" fillId="0" borderId="1" xfId="30" applyNumberFormat="1" applyFont="1" applyBorder="1" applyAlignment="1">
      <alignment horizontal="left" vertical="center" readingOrder="1"/>
    </xf>
    <xf numFmtId="41" fontId="89" fillId="0" borderId="1" xfId="6" applyNumberFormat="1" applyFont="1" applyBorder="1">
      <alignment vertical="center"/>
    </xf>
    <xf numFmtId="0" fontId="82" fillId="0" borderId="1" xfId="30" applyNumberFormat="1" applyFont="1" applyBorder="1" applyAlignment="1">
      <alignment horizontal="left" vertical="center" readingOrder="1"/>
    </xf>
    <xf numFmtId="0" fontId="107" fillId="0" borderId="1" xfId="6" applyNumberFormat="1" applyFont="1" applyAlignment="1">
      <alignment horizontal="left" vertical="center" readingOrder="1"/>
    </xf>
    <xf numFmtId="165" fontId="87" fillId="0" borderId="1" xfId="21" applyFont="1" applyAlignment="1">
      <alignment vertical="center" readingOrder="1"/>
    </xf>
    <xf numFmtId="168" fontId="31" fillId="0" borderId="1" xfId="61" applyNumberFormat="1" applyFont="1" applyBorder="1" applyAlignment="1">
      <alignment vertical="center" readingOrder="1"/>
    </xf>
    <xf numFmtId="165" fontId="31" fillId="0" borderId="1" xfId="21" applyFont="1" applyAlignment="1">
      <alignment vertical="center" readingOrder="1"/>
    </xf>
    <xf numFmtId="0" fontId="35" fillId="0" borderId="1" xfId="21" applyNumberFormat="1" applyFont="1" applyBorder="1" applyAlignment="1">
      <alignment horizontal="left" vertical="center" readingOrder="1"/>
    </xf>
    <xf numFmtId="0" fontId="34" fillId="0" borderId="2" xfId="6" applyNumberFormat="1" applyFont="1" applyBorder="1" applyAlignment="1">
      <alignment horizontal="left" vertical="center" readingOrder="1"/>
    </xf>
    <xf numFmtId="168" fontId="34" fillId="0" borderId="2" xfId="61" applyNumberFormat="1" applyFont="1" applyBorder="1" applyAlignment="1">
      <alignment horizontal="right" vertical="center"/>
    </xf>
    <xf numFmtId="41" fontId="99" fillId="10" borderId="1" xfId="6" applyNumberFormat="1" applyFont="1" applyFill="1" applyBorder="1" applyAlignment="1"/>
    <xf numFmtId="41" fontId="35" fillId="0" borderId="1" xfId="6" applyNumberFormat="1" applyFont="1" applyBorder="1">
      <alignment vertical="center"/>
    </xf>
    <xf numFmtId="41" fontId="48" fillId="0" borderId="1" xfId="6" applyNumberFormat="1" applyFont="1" applyBorder="1">
      <alignment vertical="center"/>
    </xf>
    <xf numFmtId="168" fontId="34" fillId="0" borderId="1" xfId="34" applyNumberFormat="1" applyFont="1" applyFill="1" applyBorder="1" applyAlignment="1">
      <alignment horizontal="right" vertical="center" readingOrder="1"/>
    </xf>
    <xf numFmtId="169" fontId="59" fillId="0" borderId="1" xfId="34" applyNumberFormat="1" applyFont="1" applyFill="1" applyBorder="1" applyAlignment="1">
      <alignment horizontal="right" vertical="center" readingOrder="1"/>
    </xf>
    <xf numFmtId="168" fontId="35" fillId="3" borderId="21" xfId="34" applyNumberFormat="1" applyFont="1" applyFill="1" applyBorder="1" applyAlignment="1">
      <alignment horizontal="right" vertical="center" readingOrder="1"/>
    </xf>
    <xf numFmtId="164" fontId="109" fillId="0" borderId="1" xfId="3" applyNumberFormat="1" applyFont="1" applyAlignment="1">
      <alignment vertical="center"/>
    </xf>
    <xf numFmtId="0" fontId="110" fillId="0" borderId="0" xfId="0" applyFont="1"/>
    <xf numFmtId="0" fontId="35" fillId="0" borderId="1" xfId="6" applyNumberFormat="1" applyFont="1" applyAlignment="1">
      <alignment horizontal="left" vertical="center" readingOrder="1"/>
    </xf>
    <xf numFmtId="41" fontId="89" fillId="10" borderId="1" xfId="6" applyNumberFormat="1" applyFont="1" applyFill="1" applyAlignment="1"/>
    <xf numFmtId="41" fontId="89" fillId="10" borderId="1" xfId="6" applyNumberFormat="1" applyFont="1" applyFill="1" applyBorder="1" applyAlignment="1"/>
    <xf numFmtId="168" fontId="89" fillId="10" borderId="21" xfId="34" applyNumberFormat="1" applyFont="1" applyFill="1" applyBorder="1" applyAlignment="1">
      <alignment horizontal="center" vertical="center"/>
    </xf>
    <xf numFmtId="0" fontId="35" fillId="0" borderId="1" xfId="21" applyNumberFormat="1" applyFont="1" applyAlignment="1">
      <alignment readingOrder="1"/>
    </xf>
    <xf numFmtId="0" fontId="34" fillId="0" borderId="1" xfId="21" applyNumberFormat="1" applyFont="1" applyBorder="1" applyAlignment="1">
      <alignment readingOrder="1"/>
    </xf>
    <xf numFmtId="0" fontId="34" fillId="0" borderId="2" xfId="21" applyNumberFormat="1" applyFont="1" applyBorder="1" applyAlignment="1">
      <alignment readingOrder="1"/>
    </xf>
    <xf numFmtId="0" fontId="35" fillId="0" borderId="1" xfId="21" applyNumberFormat="1" applyFont="1" applyAlignment="1">
      <alignment vertical="center" readingOrder="1"/>
    </xf>
    <xf numFmtId="0" fontId="29" fillId="0" borderId="1" xfId="6" applyNumberFormat="1" applyFont="1" applyFill="1" applyBorder="1" applyAlignment="1">
      <alignment horizontal="left" vertical="center" readingOrder="1"/>
    </xf>
    <xf numFmtId="0" fontId="29" fillId="0" borderId="2" xfId="6" applyNumberFormat="1" applyFont="1" applyFill="1" applyBorder="1" applyAlignment="1">
      <alignment horizontal="left" vertical="center" readingOrder="1"/>
    </xf>
    <xf numFmtId="168" fontId="29" fillId="0" borderId="1" xfId="34" applyNumberFormat="1" applyFont="1" applyBorder="1" applyAlignment="1">
      <alignment horizontal="right" vertical="center" readingOrder="1"/>
    </xf>
    <xf numFmtId="168" fontId="29" fillId="0" borderId="2" xfId="34" applyNumberFormat="1" applyFont="1" applyBorder="1" applyAlignment="1">
      <alignment horizontal="right" vertical="center" readingOrder="1"/>
    </xf>
    <xf numFmtId="168" fontId="28" fillId="3" borderId="21" xfId="34" applyNumberFormat="1" applyFont="1" applyFill="1" applyBorder="1" applyAlignment="1">
      <alignment horizontal="right" vertical="center" readingOrder="1"/>
    </xf>
    <xf numFmtId="168" fontId="89" fillId="0" borderId="1" xfId="34" applyNumberFormat="1" applyFont="1" applyBorder="1" applyAlignment="1">
      <alignment horizontal="right" vertical="center" readingOrder="1"/>
    </xf>
    <xf numFmtId="0" fontId="29" fillId="0" borderId="1" xfId="6" applyNumberFormat="1" applyFont="1" applyFill="1" applyAlignment="1">
      <alignment horizontal="center" vertical="center" readingOrder="1"/>
    </xf>
    <xf numFmtId="176" fontId="99" fillId="10" borderId="1" xfId="6" applyNumberFormat="1" applyFont="1" applyFill="1">
      <alignment vertical="center"/>
    </xf>
    <xf numFmtId="168" fontId="29" fillId="0" borderId="2" xfId="61" applyNumberFormat="1" applyFont="1" applyFill="1" applyBorder="1" applyAlignment="1">
      <alignment horizontal="right" vertical="center" readingOrder="1"/>
    </xf>
    <xf numFmtId="168" fontId="29" fillId="9" borderId="1" xfId="61" applyNumberFormat="1" applyFont="1" applyFill="1" applyBorder="1" applyAlignment="1">
      <alignment horizontal="right" vertical="center" readingOrder="1"/>
    </xf>
    <xf numFmtId="41" fontId="39" fillId="0" borderId="1" xfId="6" applyNumberFormat="1" applyFont="1" applyBorder="1">
      <alignment vertical="center"/>
    </xf>
    <xf numFmtId="0" fontId="111" fillId="0" borderId="1" xfId="80" applyFont="1" applyAlignment="1">
      <alignment horizontal="left" vertical="center"/>
    </xf>
    <xf numFmtId="168" fontId="29" fillId="0" borderId="1" xfId="61" applyNumberFormat="1" applyFont="1" applyFill="1" applyBorder="1" applyAlignment="1">
      <alignment horizontal="right" vertical="center" readingOrder="1"/>
    </xf>
    <xf numFmtId="168" fontId="34" fillId="10" borderId="1" xfId="34" applyNumberFormat="1" applyFont="1" applyFill="1" applyBorder="1" applyAlignment="1">
      <alignment horizontal="right" vertical="center" readingOrder="1"/>
    </xf>
    <xf numFmtId="169" fontId="59" fillId="10" borderId="15" xfId="34" applyNumberFormat="1" applyFont="1" applyFill="1" applyBorder="1" applyAlignment="1">
      <alignment horizontal="right" vertical="center" readingOrder="1"/>
    </xf>
    <xf numFmtId="168" fontId="34" fillId="0" borderId="2" xfId="34" applyNumberFormat="1" applyFont="1" applyFill="1" applyBorder="1" applyAlignment="1">
      <alignment horizontal="right" vertical="center" readingOrder="1"/>
    </xf>
    <xf numFmtId="168" fontId="34" fillId="10" borderId="2" xfId="34" applyNumberFormat="1" applyFont="1" applyFill="1" applyBorder="1" applyAlignment="1">
      <alignment horizontal="right" vertical="center" readingOrder="1"/>
    </xf>
    <xf numFmtId="169" fontId="59" fillId="10" borderId="25" xfId="34" applyNumberFormat="1" applyFont="1" applyFill="1" applyBorder="1" applyAlignment="1">
      <alignment horizontal="right" vertical="center" readingOrder="1"/>
    </xf>
    <xf numFmtId="168" fontId="89" fillId="0" borderId="1" xfId="34" applyNumberFormat="1" applyFont="1" applyFill="1" applyBorder="1" applyAlignment="1">
      <alignment horizontal="right" vertical="center" readingOrder="1"/>
    </xf>
    <xf numFmtId="168" fontId="89" fillId="10" borderId="1" xfId="34" applyNumberFormat="1" applyFont="1" applyFill="1" applyBorder="1" applyAlignment="1">
      <alignment horizontal="right" vertical="center" readingOrder="1"/>
    </xf>
    <xf numFmtId="169" fontId="103" fillId="10" borderId="15" xfId="34" applyNumberFormat="1" applyFont="1" applyFill="1" applyBorder="1" applyAlignment="1">
      <alignment horizontal="right" vertical="center" readingOrder="1"/>
    </xf>
    <xf numFmtId="168" fontId="59" fillId="0" borderId="1" xfId="34" applyNumberFormat="1" applyFont="1" applyFill="1" applyBorder="1" applyAlignment="1">
      <alignment horizontal="right" vertical="center" readingOrder="1"/>
    </xf>
    <xf numFmtId="168" fontId="34" fillId="10" borderId="1" xfId="34" applyNumberFormat="1" applyFont="1" applyFill="1" applyBorder="1" applyAlignment="1">
      <alignment horizontal="right" vertical="center"/>
    </xf>
    <xf numFmtId="169" fontId="59" fillId="10" borderId="15" xfId="34" applyNumberFormat="1" applyFont="1" applyFill="1" applyBorder="1" applyAlignment="1">
      <alignment horizontal="right" vertical="center"/>
    </xf>
    <xf numFmtId="168" fontId="35" fillId="3" borderId="21" xfId="34" applyNumberFormat="1" applyFont="1" applyFill="1" applyBorder="1" applyAlignment="1">
      <alignment vertical="center" readingOrder="1"/>
    </xf>
    <xf numFmtId="168" fontId="34" fillId="10" borderId="21" xfId="34" applyNumberFormat="1" applyFont="1" applyFill="1" applyBorder="1" applyAlignment="1">
      <alignment horizontal="right" vertical="center" readingOrder="1"/>
    </xf>
    <xf numFmtId="169" fontId="84" fillId="10" borderId="22" xfId="34" applyNumberFormat="1" applyFont="1" applyFill="1" applyBorder="1" applyAlignment="1">
      <alignment vertical="center" readingOrder="1"/>
    </xf>
    <xf numFmtId="168" fontId="35" fillId="0" borderId="1" xfId="34" applyNumberFormat="1" applyFont="1" applyFill="1" applyBorder="1" applyAlignment="1">
      <alignment vertical="center" readingOrder="1"/>
    </xf>
    <xf numFmtId="169" fontId="84" fillId="10" borderId="15" xfId="34" applyNumberFormat="1" applyFont="1" applyFill="1" applyBorder="1" applyAlignment="1">
      <alignment vertical="center" readingOrder="1"/>
    </xf>
    <xf numFmtId="168" fontId="35" fillId="10" borderId="1" xfId="34" applyNumberFormat="1" applyFont="1" applyFill="1" applyBorder="1" applyAlignment="1">
      <alignment vertical="center" readingOrder="1"/>
    </xf>
    <xf numFmtId="0" fontId="35" fillId="0" borderId="1" xfId="30" applyNumberFormat="1" applyFont="1" applyFill="1" applyBorder="1" applyAlignment="1">
      <alignment horizontal="left" vertical="center" indent="1" readingOrder="1"/>
    </xf>
    <xf numFmtId="0" fontId="34" fillId="0" borderId="1" xfId="30" applyNumberFormat="1" applyFont="1" applyFill="1" applyBorder="1" applyAlignment="1">
      <alignment horizontal="left" vertical="center" indent="2" readingOrder="1"/>
    </xf>
    <xf numFmtId="0" fontId="34" fillId="0" borderId="2" xfId="30" applyNumberFormat="1" applyFont="1" applyFill="1" applyBorder="1" applyAlignment="1">
      <alignment horizontal="left" vertical="center" indent="2" readingOrder="1"/>
    </xf>
    <xf numFmtId="168" fontId="34" fillId="0" borderId="1" xfId="34" applyNumberFormat="1" applyFont="1" applyFill="1" applyBorder="1" applyAlignment="1">
      <alignment vertical="center" readingOrder="1"/>
    </xf>
    <xf numFmtId="0" fontId="35" fillId="0" borderId="1" xfId="30" applyNumberFormat="1" applyFont="1" applyFill="1" applyAlignment="1">
      <alignment horizontal="left" vertical="center" indent="1" readingOrder="1"/>
    </xf>
    <xf numFmtId="0" fontId="34" fillId="0" borderId="1" xfId="30" applyNumberFormat="1" applyFont="1" applyFill="1" applyAlignment="1">
      <alignment horizontal="left" vertical="center" indent="2" readingOrder="1"/>
    </xf>
    <xf numFmtId="0" fontId="34" fillId="0" borderId="3" xfId="30" applyNumberFormat="1" applyFont="1" applyFill="1" applyBorder="1" applyAlignment="1">
      <alignment horizontal="left" vertical="center" readingOrder="1"/>
    </xf>
    <xf numFmtId="168" fontId="34" fillId="0" borderId="3" xfId="34" applyNumberFormat="1" applyFont="1" applyFill="1" applyBorder="1" applyAlignment="1">
      <alignment horizontal="right" vertical="center" readingOrder="1"/>
    </xf>
    <xf numFmtId="168" fontId="34" fillId="10" borderId="3" xfId="34" applyNumberFormat="1" applyFont="1" applyFill="1" applyBorder="1" applyAlignment="1">
      <alignment horizontal="right" vertical="center" readingOrder="1"/>
    </xf>
    <xf numFmtId="169" fontId="59" fillId="10" borderId="29" xfId="34" applyNumberFormat="1" applyFont="1" applyFill="1" applyBorder="1" applyAlignment="1">
      <alignment horizontal="right" vertical="center" readingOrder="1"/>
    </xf>
    <xf numFmtId="168" fontId="34" fillId="0" borderId="1" xfId="34" applyNumberFormat="1" applyFont="1" applyBorder="1" applyAlignment="1">
      <alignment horizontal="right" vertical="center" readingOrder="1"/>
    </xf>
    <xf numFmtId="168" fontId="35" fillId="10" borderId="21" xfId="34" applyNumberFormat="1" applyFont="1" applyFill="1" applyBorder="1" applyAlignment="1">
      <alignment horizontal="right" vertical="center" readingOrder="1"/>
    </xf>
    <xf numFmtId="169" fontId="84" fillId="10" borderId="22" xfId="34" applyNumberFormat="1" applyFont="1" applyFill="1" applyBorder="1" applyAlignment="1">
      <alignment horizontal="right" vertical="center" readingOrder="1"/>
    </xf>
    <xf numFmtId="0" fontId="27" fillId="0" borderId="1" xfId="30" applyNumberFormat="1" applyFont="1" applyAlignment="1">
      <alignment vertical="top"/>
    </xf>
    <xf numFmtId="185" fontId="28" fillId="5" borderId="11" xfId="6" applyNumberFormat="1" applyFont="1" applyFill="1" applyBorder="1" applyAlignment="1">
      <alignment horizontal="right" wrapText="1" readingOrder="1"/>
    </xf>
    <xf numFmtId="168" fontId="89" fillId="5" borderId="1" xfId="34" applyNumberFormat="1" applyFont="1" applyFill="1" applyBorder="1" applyAlignment="1">
      <alignment horizontal="right" vertical="center" readingOrder="1"/>
    </xf>
    <xf numFmtId="168" fontId="35" fillId="5" borderId="1" xfId="34" applyNumberFormat="1" applyFont="1" applyFill="1" applyBorder="1" applyAlignment="1">
      <alignment horizontal="right" vertical="center" readingOrder="1"/>
    </xf>
    <xf numFmtId="169" fontId="39" fillId="5" borderId="1" xfId="34" applyNumberFormat="1" applyFont="1" applyFill="1" applyBorder="1" applyAlignment="1">
      <alignment horizontal="right" vertical="center" readingOrder="1"/>
    </xf>
    <xf numFmtId="168" fontId="29" fillId="5" borderId="1" xfId="34" applyNumberFormat="1" applyFont="1" applyFill="1" applyBorder="1" applyAlignment="1">
      <alignment horizontal="right" vertical="center" readingOrder="1"/>
    </xf>
    <xf numFmtId="168" fontId="34" fillId="5" borderId="1" xfId="34" applyNumberFormat="1" applyFont="1" applyFill="1" applyBorder="1" applyAlignment="1">
      <alignment horizontal="right" vertical="center" readingOrder="1"/>
    </xf>
    <xf numFmtId="168" fontId="89" fillId="5" borderId="2" xfId="34" applyNumberFormat="1" applyFont="1" applyFill="1" applyBorder="1" applyAlignment="1">
      <alignment horizontal="right" vertical="center" readingOrder="1"/>
    </xf>
    <xf numFmtId="168" fontId="34" fillId="5" borderId="2" xfId="34" applyNumberFormat="1" applyFont="1" applyFill="1" applyBorder="1" applyAlignment="1">
      <alignment horizontal="right" vertical="center" readingOrder="1"/>
    </xf>
    <xf numFmtId="169" fontId="59" fillId="10" borderId="2" xfId="34" applyNumberFormat="1" applyFont="1" applyFill="1" applyBorder="1" applyAlignment="1">
      <alignment horizontal="right" vertical="center" readingOrder="1"/>
    </xf>
    <xf numFmtId="169" fontId="59" fillId="0" borderId="1" xfId="61" applyNumberFormat="1" applyFont="1" applyFill="1" applyBorder="1" applyAlignment="1">
      <alignment horizontal="right" vertical="center" readingOrder="1"/>
    </xf>
    <xf numFmtId="168" fontId="59" fillId="0" borderId="1" xfId="61" applyNumberFormat="1" applyFont="1" applyBorder="1" applyAlignment="1">
      <alignment horizontal="left" vertical="center" wrapText="1"/>
    </xf>
    <xf numFmtId="169" fontId="84" fillId="0" borderId="1" xfId="61" applyNumberFormat="1" applyFont="1" applyBorder="1" applyAlignment="1">
      <alignment horizontal="right" vertical="center" readingOrder="1"/>
    </xf>
    <xf numFmtId="168" fontId="59" fillId="0" borderId="2" xfId="61" applyNumberFormat="1" applyFont="1" applyBorder="1" applyAlignment="1">
      <alignment horizontal="right" vertical="center" readingOrder="1"/>
    </xf>
    <xf numFmtId="169" fontId="59" fillId="0" borderId="2" xfId="61" applyNumberFormat="1" applyFont="1" applyBorder="1" applyAlignment="1">
      <alignment horizontal="right" vertical="center" readingOrder="1"/>
    </xf>
    <xf numFmtId="169" fontId="59" fillId="0" borderId="1" xfId="61" applyNumberFormat="1" applyFont="1" applyBorder="1" applyAlignment="1">
      <alignment horizontal="left" vertical="center" wrapText="1"/>
    </xf>
    <xf numFmtId="169" fontId="59" fillId="0" borderId="1" xfId="61" applyNumberFormat="1" applyFont="1" applyBorder="1" applyAlignment="1">
      <alignment horizontal="right" vertical="center"/>
    </xf>
    <xf numFmtId="169" fontId="59" fillId="0" borderId="2" xfId="61" applyNumberFormat="1" applyFont="1" applyBorder="1" applyAlignment="1">
      <alignment horizontal="right" vertical="center"/>
    </xf>
    <xf numFmtId="169" fontId="84" fillId="3" borderId="21" xfId="61" applyNumberFormat="1" applyFont="1" applyFill="1" applyBorder="1" applyAlignment="1">
      <alignment horizontal="center" vertical="center"/>
    </xf>
    <xf numFmtId="169" fontId="59" fillId="0" borderId="2" xfId="61" applyNumberFormat="1" applyFont="1" applyBorder="1" applyAlignment="1">
      <alignment horizontal="left" vertical="center" wrapText="1"/>
    </xf>
    <xf numFmtId="169" fontId="84" fillId="0" borderId="1" xfId="61" applyNumberFormat="1" applyFont="1" applyBorder="1" applyAlignment="1">
      <alignment horizontal="left" vertical="center" wrapText="1"/>
    </xf>
    <xf numFmtId="165" fontId="65" fillId="0" borderId="1" xfId="21" applyFont="1" applyBorder="1">
      <alignment vertical="center"/>
    </xf>
    <xf numFmtId="41" fontId="45" fillId="0" borderId="1" xfId="6" applyNumberFormat="1" applyFont="1" applyAlignment="1"/>
    <xf numFmtId="41" fontId="117" fillId="6" borderId="1" xfId="6" applyNumberFormat="1" applyFont="1" applyFill="1" applyAlignment="1">
      <alignment horizontal="centerContinuous"/>
    </xf>
    <xf numFmtId="183" fontId="69" fillId="6" borderId="11" xfId="6" applyNumberFormat="1" applyFont="1" applyFill="1" applyBorder="1" applyAlignment="1">
      <alignment horizontal="right" wrapText="1" readingOrder="1"/>
    </xf>
    <xf numFmtId="182" fontId="69" fillId="6" borderId="11" xfId="6" applyNumberFormat="1" applyFont="1" applyFill="1" applyBorder="1" applyAlignment="1">
      <alignment horizontal="right" wrapText="1" readingOrder="1"/>
    </xf>
    <xf numFmtId="168" fontId="89" fillId="0" borderId="4" xfId="34" applyNumberFormat="1" applyFont="1" applyBorder="1" applyAlignment="1">
      <alignment horizontal="right" vertical="center" readingOrder="1"/>
    </xf>
    <xf numFmtId="168" fontId="89" fillId="0" borderId="24" xfId="34" applyNumberFormat="1" applyFont="1" applyBorder="1" applyAlignment="1">
      <alignment horizontal="right" vertical="center" readingOrder="1"/>
    </xf>
    <xf numFmtId="169" fontId="103" fillId="6" borderId="1" xfId="34" applyNumberFormat="1" applyFont="1" applyFill="1" applyBorder="1" applyAlignment="1">
      <alignment horizontal="right" vertical="center" readingOrder="1"/>
    </xf>
    <xf numFmtId="168" fontId="34" fillId="0" borderId="1" xfId="34" applyNumberFormat="1" applyFont="1" applyBorder="1" applyAlignment="1">
      <alignment horizontal="right" vertical="center"/>
    </xf>
    <xf numFmtId="168" fontId="89" fillId="0" borderId="30" xfId="34" applyNumberFormat="1" applyFont="1" applyBorder="1" applyAlignment="1">
      <alignment horizontal="right" vertical="center" readingOrder="1"/>
    </xf>
    <xf numFmtId="168" fontId="89" fillId="0" borderId="15" xfId="34" applyNumberFormat="1" applyFont="1" applyBorder="1" applyAlignment="1">
      <alignment horizontal="right" vertical="center" readingOrder="1"/>
    </xf>
    <xf numFmtId="168" fontId="89" fillId="6" borderId="1" xfId="34" applyNumberFormat="1" applyFont="1" applyFill="1" applyBorder="1" applyAlignment="1">
      <alignment horizontal="right" vertical="center" readingOrder="1"/>
    </xf>
    <xf numFmtId="41" fontId="99" fillId="0" borderId="1" xfId="6" applyNumberFormat="1" applyFont="1" applyFill="1" applyAlignment="1"/>
    <xf numFmtId="168" fontId="34" fillId="0" borderId="15" xfId="34" applyNumberFormat="1" applyFont="1" applyFill="1" applyBorder="1" applyAlignment="1">
      <alignment horizontal="right" vertical="center" readingOrder="1"/>
    </xf>
    <xf numFmtId="169" fontId="59" fillId="6" borderId="1" xfId="34" applyNumberFormat="1" applyFont="1" applyFill="1" applyBorder="1" applyAlignment="1">
      <alignment horizontal="right" vertical="center" readingOrder="1"/>
    </xf>
    <xf numFmtId="168" fontId="34" fillId="0" borderId="1" xfId="34" applyNumberFormat="1" applyFont="1" applyFill="1" applyBorder="1" applyAlignment="1">
      <alignment horizontal="left" vertical="center" wrapText="1"/>
    </xf>
    <xf numFmtId="41" fontId="34" fillId="0" borderId="1" xfId="6" applyNumberFormat="1" applyFont="1" applyFill="1">
      <alignment vertical="center"/>
    </xf>
    <xf numFmtId="168" fontId="89" fillId="10" borderId="22" xfId="34" applyNumberFormat="1" applyFont="1" applyFill="1" applyBorder="1" applyAlignment="1">
      <alignment horizontal="center" vertical="center"/>
    </xf>
    <xf numFmtId="169" fontId="103" fillId="10" borderId="21" xfId="34" applyNumberFormat="1" applyFont="1" applyFill="1" applyBorder="1" applyAlignment="1">
      <alignment horizontal="center" vertical="center"/>
    </xf>
    <xf numFmtId="168" fontId="34" fillId="0" borderId="1" xfId="34" applyNumberFormat="1" applyFont="1" applyBorder="1" applyAlignment="1">
      <alignment horizontal="left"/>
    </xf>
    <xf numFmtId="168" fontId="34" fillId="0" borderId="1" xfId="34" applyNumberFormat="1" applyFont="1" applyBorder="1" applyAlignment="1"/>
    <xf numFmtId="41" fontId="34" fillId="0" borderId="1" xfId="34" applyNumberFormat="1" applyFont="1" applyBorder="1" applyAlignment="1">
      <alignment horizontal="left"/>
    </xf>
    <xf numFmtId="43" fontId="34" fillId="0" borderId="1" xfId="34" applyFont="1" applyBorder="1" applyAlignment="1">
      <alignment horizontal="left"/>
    </xf>
    <xf numFmtId="168" fontId="35" fillId="0" borderId="1" xfId="61" applyNumberFormat="1" applyFont="1" applyBorder="1" applyAlignment="1">
      <alignment horizontal="right" vertical="center"/>
    </xf>
    <xf numFmtId="169" fontId="84" fillId="0" borderId="1" xfId="61" applyNumberFormat="1" applyFont="1" applyBorder="1" applyAlignment="1">
      <alignment horizontal="right" vertical="center"/>
    </xf>
    <xf numFmtId="0" fontId="34" fillId="0" borderId="1" xfId="6" applyNumberFormat="1" applyFont="1" applyAlignment="1">
      <alignment horizontal="left" vertical="center" indent="1" readingOrder="1"/>
    </xf>
    <xf numFmtId="168" fontId="29" fillId="9" borderId="2" xfId="61" applyNumberFormat="1" applyFont="1" applyFill="1" applyBorder="1" applyAlignment="1">
      <alignment horizontal="right" vertical="center" readingOrder="1"/>
    </xf>
    <xf numFmtId="0" fontId="1" fillId="0" borderId="1" xfId="6" applyNumberFormat="1" applyFont="1" applyFill="1" applyAlignment="1">
      <alignment horizontal="left" vertical="center" readingOrder="1"/>
    </xf>
    <xf numFmtId="0" fontId="34" fillId="0" borderId="4" xfId="3" applyFont="1" applyBorder="1" applyAlignment="1">
      <alignment horizontal="center" vertical="top" wrapText="1"/>
    </xf>
    <xf numFmtId="0" fontId="34" fillId="0" borderId="1" xfId="3" applyFont="1" applyAlignment="1">
      <alignment horizontal="center" vertical="top" wrapText="1"/>
    </xf>
    <xf numFmtId="0" fontId="34" fillId="0" borderId="1" xfId="36" applyFont="1" applyAlignment="1">
      <alignment horizontal="left" vertical="top" wrapText="1"/>
    </xf>
  </cellXfs>
  <cellStyles count="111">
    <cellStyle name="Column Heading Left" xfId="28"/>
    <cellStyle name="Column Heading Right" xfId="27"/>
    <cellStyle name="Column Heading Right 2" xfId="31"/>
    <cellStyle name="Column Heading Right 2 2" xfId="41"/>
    <cellStyle name="Comma" xfId="61" builtinId="3"/>
    <cellStyle name="Comma 2" xfId="34"/>
    <cellStyle name="Comma 2 4 2" xfId="29"/>
    <cellStyle name="Comma 2 4 2 2" xfId="90"/>
    <cellStyle name="Comma 2 6" xfId="54"/>
    <cellStyle name="Comma 3" xfId="45"/>
    <cellStyle name="Comma 3 2" xfId="55"/>
    <cellStyle name="Comma 3 2 2" xfId="75"/>
    <cellStyle name="Comma 3 2 3" xfId="24"/>
    <cellStyle name="Comma 3 2 3 2" xfId="89"/>
    <cellStyle name="Comma 3 5" xfId="15"/>
    <cellStyle name="Comma 5" xfId="49"/>
    <cellStyle name="Comma 5 2" xfId="97"/>
    <cellStyle name="Comma 6 2" xfId="71"/>
    <cellStyle name="Comma 7" xfId="65"/>
    <cellStyle name="Currency 2" xfId="51"/>
    <cellStyle name="Currency 2 2" xfId="103"/>
    <cellStyle name="Currency 2 3" xfId="98"/>
    <cellStyle name="Currency 3" xfId="60"/>
    <cellStyle name="Currency 4 2" xfId="66"/>
    <cellStyle name="Heading 1 2" xfId="18"/>
    <cellStyle name="Hyperlink 2" xfId="17"/>
    <cellStyle name="Hyperlink 3" xfId="58"/>
    <cellStyle name="Line Item" xfId="14"/>
    <cellStyle name="Normal" xfId="0" builtinId="0"/>
    <cellStyle name="Normal 10" xfId="81"/>
    <cellStyle name="Normal 10 2" xfId="107"/>
    <cellStyle name="Normal 11" xfId="68"/>
    <cellStyle name="Normal 12" xfId="109"/>
    <cellStyle name="Normal 12 2" xfId="63"/>
    <cellStyle name="Normal 13" xfId="76"/>
    <cellStyle name="Normal 14" xfId="64"/>
    <cellStyle name="Normal 16" xfId="110"/>
    <cellStyle name="Normal 18" xfId="72"/>
    <cellStyle name="Normal 19" xfId="70"/>
    <cellStyle name="Normal 2" xfId="1"/>
    <cellStyle name="Normal 2 2" xfId="5"/>
    <cellStyle name="Normal 2 2 2 2" xfId="69"/>
    <cellStyle name="Normal 2 2 3" xfId="74"/>
    <cellStyle name="Normal 2 3" xfId="8"/>
    <cellStyle name="Normal 2 3 2" xfId="30"/>
    <cellStyle name="Normal 2 3 3" xfId="47"/>
    <cellStyle name="Normal 2 3 3 2" xfId="59"/>
    <cellStyle name="Normal 2 3 3 2 2" xfId="102"/>
    <cellStyle name="Normal 2 3 3 2 3" xfId="108"/>
    <cellStyle name="Normal 2 3 3 3" xfId="84"/>
    <cellStyle name="Normal 2 3 3 4" xfId="95"/>
    <cellStyle name="Normal 2 3 4" xfId="52"/>
    <cellStyle name="Normal 2 3 4 2" xfId="57"/>
    <cellStyle name="Normal 2 3 4 2 2" xfId="82"/>
    <cellStyle name="Normal 2 3 4 2 2 2" xfId="105"/>
    <cellStyle name="Normal 2 3 4 2 3" xfId="101"/>
    <cellStyle name="Normal 2 3 4 3" xfId="99"/>
    <cellStyle name="Normal 2 3 4 4" xfId="83"/>
    <cellStyle name="Normal 2 4" xfId="11"/>
    <cellStyle name="Normal 2 5" xfId="56"/>
    <cellStyle name="Normal 21" xfId="33"/>
    <cellStyle name="Normal 21 2" xfId="92"/>
    <cellStyle name="Normal 3" xfId="2"/>
    <cellStyle name="Normal 3 2" xfId="3"/>
    <cellStyle name="Normal 3 2 3" xfId="53"/>
    <cellStyle name="Normal 3 2 3 2" xfId="100"/>
    <cellStyle name="Normal 3 2 4" xfId="21"/>
    <cellStyle name="Normal 3 3" xfId="85"/>
    <cellStyle name="Normal 3 3 2" xfId="7"/>
    <cellStyle name="Normal 3 3 2 2" xfId="32"/>
    <cellStyle name="Normal 3 3 2 2 2" xfId="39"/>
    <cellStyle name="Normal 3 3 2 2 2 2" xfId="94"/>
    <cellStyle name="Normal 3 3 2 2 3" xfId="91"/>
    <cellStyle name="Normal 3 3 2 2 5" xfId="67"/>
    <cellStyle name="Normal 3 3 2 3" xfId="86"/>
    <cellStyle name="Normal 4" xfId="4"/>
    <cellStyle name="Normal 4 2" xfId="80"/>
    <cellStyle name="Normal 4 2 3 2" xfId="36"/>
    <cellStyle name="Normal 4 2 3 3" xfId="9"/>
    <cellStyle name="Normal 5" xfId="6"/>
    <cellStyle name="Normal 5 2 2" xfId="50"/>
    <cellStyle name="Normal 5 4 2" xfId="10"/>
    <cellStyle name="Normal 5 4 2 2" xfId="87"/>
    <cellStyle name="Normal 6" xfId="44"/>
    <cellStyle name="Normal 6 2" xfId="48"/>
    <cellStyle name="Normal 6 2 2" xfId="96"/>
    <cellStyle name="Normal 7" xfId="37"/>
    <cellStyle name="Normal 7 2" xfId="73"/>
    <cellStyle name="Normal 7 3" xfId="93"/>
    <cellStyle name="Normal 7 3 2" xfId="40"/>
    <cellStyle name="Normal 8" xfId="62"/>
    <cellStyle name="Normal 8 2" xfId="78"/>
    <cellStyle name="Normal 8 4" xfId="79"/>
    <cellStyle name="Normal 9" xfId="77"/>
    <cellStyle name="Normal 9 2" xfId="106"/>
    <cellStyle name="Normal 9 3" xfId="104"/>
    <cellStyle name="Number" xfId="20"/>
    <cellStyle name="Number 2" xfId="42"/>
    <cellStyle name="Percent 2" xfId="19"/>
    <cellStyle name="Percent 2 2" xfId="22"/>
    <cellStyle name="Percent 2 2 2 2" xfId="13"/>
    <cellStyle name="Percent 2 2 2 2 2" xfId="88"/>
    <cellStyle name="Percent 2 3" xfId="38"/>
    <cellStyle name="Percent 3" xfId="35"/>
    <cellStyle name="Percent 3 2" xfId="12"/>
    <cellStyle name="Percent 4" xfId="46"/>
    <cellStyle name="Source" xfId="23"/>
    <cellStyle name="Subtotal - Text" xfId="26"/>
    <cellStyle name="Table Title" xfId="16"/>
    <cellStyle name="Total - 000s Number" xfId="43"/>
    <cellStyle name="Total - Text" xfId="25"/>
  </cellStyles>
  <dxfs count="1">
    <dxf>
      <font>
        <color rgb="FF008000"/>
      </font>
    </dxf>
  </dxfs>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FF"/>
      <rgbColor rgb="FFCCC0D9"/>
      <rgbColor rgb="FFD6E3BC"/>
      <rgbColor rgb="FFFDE9D9"/>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CE6F1"/>
      <color rgb="FFD9D9D9"/>
      <color rgb="FFDCDCDC"/>
      <color rgb="FFEDEDED"/>
      <color rgb="FFFF0000"/>
      <color rgb="FF262261"/>
      <color rgb="FF008000"/>
      <color rgb="FFFFFF99"/>
      <color rgb="FF0000FF"/>
      <color rgb="FFBDD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4535804</xdr:colOff>
      <xdr:row>29</xdr:row>
      <xdr:rowOff>60368</xdr:rowOff>
    </xdr:from>
    <xdr:to>
      <xdr:col>2</xdr:col>
      <xdr:colOff>316230</xdr:colOff>
      <xdr:row>31</xdr:row>
      <xdr:rowOff>27185</xdr:rowOff>
    </xdr:to>
    <xdr:pic>
      <xdr:nvPicPr>
        <xdr:cNvPr id="3" name="Picture 2">
          <a:extLst>
            <a:ext uri="{FF2B5EF4-FFF2-40B4-BE49-F238E27FC236}">
              <a16:creationId xmlns:a16="http://schemas.microsoft.com/office/drawing/2014/main" xmlns="" id="{889AE296-F8C3-4D5A-9560-7762DE767936}"/>
            </a:ext>
          </a:extLst>
        </xdr:cNvPr>
        <xdr:cNvPicPr>
          <a:picLocks noChangeAspect="1"/>
        </xdr:cNvPicPr>
      </xdr:nvPicPr>
      <xdr:blipFill>
        <a:blip xmlns:r="http://schemas.openxmlformats.org/officeDocument/2006/relationships" r:embed="rId1"/>
        <a:stretch>
          <a:fillRect/>
        </a:stretch>
      </xdr:blipFill>
      <xdr:spPr>
        <a:xfrm>
          <a:off x="5240654" y="5908718"/>
          <a:ext cx="2539366" cy="301462"/>
        </a:xfrm>
        <a:prstGeom prst="rect">
          <a:avLst/>
        </a:prstGeom>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sheetPr codeName="Sheet2">
    <pageSetUpPr fitToPage="1"/>
  </sheetPr>
  <dimension ref="A1:FRP116"/>
  <sheetViews>
    <sheetView showGridLines="0" tabSelected="1" view="pageBreakPreview" zoomScaleNormal="100" zoomScaleSheetLayoutView="100" workbookViewId="0">
      <selection activeCell="A31" sqref="A31:XFD31"/>
    </sheetView>
  </sheetViews>
  <sheetFormatPr defaultColWidth="7.59765625" defaultRowHeight="12.75" customHeight="1"/>
  <cols>
    <col min="1" max="2" width="25.59765625" style="244" customWidth="1"/>
    <col min="3" max="4" width="6.59765625" style="244" customWidth="1"/>
    <col min="5" max="16384" width="7.59765625" style="244"/>
  </cols>
  <sheetData>
    <row r="1" spans="1:2 4540:4540" s="403" customFormat="1" ht="12.75" customHeight="1">
      <c r="A1" s="83" t="str">
        <f>Project&amp;" - "&amp;City&amp;", "&amp;State</f>
        <v>OPEN - OPEN, OPEN</v>
      </c>
      <c r="B1" s="402"/>
    </row>
    <row r="2" spans="1:2 4540:4540" s="403" customFormat="1" ht="12.75" customHeight="1">
      <c r="A2" s="84" t="str">
        <f ca="1">MID(CELL("filename",A1),FIND("]",CELL("filename",A1))+1,255)</f>
        <v>STOC Accounting Diligence Datab</v>
      </c>
      <c r="B2" s="402"/>
      <c r="FRP2" s="404"/>
    </row>
    <row r="3" spans="1:2 4540:4540" s="286" customFormat="1" ht="12.6" customHeight="1"/>
    <row r="4" spans="1:2 4540:4540" ht="12.75" customHeight="1">
      <c r="A4" s="405"/>
      <c r="B4" s="406" t="s">
        <v>97</v>
      </c>
    </row>
    <row r="5" spans="1:2 4540:4540" ht="12" customHeight="1"/>
    <row r="6" spans="1:2 4540:4540" ht="12.75" customHeight="1" thickBot="1">
      <c r="A6" s="287" t="s">
        <v>92</v>
      </c>
    </row>
    <row r="7" spans="1:2 4540:4540" ht="12.75" customHeight="1" thickBot="1">
      <c r="A7" s="288"/>
      <c r="B7" s="244" t="s">
        <v>93</v>
      </c>
    </row>
    <row r="8" spans="1:2 4540:4540" ht="12.75" customHeight="1" thickBot="1">
      <c r="A8" s="289"/>
      <c r="B8" s="244" t="s">
        <v>94</v>
      </c>
    </row>
    <row r="9" spans="1:2 4540:4540" ht="12.75" customHeight="1" thickBot="1">
      <c r="A9" s="290"/>
      <c r="B9" s="244" t="s">
        <v>95</v>
      </c>
    </row>
    <row r="10" spans="1:2 4540:4540" ht="12.75" customHeight="1" thickBot="1">
      <c r="A10" s="291"/>
      <c r="B10" s="244" t="s">
        <v>96</v>
      </c>
    </row>
    <row r="11" spans="1:2 4540:4540" ht="12.75" customHeight="1">
      <c r="A11" s="387"/>
      <c r="B11" s="244" t="s">
        <v>111</v>
      </c>
    </row>
    <row r="12" spans="1:2 4540:4540" ht="13.8" customHeight="1"/>
    <row r="13" spans="1:2 4540:4540" ht="12.75" customHeight="1">
      <c r="A13" s="287" t="s">
        <v>91</v>
      </c>
    </row>
    <row r="14" spans="1:2 4540:4540" ht="12.75" customHeight="1">
      <c r="A14" s="244" t="s">
        <v>80</v>
      </c>
      <c r="B14" s="407" t="s">
        <v>52</v>
      </c>
    </row>
    <row r="15" spans="1:2 4540:4540" ht="12.75" customHeight="1">
      <c r="A15" s="244" t="s">
        <v>82</v>
      </c>
      <c r="B15" s="407" t="s">
        <v>52</v>
      </c>
    </row>
    <row r="16" spans="1:2 4540:4540" ht="12.75" customHeight="1">
      <c r="A16" s="244" t="s">
        <v>81</v>
      </c>
      <c r="B16" s="407" t="s">
        <v>52</v>
      </c>
    </row>
    <row r="18" spans="1:4" ht="12.75" customHeight="1">
      <c r="A18" s="287" t="s">
        <v>90</v>
      </c>
    </row>
    <row r="19" spans="1:4" s="246" customFormat="1" ht="12.75" customHeight="1">
      <c r="A19" s="246" t="s">
        <v>86</v>
      </c>
      <c r="B19" s="407" t="s">
        <v>56</v>
      </c>
    </row>
    <row r="20" spans="1:4" s="246" customFormat="1" ht="12.6" customHeight="1">
      <c r="B20" s="408"/>
    </row>
    <row r="21" spans="1:4" s="246" customFormat="1" ht="12.75" customHeight="1">
      <c r="A21" s="246" t="s">
        <v>85</v>
      </c>
      <c r="B21" s="409" t="s">
        <v>87</v>
      </c>
    </row>
    <row r="22" spans="1:4" s="246" customFormat="1" ht="12.75" customHeight="1">
      <c r="A22" s="246" t="s">
        <v>84</v>
      </c>
      <c r="B22" s="409">
        <v>45565</v>
      </c>
      <c r="D22" s="410" t="str">
        <f>IF($B$21="Fiscal", "Hardkey (i) stub period date and (ii) second full year date","")</f>
        <v/>
      </c>
    </row>
    <row r="23" spans="1:4" s="246" customFormat="1" ht="12.75" customHeight="1">
      <c r="A23" s="246" t="s">
        <v>88</v>
      </c>
      <c r="B23" s="411">
        <f>IF($B$21="Calendar",EOMONTH(B22,-MONTH(B22)),0)</f>
        <v>45291</v>
      </c>
      <c r="D23" s="410" t="str">
        <f>IF($B$21="Fiscal", "Hardkey (i) stub period date and (ii) second full year date","")</f>
        <v/>
      </c>
    </row>
    <row r="24" spans="1:4" ht="12.75" customHeight="1">
      <c r="A24" s="246" t="s">
        <v>89</v>
      </c>
      <c r="B24" s="411">
        <v>44926</v>
      </c>
      <c r="D24" s="410" t="str">
        <f>IF($B$21="Fiscal", "Hardkey (i) stub period date and (ii) second full year date","")</f>
        <v/>
      </c>
    </row>
    <row r="25" spans="1:4" ht="13.2" customHeight="1"/>
    <row r="26" spans="1:4" ht="12.75" customHeight="1">
      <c r="A26" s="287" t="s">
        <v>100</v>
      </c>
    </row>
    <row r="27" spans="1:4" ht="12.75" customHeight="1">
      <c r="A27" s="246" t="s">
        <v>57</v>
      </c>
      <c r="B27" s="412" t="str">
        <f>IFERROR(ROUND(SUM('QE Summary'!$D$50:$G$50),0),"")</f>
        <v/>
      </c>
    </row>
    <row r="28" spans="1:4" ht="12.75" customHeight="1">
      <c r="A28" s="246" t="s">
        <v>109</v>
      </c>
      <c r="B28" s="412">
        <f>IFERROR(ROUND(SUM('Recast Reported'!$C$46:$AN$46),0),"")</f>
        <v>0</v>
      </c>
    </row>
    <row r="29" spans="1:4" ht="12.75" customHeight="1">
      <c r="A29" s="246" t="s">
        <v>110</v>
      </c>
      <c r="B29" s="412">
        <f>IFERROR(ROUND(SUM('Recast Mgmt. Adjusted'!$C$46:$AN$46),0),"")</f>
        <v>0</v>
      </c>
    </row>
    <row r="30" spans="1:4" ht="12.75" customHeight="1">
      <c r="A30" s="246" t="s">
        <v>106</v>
      </c>
      <c r="B30" s="412" t="str">
        <f>IFERROR(ROUND(SUM(#REF!)+SUM(#REF!),0),"")</f>
        <v/>
      </c>
    </row>
    <row r="31" spans="1:4" ht="12.75" customHeight="1">
      <c r="A31" s="246" t="s">
        <v>107</v>
      </c>
      <c r="B31" s="412">
        <f>IFERROR(ROUND(SUM('Lead PL'!$B$25:$H$25),0),"")</f>
        <v>0</v>
      </c>
    </row>
    <row r="32" spans="1:4" ht="12.75" customHeight="1">
      <c r="A32" s="246" t="s">
        <v>108</v>
      </c>
      <c r="B32" s="412">
        <f>IFERROR(ROUND(SUM(PL!$L$84:$AM$84),0),"")</f>
        <v>0</v>
      </c>
    </row>
    <row r="33" ht="15.6" customHeight="1"/>
    <row r="66" spans="1:1" ht="12.75" customHeight="1">
      <c r="A66" s="287" t="s">
        <v>83</v>
      </c>
    </row>
    <row r="67" spans="1:1" ht="12.75" customHeight="1">
      <c r="A67" s="245" t="s">
        <v>112</v>
      </c>
    </row>
    <row r="68" spans="1:1" ht="12.75" customHeight="1">
      <c r="A68" s="245" t="s">
        <v>113</v>
      </c>
    </row>
    <row r="69" spans="1:1" ht="12.75" customHeight="1">
      <c r="A69" s="245" t="s">
        <v>114</v>
      </c>
    </row>
    <row r="70" spans="1:1" ht="12.75" customHeight="1">
      <c r="A70" s="245" t="s">
        <v>115</v>
      </c>
    </row>
    <row r="71" spans="1:1" ht="12.75" customHeight="1">
      <c r="A71" s="245" t="s">
        <v>116</v>
      </c>
    </row>
    <row r="72" spans="1:1" ht="12.75" customHeight="1">
      <c r="A72" s="245" t="s">
        <v>117</v>
      </c>
    </row>
    <row r="73" spans="1:1" ht="12.75" customHeight="1">
      <c r="A73" s="245" t="s">
        <v>118</v>
      </c>
    </row>
    <row r="74" spans="1:1" ht="12.75" customHeight="1">
      <c r="A74" s="245" t="s">
        <v>119</v>
      </c>
    </row>
    <row r="75" spans="1:1" ht="12.75" customHeight="1">
      <c r="A75" s="245" t="s">
        <v>120</v>
      </c>
    </row>
    <row r="76" spans="1:1" ht="12.75" customHeight="1">
      <c r="A76" s="245" t="s">
        <v>121</v>
      </c>
    </row>
    <row r="77" spans="1:1" ht="12.75" customHeight="1">
      <c r="A77" s="245" t="s">
        <v>122</v>
      </c>
    </row>
    <row r="78" spans="1:1" ht="12.75" customHeight="1">
      <c r="A78" s="245" t="s">
        <v>123</v>
      </c>
    </row>
    <row r="79" spans="1:1" ht="12.75" customHeight="1">
      <c r="A79" s="245" t="s">
        <v>124</v>
      </c>
    </row>
    <row r="80" spans="1:1" ht="12.75" customHeight="1">
      <c r="A80" s="245" t="s">
        <v>125</v>
      </c>
    </row>
    <row r="81" spans="1:1" ht="12.75" customHeight="1">
      <c r="A81" s="245" t="s">
        <v>126</v>
      </c>
    </row>
    <row r="82" spans="1:1" ht="12.75" customHeight="1">
      <c r="A82" s="245" t="s">
        <v>127</v>
      </c>
    </row>
    <row r="83" spans="1:1" ht="12.75" customHeight="1">
      <c r="A83" s="245" t="s">
        <v>128</v>
      </c>
    </row>
    <row r="84" spans="1:1" ht="12.75" customHeight="1">
      <c r="A84" s="245" t="s">
        <v>129</v>
      </c>
    </row>
    <row r="85" spans="1:1" ht="12.75" customHeight="1">
      <c r="A85" s="245" t="s">
        <v>130</v>
      </c>
    </row>
    <row r="86" spans="1:1" ht="12.75" customHeight="1">
      <c r="A86" s="245" t="s">
        <v>131</v>
      </c>
    </row>
    <row r="87" spans="1:1" ht="12.75" customHeight="1">
      <c r="A87" s="245" t="s">
        <v>132</v>
      </c>
    </row>
    <row r="88" spans="1:1" ht="12.75" customHeight="1">
      <c r="A88" s="245" t="s">
        <v>133</v>
      </c>
    </row>
    <row r="89" spans="1:1" ht="12.75" customHeight="1">
      <c r="A89" s="245" t="s">
        <v>134</v>
      </c>
    </row>
    <row r="90" spans="1:1" ht="12.75" customHeight="1">
      <c r="A90" s="245" t="s">
        <v>135</v>
      </c>
    </row>
    <row r="91" spans="1:1" ht="12.75" customHeight="1">
      <c r="A91" s="245" t="s">
        <v>136</v>
      </c>
    </row>
    <row r="92" spans="1:1" ht="12.75" customHeight="1">
      <c r="A92" s="245" t="s">
        <v>137</v>
      </c>
    </row>
    <row r="93" spans="1:1" ht="12.75" customHeight="1">
      <c r="A93" s="245" t="s">
        <v>138</v>
      </c>
    </row>
    <row r="94" spans="1:1" ht="12.75" customHeight="1">
      <c r="A94" s="245" t="s">
        <v>139</v>
      </c>
    </row>
    <row r="95" spans="1:1" ht="12.75" customHeight="1">
      <c r="A95" s="245" t="s">
        <v>140</v>
      </c>
    </row>
    <row r="96" spans="1:1" ht="12.75" customHeight="1">
      <c r="A96" s="245" t="s">
        <v>141</v>
      </c>
    </row>
    <row r="97" spans="1:1" ht="12.75" customHeight="1">
      <c r="A97" s="245" t="s">
        <v>142</v>
      </c>
    </row>
    <row r="98" spans="1:1" ht="12.75" customHeight="1">
      <c r="A98" s="245" t="s">
        <v>143</v>
      </c>
    </row>
    <row r="99" spans="1:1" ht="12.75" customHeight="1">
      <c r="A99" s="245" t="s">
        <v>144</v>
      </c>
    </row>
    <row r="100" spans="1:1" ht="12.75" customHeight="1">
      <c r="A100" s="245" t="s">
        <v>145</v>
      </c>
    </row>
    <row r="101" spans="1:1" ht="12.75" customHeight="1">
      <c r="A101" s="245" t="s">
        <v>146</v>
      </c>
    </row>
    <row r="102" spans="1:1" ht="12.75" customHeight="1">
      <c r="A102" s="245" t="s">
        <v>147</v>
      </c>
    </row>
    <row r="103" spans="1:1" ht="12.75" customHeight="1">
      <c r="A103" s="245" t="s">
        <v>148</v>
      </c>
    </row>
    <row r="104" spans="1:1" ht="12.75" customHeight="1">
      <c r="A104" s="245" t="s">
        <v>149</v>
      </c>
    </row>
    <row r="105" spans="1:1" ht="12.75" customHeight="1">
      <c r="A105" s="245" t="s">
        <v>150</v>
      </c>
    </row>
    <row r="106" spans="1:1" ht="12.75" customHeight="1">
      <c r="A106" s="245" t="s">
        <v>151</v>
      </c>
    </row>
    <row r="107" spans="1:1" ht="12.75" customHeight="1">
      <c r="A107" s="245" t="s">
        <v>152</v>
      </c>
    </row>
    <row r="108" spans="1:1" ht="12.75" customHeight="1">
      <c r="A108" s="245" t="s">
        <v>153</v>
      </c>
    </row>
    <row r="109" spans="1:1" ht="12.75" customHeight="1">
      <c r="A109" s="245" t="s">
        <v>154</v>
      </c>
    </row>
    <row r="110" spans="1:1" ht="12.75" customHeight="1">
      <c r="A110" s="245" t="s">
        <v>155</v>
      </c>
    </row>
    <row r="111" spans="1:1" ht="12.75" customHeight="1">
      <c r="A111" s="245" t="s">
        <v>156</v>
      </c>
    </row>
    <row r="112" spans="1:1" ht="12.75" customHeight="1">
      <c r="A112" s="245" t="s">
        <v>157</v>
      </c>
    </row>
    <row r="113" spans="1:1" ht="12.75" customHeight="1">
      <c r="A113" s="245" t="s">
        <v>158</v>
      </c>
    </row>
    <row r="114" spans="1:1" ht="12.75" customHeight="1">
      <c r="A114" s="245" t="s">
        <v>159</v>
      </c>
    </row>
    <row r="115" spans="1:1" ht="12.75" customHeight="1">
      <c r="A115" s="245" t="s">
        <v>160</v>
      </c>
    </row>
    <row r="116" spans="1:1" ht="12.75" customHeight="1">
      <c r="A116" s="245" t="s">
        <v>161</v>
      </c>
    </row>
  </sheetData>
  <phoneticPr fontId="102" type="noConversion"/>
  <conditionalFormatting sqref="B27:B32">
    <cfRule type="expression" dxfId="0" priority="1">
      <formula>$B27=0</formula>
    </cfRule>
  </conditionalFormatting>
  <dataValidations count="2">
    <dataValidation type="list" allowBlank="1" showInputMessage="1" showErrorMessage="1" sqref="B19:B20">
      <formula1>"Audit, Review, Compilation, Tax Return, OM"</formula1>
    </dataValidation>
    <dataValidation type="list" allowBlank="1" showInputMessage="1" showErrorMessage="1" sqref="B21">
      <formula1>"Calendar, Fiscal"</formula1>
    </dataValidation>
  </dataValidations>
  <pageMargins left="0.7" right="0.7" top="0.75" bottom="0.75" header="0.3" footer="0.3"/>
  <pageSetup scale="34" fitToWidth="0" orientation="landscape" r:id="rId1"/>
</worksheet>
</file>

<file path=xl/worksheets/sheet2.xml><?xml version="1.0" encoding="utf-8"?>
<worksheet xmlns="http://schemas.openxmlformats.org/spreadsheetml/2006/main" xmlns:r="http://schemas.openxmlformats.org/officeDocument/2006/relationships">
  <sheetPr codeName="Sheet3">
    <tabColor rgb="FF262261"/>
    <pageSetUpPr fitToPage="1"/>
  </sheetPr>
  <dimension ref="A10:B31"/>
  <sheetViews>
    <sheetView showGridLines="0" view="pageBreakPreview" zoomScaleNormal="100" zoomScaleSheetLayoutView="100" workbookViewId="0">
      <selection activeCell="B14" sqref="B14"/>
    </sheetView>
  </sheetViews>
  <sheetFormatPr defaultColWidth="9.09765625" defaultRowHeight="13.8"/>
  <cols>
    <col min="1" max="1" width="9.09765625" style="1"/>
    <col min="2" max="2" width="88.59765625" style="2" customWidth="1"/>
    <col min="3" max="16384" width="9.09765625" style="1"/>
  </cols>
  <sheetData>
    <row r="10" spans="2:2" ht="30">
      <c r="B10" s="68"/>
    </row>
    <row r="12" spans="2:2" ht="24.6">
      <c r="B12" s="70" t="s">
        <v>162</v>
      </c>
    </row>
    <row r="13" spans="2:2" ht="25.2">
      <c r="B13" s="3"/>
    </row>
    <row r="14" spans="2:2" ht="24.6">
      <c r="B14" s="92" t="str">
        <f>Project&amp;" - "&amp;City&amp;", "&amp;State</f>
        <v>OPEN - OPEN, OPEN</v>
      </c>
    </row>
    <row r="15" spans="2:2" ht="25.2">
      <c r="B15" s="413">
        <f ca="1">TODAY()</f>
        <v>45819</v>
      </c>
    </row>
    <row r="17" spans="1:2" ht="18">
      <c r="B17" s="4"/>
    </row>
    <row r="31" spans="1:2">
      <c r="A31" s="5" t="s">
        <v>5</v>
      </c>
    </row>
  </sheetData>
  <printOptions horizontalCentered="1"/>
  <pageMargins left="0.5" right="0.5" top="0.75" bottom="0.5" header="0.3" footer="0.3"/>
  <pageSetup orientation="landscape" r:id="rId1"/>
  <headerFooter>
    <oddHeader xml:space="preserve">&amp;C 
</oddHeader>
  </headerFooter>
  <drawing r:id="rId2"/>
</worksheet>
</file>

<file path=xl/worksheets/sheet3.xml><?xml version="1.0" encoding="utf-8"?>
<worksheet xmlns="http://schemas.openxmlformats.org/spreadsheetml/2006/main" xmlns:r="http://schemas.openxmlformats.org/officeDocument/2006/relationships">
  <sheetPr codeName="Sheet11"/>
  <dimension ref="A1:X57"/>
  <sheetViews>
    <sheetView showGridLines="0" view="pageBreakPreview" topLeftCell="A16" zoomScaleNormal="100" zoomScaleSheetLayoutView="100" workbookViewId="0">
      <selection activeCell="A51" sqref="A51:XFD55"/>
    </sheetView>
  </sheetViews>
  <sheetFormatPr defaultRowHeight="13.95" customHeight="1" outlineLevelRow="1"/>
  <cols>
    <col min="1" max="2" width="1.59765625" style="86" customWidth="1"/>
    <col min="3" max="3" width="26.69921875" style="86" customWidth="1"/>
    <col min="4" max="6" width="9.09765625" style="86" customWidth="1"/>
    <col min="7" max="8" width="1.59765625" style="86" customWidth="1"/>
    <col min="9" max="9" width="9.59765625" style="86" customWidth="1"/>
    <col min="10" max="10" width="1.59765625" style="86" customWidth="1"/>
    <col min="11" max="11" width="9.59765625" style="86" customWidth="1"/>
    <col min="12" max="12" width="1.59765625" style="86" customWidth="1"/>
    <col min="13" max="24" width="8.59765625" style="86"/>
  </cols>
  <sheetData>
    <row r="1" spans="1:12" ht="13.95" customHeight="1">
      <c r="A1" s="83" t="str">
        <f>Project&amp;" - "&amp;City&amp;", "&amp;State</f>
        <v>OPEN - OPEN, OPEN</v>
      </c>
      <c r="B1" s="118"/>
    </row>
    <row r="2" spans="1:12" ht="13.95" customHeight="1">
      <c r="A2" s="84" t="str">
        <f ca="1">MID(CELL("filename",A1),FIND("]",CELL("filename",A1))+1,255)</f>
        <v>QE Summary</v>
      </c>
    </row>
    <row r="4" spans="1:12" ht="13.95" customHeight="1">
      <c r="A4" s="82" t="s">
        <v>57</v>
      </c>
      <c r="B4" s="119"/>
      <c r="C4" s="120"/>
      <c r="D4" s="120"/>
      <c r="E4" s="120"/>
      <c r="F4" s="120"/>
      <c r="G4" s="120"/>
      <c r="H4" s="120"/>
      <c r="I4" s="120"/>
      <c r="J4" s="120"/>
      <c r="K4" s="120"/>
      <c r="L4" s="120"/>
    </row>
    <row r="5" spans="1:12" ht="13.95" customHeight="1">
      <c r="A5" s="121"/>
      <c r="B5" s="121"/>
      <c r="C5" s="122"/>
      <c r="D5" s="123" t="s">
        <v>57</v>
      </c>
      <c r="E5" s="123"/>
      <c r="F5" s="123"/>
      <c r="G5" s="124"/>
      <c r="H5" s="124"/>
      <c r="I5" s="124"/>
      <c r="J5" s="124"/>
      <c r="K5" s="124"/>
      <c r="L5" s="124"/>
    </row>
    <row r="6" spans="1:12" ht="27" customHeight="1" thickBot="1">
      <c r="A6" s="125"/>
      <c r="B6" s="126"/>
      <c r="C6" s="127"/>
      <c r="D6" s="297">
        <f>First_Reporting_Year</f>
        <v>44926</v>
      </c>
      <c r="E6" s="297">
        <f>Second_Reporting_Year</f>
        <v>45291</v>
      </c>
      <c r="F6" s="297">
        <f>Stub_Period</f>
        <v>45565</v>
      </c>
      <c r="G6" s="128"/>
      <c r="H6" s="128" t="s">
        <v>58</v>
      </c>
      <c r="I6" s="129" t="s">
        <v>197</v>
      </c>
      <c r="J6" s="130"/>
      <c r="K6" s="129" t="s">
        <v>201</v>
      </c>
      <c r="L6" s="130"/>
    </row>
    <row r="7" spans="1:12" ht="11.85" customHeight="1">
      <c r="A7" s="131"/>
      <c r="B7" s="131"/>
      <c r="C7" s="132" t="s">
        <v>45</v>
      </c>
      <c r="D7" s="133"/>
      <c r="E7" s="133"/>
      <c r="F7" s="133"/>
      <c r="G7" s="133"/>
      <c r="H7" s="133"/>
      <c r="I7" s="134">
        <f>+E7-D7</f>
        <v>0</v>
      </c>
      <c r="J7" s="133"/>
      <c r="K7" s="134">
        <f>+F7-E7</f>
        <v>0</v>
      </c>
      <c r="L7" s="133"/>
    </row>
    <row r="8" spans="1:12" ht="11.85" customHeight="1">
      <c r="A8" s="131"/>
      <c r="B8" s="131"/>
      <c r="C8" s="135" t="s">
        <v>59</v>
      </c>
      <c r="D8" s="136" t="s">
        <v>21</v>
      </c>
      <c r="E8" s="136" t="e">
        <f>+((E7-D$7)/D$7)*100</f>
        <v>#DIV/0!</v>
      </c>
      <c r="F8" s="136" t="e">
        <f>+((F7-E$7)/E$7)*100</f>
        <v>#DIV/0!</v>
      </c>
      <c r="G8" s="137"/>
      <c r="H8" s="136"/>
      <c r="I8" s="138"/>
      <c r="J8" s="139"/>
      <c r="K8" s="138"/>
      <c r="L8" s="139"/>
    </row>
    <row r="9" spans="1:12" ht="15.6">
      <c r="A9" s="131"/>
      <c r="B9" s="131"/>
      <c r="C9" s="131"/>
      <c r="D9" s="131"/>
      <c r="E9" s="131"/>
      <c r="F9" s="131"/>
      <c r="G9" s="139"/>
      <c r="H9" s="139"/>
      <c r="I9" s="140"/>
      <c r="J9" s="139"/>
      <c r="K9" s="140"/>
      <c r="L9" s="139"/>
    </row>
    <row r="10" spans="1:12" ht="11.85" customHeight="1">
      <c r="A10" s="131"/>
      <c r="B10" s="131"/>
      <c r="C10" s="141" t="s">
        <v>73</v>
      </c>
      <c r="D10" s="139"/>
      <c r="E10" s="139"/>
      <c r="F10" s="139"/>
      <c r="G10" s="131"/>
      <c r="H10" s="139"/>
      <c r="I10" s="140">
        <f>+E10-D10</f>
        <v>0</v>
      </c>
      <c r="J10" s="139"/>
      <c r="K10" s="140">
        <f>+F10-E10</f>
        <v>0</v>
      </c>
      <c r="L10" s="139"/>
    </row>
    <row r="11" spans="1:12" ht="11.85" customHeight="1">
      <c r="A11" s="131"/>
      <c r="B11" s="131"/>
      <c r="C11" s="141" t="s">
        <v>169</v>
      </c>
      <c r="D11" s="139"/>
      <c r="E11" s="139"/>
      <c r="F11" s="139"/>
      <c r="G11" s="131"/>
      <c r="H11" s="139"/>
      <c r="I11" s="140">
        <f>+E11-D11</f>
        <v>0</v>
      </c>
      <c r="J11" s="139"/>
      <c r="K11" s="140">
        <f>+F11-E11</f>
        <v>0</v>
      </c>
      <c r="L11" s="139"/>
    </row>
    <row r="12" spans="1:12" ht="11.85" customHeight="1">
      <c r="A12" s="131"/>
      <c r="B12" s="131"/>
      <c r="C12" s="141" t="s">
        <v>74</v>
      </c>
      <c r="D12" s="146"/>
      <c r="E12" s="146"/>
      <c r="F12" s="146"/>
      <c r="G12" s="241"/>
      <c r="H12" s="146"/>
      <c r="I12" s="243">
        <f>+E12-D12</f>
        <v>0</v>
      </c>
      <c r="J12" s="146"/>
      <c r="K12" s="243">
        <f>+F12-E12</f>
        <v>0</v>
      </c>
      <c r="L12" s="139"/>
    </row>
    <row r="13" spans="1:12" ht="11.85" customHeight="1">
      <c r="A13" s="131"/>
      <c r="B13" s="131"/>
      <c r="C13" s="132" t="s">
        <v>60</v>
      </c>
      <c r="D13" s="142">
        <f>D7-SUM(D10:D12)</f>
        <v>0</v>
      </c>
      <c r="E13" s="142">
        <f>E7-SUM(E10:E12)</f>
        <v>0</v>
      </c>
      <c r="F13" s="142">
        <f>F7-SUM(F10:F12)</f>
        <v>0</v>
      </c>
      <c r="G13" s="133"/>
      <c r="H13" s="133"/>
      <c r="I13" s="143">
        <f t="shared" ref="I13:L13" si="0">I7-SUM(I10:I12)</f>
        <v>0</v>
      </c>
      <c r="J13" s="133">
        <f t="shared" si="0"/>
        <v>0</v>
      </c>
      <c r="K13" s="143">
        <f t="shared" si="0"/>
        <v>0</v>
      </c>
      <c r="L13" s="133">
        <f t="shared" si="0"/>
        <v>0</v>
      </c>
    </row>
    <row r="14" spans="1:12" ht="11.85" customHeight="1">
      <c r="A14" s="131"/>
      <c r="B14" s="131"/>
      <c r="C14" s="135" t="s">
        <v>61</v>
      </c>
      <c r="D14" s="136">
        <f>+IFERROR(D13/D$7*100,0)</f>
        <v>0</v>
      </c>
      <c r="E14" s="136">
        <f t="shared" ref="E14:F14" si="1">+IFERROR(E13/E$7*100,0)</f>
        <v>0</v>
      </c>
      <c r="F14" s="136">
        <f t="shared" si="1"/>
        <v>0</v>
      </c>
      <c r="G14" s="136"/>
      <c r="H14" s="139"/>
      <c r="I14" s="144"/>
      <c r="J14" s="139"/>
      <c r="K14" s="144"/>
      <c r="L14" s="139"/>
    </row>
    <row r="15" spans="1:12" ht="13.95" customHeight="1">
      <c r="A15" s="131"/>
      <c r="B15" s="131"/>
      <c r="C15" s="131"/>
      <c r="D15" s="131"/>
      <c r="E15" s="131"/>
      <c r="F15" s="131"/>
      <c r="G15" s="131"/>
      <c r="H15" s="131"/>
      <c r="I15" s="145"/>
      <c r="J15" s="131"/>
      <c r="K15" s="145"/>
      <c r="L15" s="131"/>
    </row>
    <row r="16" spans="1:12" ht="11.85" customHeight="1">
      <c r="A16" s="131"/>
      <c r="B16" s="131"/>
      <c r="C16" s="141" t="s">
        <v>72</v>
      </c>
      <c r="D16" s="131"/>
      <c r="E16" s="131"/>
      <c r="F16" s="131"/>
      <c r="G16" s="139"/>
      <c r="H16" s="139"/>
      <c r="I16" s="145">
        <f t="shared" ref="I16:I30" si="2">+E16-D16</f>
        <v>0</v>
      </c>
      <c r="J16" s="139"/>
      <c r="K16" s="145">
        <f t="shared" ref="K16:K30" si="3">+F16-E16</f>
        <v>0</v>
      </c>
      <c r="L16" s="139"/>
    </row>
    <row r="17" spans="1:12" ht="11.85" customHeight="1">
      <c r="A17" s="131"/>
      <c r="B17" s="131"/>
      <c r="C17" s="141" t="s">
        <v>174</v>
      </c>
      <c r="D17" s="131"/>
      <c r="E17" s="131"/>
      <c r="F17" s="131"/>
      <c r="G17" s="139"/>
      <c r="H17" s="139"/>
      <c r="I17" s="145">
        <f t="shared" si="2"/>
        <v>0</v>
      </c>
      <c r="J17" s="139"/>
      <c r="K17" s="145">
        <f t="shared" si="3"/>
        <v>0</v>
      </c>
      <c r="L17" s="139"/>
    </row>
    <row r="18" spans="1:12" ht="11.85" customHeight="1">
      <c r="A18" s="131"/>
      <c r="B18" s="131"/>
      <c r="C18" s="141" t="s">
        <v>175</v>
      </c>
      <c r="D18" s="241"/>
      <c r="E18" s="241"/>
      <c r="F18" s="241"/>
      <c r="G18" s="139"/>
      <c r="H18" s="139"/>
      <c r="I18" s="283">
        <f t="shared" si="2"/>
        <v>0</v>
      </c>
      <c r="J18" s="139"/>
      <c r="K18" s="283">
        <f t="shared" si="3"/>
        <v>0</v>
      </c>
      <c r="L18" s="139"/>
    </row>
    <row r="19" spans="1:12" ht="11.85" customHeight="1">
      <c r="A19" s="131"/>
      <c r="B19" s="131"/>
      <c r="C19" s="132" t="s">
        <v>75</v>
      </c>
      <c r="D19" s="142"/>
      <c r="E19" s="142"/>
      <c r="F19" s="142"/>
      <c r="G19" s="139"/>
      <c r="H19" s="139"/>
      <c r="I19" s="143">
        <f t="shared" si="2"/>
        <v>0</v>
      </c>
      <c r="J19" s="139"/>
      <c r="K19" s="143">
        <f t="shared" si="3"/>
        <v>0</v>
      </c>
      <c r="L19" s="139"/>
    </row>
    <row r="20" spans="1:12" ht="11.85" customHeight="1">
      <c r="A20" s="131"/>
      <c r="B20" s="131"/>
      <c r="C20" s="141" t="s">
        <v>171</v>
      </c>
      <c r="D20" s="131"/>
      <c r="E20" s="131"/>
      <c r="F20" s="131"/>
      <c r="G20" s="139"/>
      <c r="H20" s="139"/>
      <c r="I20" s="145">
        <f t="shared" si="2"/>
        <v>0</v>
      </c>
      <c r="J20" s="139"/>
      <c r="K20" s="145">
        <f t="shared" si="3"/>
        <v>0</v>
      </c>
      <c r="L20" s="139"/>
    </row>
    <row r="21" spans="1:12" ht="11.85" customHeight="1">
      <c r="A21" s="131"/>
      <c r="B21" s="131"/>
      <c r="C21" s="141" t="s">
        <v>49</v>
      </c>
      <c r="D21" s="131"/>
      <c r="E21" s="131"/>
      <c r="F21" s="131"/>
      <c r="G21" s="139"/>
      <c r="H21" s="139"/>
      <c r="I21" s="145">
        <f t="shared" si="2"/>
        <v>0</v>
      </c>
      <c r="J21" s="139"/>
      <c r="K21" s="145">
        <f t="shared" si="3"/>
        <v>0</v>
      </c>
      <c r="L21" s="139"/>
    </row>
    <row r="22" spans="1:12" ht="11.85" customHeight="1">
      <c r="A22" s="131"/>
      <c r="B22" s="131"/>
      <c r="C22" s="141" t="s">
        <v>176</v>
      </c>
      <c r="D22" s="241"/>
      <c r="E22" s="241"/>
      <c r="F22" s="241"/>
      <c r="G22" s="139"/>
      <c r="H22" s="139"/>
      <c r="I22" s="283">
        <f t="shared" si="2"/>
        <v>0</v>
      </c>
      <c r="J22" s="139"/>
      <c r="K22" s="283">
        <f t="shared" si="3"/>
        <v>0</v>
      </c>
      <c r="L22" s="139"/>
    </row>
    <row r="23" spans="1:12" ht="11.85" customHeight="1">
      <c r="A23" s="131"/>
      <c r="B23" s="131"/>
      <c r="C23" s="132" t="s">
        <v>172</v>
      </c>
      <c r="D23" s="133">
        <f>SUM(D19:D22)</f>
        <v>0</v>
      </c>
      <c r="E23" s="133">
        <f t="shared" ref="E23:F23" si="4">SUM(E19:E22)</f>
        <v>0</v>
      </c>
      <c r="F23" s="133">
        <f t="shared" si="4"/>
        <v>0</v>
      </c>
      <c r="G23" s="139"/>
      <c r="H23" s="139"/>
      <c r="I23" s="134">
        <f t="shared" si="2"/>
        <v>0</v>
      </c>
      <c r="J23" s="139"/>
      <c r="K23" s="134">
        <f t="shared" si="3"/>
        <v>0</v>
      </c>
      <c r="L23" s="139"/>
    </row>
    <row r="24" spans="1:12" ht="11.85" customHeight="1">
      <c r="A24" s="131"/>
      <c r="B24" s="131"/>
      <c r="C24" s="141" t="s">
        <v>177</v>
      </c>
      <c r="D24" s="131"/>
      <c r="E24" s="131"/>
      <c r="F24" s="131"/>
      <c r="G24" s="139"/>
      <c r="H24" s="139"/>
      <c r="I24" s="145">
        <f t="shared" si="2"/>
        <v>0</v>
      </c>
      <c r="J24" s="139"/>
      <c r="K24" s="145">
        <f t="shared" si="3"/>
        <v>0</v>
      </c>
      <c r="L24" s="139"/>
    </row>
    <row r="25" spans="1:12" ht="11.85" customHeight="1">
      <c r="A25" s="131"/>
      <c r="B25" s="131"/>
      <c r="C25" s="141" t="s">
        <v>181</v>
      </c>
      <c r="D25" s="131"/>
      <c r="E25" s="131"/>
      <c r="F25" s="131"/>
      <c r="G25" s="139"/>
      <c r="H25" s="139"/>
      <c r="I25" s="145">
        <f t="shared" si="2"/>
        <v>0</v>
      </c>
      <c r="J25" s="139"/>
      <c r="K25" s="145">
        <f t="shared" si="3"/>
        <v>0</v>
      </c>
      <c r="L25" s="139"/>
    </row>
    <row r="26" spans="1:12" ht="11.85" customHeight="1">
      <c r="A26" s="131"/>
      <c r="B26" s="131"/>
      <c r="C26" s="141" t="s">
        <v>178</v>
      </c>
      <c r="D26" s="131"/>
      <c r="E26" s="131"/>
      <c r="F26" s="131"/>
      <c r="G26" s="139"/>
      <c r="H26" s="133"/>
      <c r="I26" s="145">
        <f t="shared" si="2"/>
        <v>0</v>
      </c>
      <c r="J26" s="139"/>
      <c r="K26" s="145">
        <f t="shared" si="3"/>
        <v>0</v>
      </c>
      <c r="L26" s="139"/>
    </row>
    <row r="27" spans="1:12" ht="11.85" customHeight="1">
      <c r="A27" s="131"/>
      <c r="B27" s="131"/>
      <c r="C27" s="141" t="s">
        <v>179</v>
      </c>
      <c r="D27" s="241"/>
      <c r="E27" s="241"/>
      <c r="F27" s="241"/>
      <c r="G27" s="139"/>
      <c r="H27" s="133"/>
      <c r="I27" s="283">
        <f t="shared" si="2"/>
        <v>0</v>
      </c>
      <c r="J27" s="139"/>
      <c r="K27" s="283">
        <f t="shared" si="3"/>
        <v>0</v>
      </c>
      <c r="L27" s="139"/>
    </row>
    <row r="28" spans="1:12" ht="11.85" customHeight="1">
      <c r="A28" s="131"/>
      <c r="B28" s="131"/>
      <c r="C28" s="132" t="s">
        <v>180</v>
      </c>
      <c r="D28" s="133">
        <f>SUM(D24:D27)</f>
        <v>0</v>
      </c>
      <c r="E28" s="133">
        <f>SUM(E24:E27)</f>
        <v>0</v>
      </c>
      <c r="F28" s="133">
        <f>SUM(F24:F27)</f>
        <v>0</v>
      </c>
      <c r="G28" s="139"/>
      <c r="H28" s="133"/>
      <c r="I28" s="134">
        <f t="shared" si="2"/>
        <v>0</v>
      </c>
      <c r="J28" s="139"/>
      <c r="K28" s="134">
        <f t="shared" si="3"/>
        <v>0</v>
      </c>
      <c r="L28" s="139"/>
    </row>
    <row r="29" spans="1:12" ht="11.85" customHeight="1">
      <c r="A29" s="131"/>
      <c r="B29" s="131"/>
      <c r="C29" s="141" t="s">
        <v>0</v>
      </c>
      <c r="D29" s="131"/>
      <c r="E29" s="131"/>
      <c r="F29" s="131"/>
      <c r="G29" s="139"/>
      <c r="H29" s="133"/>
      <c r="I29" s="145">
        <f t="shared" si="2"/>
        <v>0</v>
      </c>
      <c r="J29" s="139"/>
      <c r="K29" s="145">
        <f t="shared" si="3"/>
        <v>0</v>
      </c>
      <c r="L29" s="139"/>
    </row>
    <row r="30" spans="1:12" ht="11.85" customHeight="1">
      <c r="A30" s="131"/>
      <c r="B30" s="131"/>
      <c r="C30" s="141" t="s">
        <v>1</v>
      </c>
      <c r="D30" s="241"/>
      <c r="E30" s="241"/>
      <c r="F30" s="241"/>
      <c r="G30" s="139"/>
      <c r="H30" s="242"/>
      <c r="I30" s="283">
        <f t="shared" si="2"/>
        <v>0</v>
      </c>
      <c r="J30" s="139"/>
      <c r="K30" s="283">
        <f t="shared" si="3"/>
        <v>0</v>
      </c>
      <c r="L30" s="139"/>
    </row>
    <row r="31" spans="1:12" ht="11.85" customHeight="1" thickBot="1">
      <c r="A31" s="131"/>
      <c r="B31" s="131"/>
      <c r="C31" s="147" t="s">
        <v>3</v>
      </c>
      <c r="D31" s="148">
        <f>D13-SUM(D23,D28:D30)</f>
        <v>0</v>
      </c>
      <c r="E31" s="148">
        <f>E13-SUM(E23,E28:E30)</f>
        <v>0</v>
      </c>
      <c r="F31" s="148">
        <f>F13-SUM(F23,F28:F30)</f>
        <v>0</v>
      </c>
      <c r="G31" s="149"/>
      <c r="H31" s="149"/>
      <c r="I31" s="284">
        <f t="shared" ref="I31:L31" si="5">I13-SUM(I23,I28:I30)</f>
        <v>0</v>
      </c>
      <c r="J31" s="133">
        <f t="shared" si="5"/>
        <v>0</v>
      </c>
      <c r="K31" s="284">
        <f t="shared" si="5"/>
        <v>0</v>
      </c>
      <c r="L31" s="133">
        <f t="shared" si="5"/>
        <v>0</v>
      </c>
    </row>
    <row r="32" spans="1:12" ht="11.85" customHeight="1" thickBot="1">
      <c r="A32" s="131"/>
      <c r="B32" s="131"/>
      <c r="C32" s="150" t="s">
        <v>62</v>
      </c>
      <c r="D32" s="151">
        <f>+IFERROR(D31/D$7*100,0)</f>
        <v>0</v>
      </c>
      <c r="E32" s="151">
        <f t="shared" ref="E32:F32" si="6">+IFERROR(E31/E$7*100,0)</f>
        <v>0</v>
      </c>
      <c r="F32" s="151">
        <f t="shared" si="6"/>
        <v>0</v>
      </c>
      <c r="G32" s="136"/>
      <c r="H32" s="139"/>
      <c r="I32" s="137"/>
      <c r="J32" s="139"/>
      <c r="K32" s="137"/>
      <c r="L32" s="139"/>
    </row>
    <row r="33" spans="1:12" ht="13.95" customHeight="1" thickTop="1">
      <c r="A33" s="131"/>
      <c r="B33" s="131"/>
      <c r="J33" s="139"/>
      <c r="L33" s="139"/>
    </row>
    <row r="34" spans="1:12" ht="11.85" hidden="1" customHeight="1" outlineLevel="1">
      <c r="A34" s="131"/>
      <c r="B34" s="131"/>
      <c r="C34" s="152" t="str">
        <f>C10</f>
        <v>Dental supplies</v>
      </c>
      <c r="D34" s="153">
        <f>+IFERROR(D10/D$7*100,0)</f>
        <v>0</v>
      </c>
      <c r="E34" s="153">
        <f t="shared" ref="E34:F34" si="7">+IFERROR(E10/E$7*100,0)</f>
        <v>0</v>
      </c>
      <c r="F34" s="154">
        <f t="shared" si="7"/>
        <v>0</v>
      </c>
      <c r="G34" s="136"/>
      <c r="H34" s="139"/>
      <c r="I34" s="137"/>
      <c r="J34" s="139"/>
      <c r="K34" s="137"/>
      <c r="L34" s="139"/>
    </row>
    <row r="35" spans="1:12" ht="11.85" hidden="1" customHeight="1" outlineLevel="1">
      <c r="A35" s="131"/>
      <c r="B35" s="131"/>
      <c r="C35" s="155" t="str">
        <f>C11</f>
        <v>Ortho supplies</v>
      </c>
      <c r="D35" s="136">
        <f>+IFERROR(D11/D$7*100,0)</f>
        <v>0</v>
      </c>
      <c r="E35" s="136">
        <f t="shared" ref="E35:F35" si="8">+IFERROR(E11/E$7*100,0)</f>
        <v>0</v>
      </c>
      <c r="F35" s="156">
        <f t="shared" si="8"/>
        <v>0</v>
      </c>
      <c r="G35" s="136"/>
      <c r="H35" s="139"/>
      <c r="I35" s="137"/>
      <c r="J35" s="139"/>
      <c r="K35" s="137"/>
      <c r="L35" s="139"/>
    </row>
    <row r="36" spans="1:12" ht="11.85" hidden="1" customHeight="1" outlineLevel="1">
      <c r="A36" s="131"/>
      <c r="B36" s="131"/>
      <c r="C36" s="155" t="str">
        <f>C12</f>
        <v>Lab fees</v>
      </c>
      <c r="D36" s="136">
        <f>+IFERROR(D12/D$7*100,0)</f>
        <v>0</v>
      </c>
      <c r="E36" s="136">
        <f t="shared" ref="E36:F36" si="9">+IFERROR(E12/E$7*100,0)</f>
        <v>0</v>
      </c>
      <c r="F36" s="156">
        <f t="shared" si="9"/>
        <v>0</v>
      </c>
      <c r="G36" s="136"/>
      <c r="H36" s="139"/>
      <c r="I36" s="137"/>
      <c r="J36" s="139"/>
      <c r="K36" s="137"/>
      <c r="L36" s="139"/>
    </row>
    <row r="37" spans="1:12" ht="11.85" hidden="1" customHeight="1" outlineLevel="1">
      <c r="A37" s="131"/>
      <c r="B37" s="131"/>
      <c r="C37" s="155" t="str">
        <f>C16</f>
        <v>Doctor wages</v>
      </c>
      <c r="D37" s="136">
        <f>+IFERROR(D16/D$7*100,0)</f>
        <v>0</v>
      </c>
      <c r="E37" s="136">
        <f t="shared" ref="E37:F37" si="10">+IFERROR(E16/E$7*100,0)</f>
        <v>0</v>
      </c>
      <c r="F37" s="156">
        <f t="shared" si="10"/>
        <v>0</v>
      </c>
      <c r="G37" s="136"/>
      <c r="H37" s="139"/>
      <c r="I37" s="137"/>
      <c r="J37" s="139"/>
      <c r="K37" s="137"/>
      <c r="L37" s="139"/>
    </row>
    <row r="38" spans="1:12" ht="11.85" hidden="1" customHeight="1" outlineLevel="1">
      <c r="A38" s="131"/>
      <c r="B38" s="131"/>
      <c r="C38" s="155" t="str">
        <f t="shared" ref="C38:C39" si="11">C17</f>
        <v>Clinic wages</v>
      </c>
      <c r="D38" s="136">
        <f t="shared" ref="D38" si="12">+IFERROR(D17/D$7*100,0)</f>
        <v>0</v>
      </c>
      <c r="E38" s="136">
        <f t="shared" ref="E38:F38" si="13">+IFERROR(E17/E$7*100,0)</f>
        <v>0</v>
      </c>
      <c r="F38" s="156">
        <f t="shared" si="13"/>
        <v>0</v>
      </c>
      <c r="G38" s="136"/>
      <c r="H38" s="139"/>
      <c r="I38" s="137"/>
      <c r="J38" s="139"/>
      <c r="K38" s="137"/>
      <c r="L38" s="139"/>
    </row>
    <row r="39" spans="1:12" ht="11.85" hidden="1" customHeight="1" outlineLevel="1">
      <c r="A39" s="131"/>
      <c r="B39" s="131"/>
      <c r="C39" s="155" t="str">
        <f t="shared" si="11"/>
        <v>Admin wages</v>
      </c>
      <c r="D39" s="136">
        <f t="shared" ref="D39" si="14">+IFERROR(D18/D$7*100,0)</f>
        <v>0</v>
      </c>
      <c r="E39" s="136">
        <f t="shared" ref="E39:F39" si="15">+IFERROR(E18/E$7*100,0)</f>
        <v>0</v>
      </c>
      <c r="F39" s="156">
        <f t="shared" si="15"/>
        <v>0</v>
      </c>
      <c r="G39" s="136"/>
      <c r="H39" s="139"/>
      <c r="I39" s="137"/>
      <c r="J39" s="139"/>
      <c r="K39" s="137"/>
      <c r="L39" s="139"/>
    </row>
    <row r="40" spans="1:12" ht="11.85" hidden="1" customHeight="1" outlineLevel="1">
      <c r="A40" s="131"/>
      <c r="B40" s="131"/>
      <c r="C40" s="155" t="str">
        <f>C20</f>
        <v>Payroll taxes</v>
      </c>
      <c r="D40" s="136">
        <f>+IFERROR(D20/D$7*100,0)</f>
        <v>0</v>
      </c>
      <c r="E40" s="136">
        <f t="shared" ref="E40:F40" si="16">+IFERROR(E20/E$7*100,0)</f>
        <v>0</v>
      </c>
      <c r="F40" s="156">
        <f t="shared" si="16"/>
        <v>0</v>
      </c>
      <c r="G40" s="136"/>
      <c r="H40" s="139"/>
      <c r="I40" s="137"/>
      <c r="J40" s="139"/>
      <c r="K40" s="137"/>
      <c r="L40" s="139"/>
    </row>
    <row r="41" spans="1:12" ht="11.85" hidden="1" customHeight="1" outlineLevel="1">
      <c r="A41" s="131"/>
      <c r="B41" s="131"/>
      <c r="C41" s="155" t="str">
        <f t="shared" ref="C41:C42" si="17">C21</f>
        <v>Insurance</v>
      </c>
      <c r="D41" s="136">
        <f t="shared" ref="D41:F42" si="18">+IFERROR(D21/D$7*100,0)</f>
        <v>0</v>
      </c>
      <c r="E41" s="136">
        <f t="shared" si="18"/>
        <v>0</v>
      </c>
      <c r="F41" s="156">
        <f t="shared" si="18"/>
        <v>0</v>
      </c>
      <c r="G41" s="136"/>
      <c r="H41" s="139"/>
      <c r="I41" s="137"/>
      <c r="J41" s="139"/>
      <c r="K41" s="137"/>
      <c r="L41" s="139"/>
    </row>
    <row r="42" spans="1:12" ht="11.85" hidden="1" customHeight="1" outlineLevel="1">
      <c r="A42" s="131"/>
      <c r="B42" s="131"/>
      <c r="C42" s="155" t="str">
        <f t="shared" si="17"/>
        <v>Employee 401(k)</v>
      </c>
      <c r="D42" s="136">
        <f t="shared" si="18"/>
        <v>0</v>
      </c>
      <c r="E42" s="136">
        <f t="shared" si="18"/>
        <v>0</v>
      </c>
      <c r="F42" s="156">
        <f t="shared" si="18"/>
        <v>0</v>
      </c>
      <c r="G42" s="136"/>
      <c r="H42" s="139"/>
      <c r="I42" s="137"/>
      <c r="J42" s="139"/>
      <c r="K42" s="137"/>
      <c r="L42" s="139"/>
    </row>
    <row r="43" spans="1:12" ht="11.85" hidden="1" customHeight="1" outlineLevel="1">
      <c r="A43" s="131"/>
      <c r="B43" s="131"/>
      <c r="C43" s="155" t="str">
        <f>C24</f>
        <v>Rent - real property</v>
      </c>
      <c r="D43" s="136">
        <f>+IFERROR(D24/D$7*100,0)</f>
        <v>0</v>
      </c>
      <c r="E43" s="136">
        <f t="shared" ref="E43:F43" si="19">+IFERROR(E24/E$7*100,0)</f>
        <v>0</v>
      </c>
      <c r="F43" s="156">
        <f t="shared" si="19"/>
        <v>0</v>
      </c>
      <c r="G43" s="136"/>
      <c r="H43" s="139"/>
      <c r="I43" s="137"/>
      <c r="J43" s="139"/>
      <c r="K43" s="137"/>
      <c r="L43" s="139"/>
    </row>
    <row r="44" spans="1:12" ht="11.85" hidden="1" customHeight="1" outlineLevel="1">
      <c r="A44" s="131"/>
      <c r="B44" s="131"/>
      <c r="C44" s="155" t="str">
        <f>C25</f>
        <v>Property tax expense</v>
      </c>
      <c r="D44" s="136">
        <f>+IFERROR(D25/D$7*100,0)</f>
        <v>0</v>
      </c>
      <c r="E44" s="136">
        <f t="shared" ref="E44:F44" si="20">+IFERROR(E25/E$7*100,0)</f>
        <v>0</v>
      </c>
      <c r="F44" s="156">
        <f t="shared" si="20"/>
        <v>0</v>
      </c>
      <c r="G44" s="136"/>
      <c r="H44" s="139"/>
      <c r="I44" s="137"/>
      <c r="J44" s="139"/>
      <c r="K44" s="137"/>
      <c r="L44" s="139"/>
    </row>
    <row r="45" spans="1:12" ht="11.85" hidden="1" customHeight="1" outlineLevel="1">
      <c r="A45" s="131"/>
      <c r="B45" s="131"/>
      <c r="C45" s="155" t="str">
        <f>C26</f>
        <v>Repairs and maintenance</v>
      </c>
      <c r="D45" s="136">
        <f>+IFERROR(D26/D$7*100,0)</f>
        <v>0</v>
      </c>
      <c r="E45" s="136">
        <f t="shared" ref="E45:F45" si="21">+IFERROR(E26/E$7*100,0)</f>
        <v>0</v>
      </c>
      <c r="F45" s="156">
        <f t="shared" si="21"/>
        <v>0</v>
      </c>
      <c r="G45" s="136"/>
      <c r="H45" s="139"/>
      <c r="I45" s="137"/>
      <c r="J45" s="139"/>
      <c r="K45" s="137"/>
      <c r="L45" s="139"/>
    </row>
    <row r="46" spans="1:12" ht="11.85" hidden="1" customHeight="1" outlineLevel="1">
      <c r="A46" s="131"/>
      <c r="B46" s="131"/>
      <c r="C46" s="155" t="str">
        <f>C27</f>
        <v>Utilities expense</v>
      </c>
      <c r="D46" s="136">
        <f>+IFERROR(D27/D$7*100,0)</f>
        <v>0</v>
      </c>
      <c r="E46" s="136">
        <f t="shared" ref="E46:F46" si="22">+IFERROR(E27/E$7*100,0)</f>
        <v>0</v>
      </c>
      <c r="F46" s="156">
        <f t="shared" si="22"/>
        <v>0</v>
      </c>
      <c r="G46" s="136"/>
      <c r="H46" s="139"/>
      <c r="I46" s="137"/>
      <c r="J46" s="139"/>
      <c r="K46" s="137"/>
      <c r="L46" s="139"/>
    </row>
    <row r="47" spans="1:12" ht="11.85" hidden="1" customHeight="1" outlineLevel="1">
      <c r="A47" s="131"/>
      <c r="B47" s="131"/>
      <c r="C47" s="155" t="str">
        <f>C29</f>
        <v>Advertising</v>
      </c>
      <c r="D47" s="136">
        <f>+IFERROR(D29/D$7*100,0)</f>
        <v>0</v>
      </c>
      <c r="E47" s="136">
        <f t="shared" ref="E47:F47" si="23">+IFERROR(E29/E$7*100,0)</f>
        <v>0</v>
      </c>
      <c r="F47" s="156">
        <f t="shared" si="23"/>
        <v>0</v>
      </c>
      <c r="G47" s="136"/>
      <c r="H47" s="139"/>
      <c r="I47" s="137"/>
      <c r="J47" s="139"/>
      <c r="K47" s="137"/>
      <c r="L47" s="139"/>
    </row>
    <row r="48" spans="1:12" ht="11.85" hidden="1" customHeight="1" outlineLevel="1">
      <c r="A48" s="131"/>
      <c r="B48" s="131"/>
      <c r="C48" s="157" t="str">
        <f>C30</f>
        <v>Other</v>
      </c>
      <c r="D48" s="158">
        <f>+IFERROR(D30/D$7*100,0)</f>
        <v>0</v>
      </c>
      <c r="E48" s="158">
        <f t="shared" ref="E48:F48" si="24">+IFERROR(E30/E$7*100,0)</f>
        <v>0</v>
      </c>
      <c r="F48" s="159">
        <f t="shared" si="24"/>
        <v>0</v>
      </c>
      <c r="G48" s="136"/>
      <c r="H48" s="139"/>
      <c r="I48" s="137"/>
      <c r="J48" s="139"/>
      <c r="K48" s="137"/>
      <c r="L48" s="139"/>
    </row>
    <row r="49" spans="1:12" ht="13.95" hidden="1" customHeight="1" outlineLevel="1">
      <c r="A49" s="131"/>
      <c r="B49" s="131"/>
      <c r="C49" s="131"/>
      <c r="D49" s="131"/>
      <c r="E49" s="131"/>
      <c r="F49" s="131"/>
      <c r="G49" s="131"/>
      <c r="H49" s="131"/>
      <c r="I49" s="131"/>
      <c r="J49" s="131"/>
      <c r="K49" s="131"/>
      <c r="L49" s="131"/>
    </row>
    <row r="50" spans="1:12" ht="13.95" hidden="1" customHeight="1" outlineLevel="1">
      <c r="A50" s="131"/>
      <c r="B50" s="131"/>
      <c r="C50" s="131" t="s">
        <v>2</v>
      </c>
      <c r="D50" s="131" t="e">
        <f>'Lead QE'!#REF!*1000-D31</f>
        <v>#REF!</v>
      </c>
      <c r="E50" s="131" t="e">
        <f>'Lead QE'!#REF!*1000-E31</f>
        <v>#REF!</v>
      </c>
      <c r="F50" s="131" t="e">
        <f>'Lead QE'!#REF!*1000-F31</f>
        <v>#REF!</v>
      </c>
      <c r="G50" s="131"/>
      <c r="H50" s="131"/>
      <c r="I50" s="131"/>
      <c r="J50" s="131"/>
      <c r="K50" s="131"/>
      <c r="L50" s="131"/>
    </row>
    <row r="51" spans="1:12" ht="13.95" customHeight="1" collapsed="1">
      <c r="B51" s="161" t="s">
        <v>63</v>
      </c>
      <c r="C51" s="162"/>
      <c r="D51" s="162"/>
      <c r="E51" s="162"/>
      <c r="F51" s="162"/>
      <c r="G51" s="162"/>
      <c r="H51" s="162"/>
      <c r="I51" s="162"/>
      <c r="J51" s="163"/>
      <c r="K51" s="162"/>
      <c r="L51" s="163"/>
    </row>
    <row r="52" spans="1:12" ht="13.95" customHeight="1">
      <c r="B52" s="86">
        <v>1</v>
      </c>
      <c r="C52" s="534"/>
      <c r="D52" s="534"/>
      <c r="E52" s="534"/>
      <c r="F52" s="534"/>
      <c r="G52" s="534"/>
      <c r="H52" s="534"/>
      <c r="I52" s="534"/>
      <c r="J52" s="534"/>
      <c r="K52" s="534"/>
      <c r="L52" s="534"/>
    </row>
    <row r="53" spans="1:12" ht="13.95" customHeight="1">
      <c r="C53" s="535"/>
      <c r="D53" s="535"/>
      <c r="E53" s="535"/>
      <c r="F53" s="535"/>
      <c r="G53" s="535"/>
      <c r="H53" s="535"/>
      <c r="I53" s="535"/>
      <c r="J53" s="535"/>
      <c r="K53" s="535"/>
      <c r="L53" s="535"/>
    </row>
    <row r="54" spans="1:12" ht="13.95" customHeight="1">
      <c r="B54" s="86">
        <f>B52+1</f>
        <v>2</v>
      </c>
      <c r="C54" s="535"/>
      <c r="D54" s="535"/>
      <c r="E54" s="535"/>
      <c r="F54" s="535"/>
      <c r="G54" s="535"/>
      <c r="H54" s="535"/>
      <c r="I54" s="535"/>
      <c r="J54" s="535"/>
      <c r="K54" s="535"/>
      <c r="L54" s="535"/>
    </row>
    <row r="55" spans="1:12" ht="13.95" customHeight="1">
      <c r="C55" s="535"/>
      <c r="D55" s="535"/>
      <c r="E55" s="535"/>
      <c r="F55" s="535"/>
      <c r="G55" s="535"/>
      <c r="H55" s="535"/>
      <c r="I55" s="535"/>
      <c r="J55" s="535"/>
      <c r="K55" s="535"/>
      <c r="L55" s="535"/>
    </row>
    <row r="56" spans="1:12" ht="13.95" customHeight="1">
      <c r="J56" s="160"/>
      <c r="L56" s="160"/>
    </row>
    <row r="57" spans="1:12" ht="13.95" customHeight="1">
      <c r="J57" s="160"/>
      <c r="L57" s="160"/>
    </row>
  </sheetData>
  <mergeCells count="2">
    <mergeCell ref="C52:L53"/>
    <mergeCell ref="C54:L55"/>
  </mergeCells>
  <pageMargins left="0.7" right="0.7" top="0.75" bottom="0.75" header="0.3" footer="0.3"/>
  <pageSetup scale="65" orientation="landscape" r:id="rId1"/>
</worksheet>
</file>

<file path=xl/worksheets/sheet4.xml><?xml version="1.0" encoding="utf-8"?>
<worksheet xmlns="http://schemas.openxmlformats.org/spreadsheetml/2006/main" xmlns:r="http://schemas.openxmlformats.org/officeDocument/2006/relationships">
  <sheetPr codeName="Sheet12">
    <tabColor rgb="FF262261"/>
    <pageSetUpPr fitToPage="1"/>
  </sheetPr>
  <dimension ref="A10:L31"/>
  <sheetViews>
    <sheetView showGridLines="0" view="pageBreakPreview" zoomScaleNormal="100" zoomScaleSheetLayoutView="100" workbookViewId="0"/>
  </sheetViews>
  <sheetFormatPr defaultColWidth="6.19921875" defaultRowHeight="10.199999999999999"/>
  <cols>
    <col min="1" max="1" width="82.59765625" style="6" customWidth="1"/>
    <col min="2" max="16384" width="6.19921875" style="6"/>
  </cols>
  <sheetData>
    <row r="10" spans="1:1" ht="55.2" customHeight="1">
      <c r="A10" s="71" t="str">
        <f ca="1">RIGHT(CELL("filename",A1),LEN(CELL("filename",A1))-FIND("]",CELL("filename",A1)))</f>
        <v>QE &amp; Support &gt;&gt;&gt;</v>
      </c>
    </row>
    <row r="31" spans="12:12">
      <c r="L31" s="7"/>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sheetPr codeName="Sheet14">
    <pageSetUpPr fitToPage="1"/>
  </sheetPr>
  <dimension ref="A1:AP30"/>
  <sheetViews>
    <sheetView showGridLines="0" view="pageBreakPreview" topLeftCell="B1" zoomScaleNormal="100" zoomScaleSheetLayoutView="100" workbookViewId="0">
      <pane xSplit="7" ySplit="5" topLeftCell="I6" activePane="bottomRight" state="frozen"/>
      <selection activeCell="B1" sqref="B1"/>
      <selection pane="topRight" activeCell="I1" sqref="I1"/>
      <selection pane="bottomLeft" activeCell="B6" sqref="B6"/>
      <selection pane="bottomRight" activeCell="B36" sqref="B36"/>
    </sheetView>
  </sheetViews>
  <sheetFormatPr defaultColWidth="6.19921875" defaultRowHeight="13.95" customHeight="1" outlineLevelRow="1" outlineLevelCol="1"/>
  <cols>
    <col min="1" max="1" width="14.19921875" style="374" hidden="1" customWidth="1" outlineLevel="1"/>
    <col min="2" max="2" width="28.59765625" style="370" customWidth="1" collapsed="1"/>
    <col min="3" max="3" width="3.59765625" style="369" customWidth="1"/>
    <col min="4" max="6" width="5.69921875" style="365" customWidth="1"/>
    <col min="7" max="8" width="5.59765625" style="365" customWidth="1"/>
    <col min="9" max="9" width="1.59765625" style="366" customWidth="1"/>
    <col min="10" max="15" width="5.69921875" style="366" customWidth="1" outlineLevel="1"/>
    <col min="16" max="16" width="5.69921875" style="367" customWidth="1" outlineLevel="1"/>
    <col min="17" max="17" width="5.69921875" style="366" customWidth="1" outlineLevel="1"/>
    <col min="18" max="18" width="5.69921875" style="368" customWidth="1" outlineLevel="1"/>
    <col min="19" max="21" width="5.69921875" style="366" customWidth="1" outlineLevel="1"/>
    <col min="22" max="35" width="5.69921875" style="366" customWidth="1"/>
    <col min="36" max="42" width="5.69921875" style="266" customWidth="1"/>
    <col min="43" max="16384" width="6.19921875" style="266"/>
  </cols>
  <sheetData>
    <row r="1" spans="1:42" ht="13.95" customHeight="1">
      <c r="A1" s="308"/>
      <c r="B1" s="278" t="str">
        <f>Project&amp;" - "&amp;City&amp;", "&amp;State</f>
        <v>OPEN - OPEN, OPEN</v>
      </c>
      <c r="C1" s="364"/>
    </row>
    <row r="2" spans="1:42" ht="13.95" customHeight="1">
      <c r="A2" s="308"/>
      <c r="B2" s="84" t="str">
        <f ca="1">MID(CELL("filename",B1),FIND("]",CELL("filename",B1))+1,255)</f>
        <v>Lead QE</v>
      </c>
    </row>
    <row r="3" spans="1:42" ht="13.95" customHeight="1">
      <c r="A3" s="308"/>
      <c r="J3" s="371"/>
    </row>
    <row r="4" spans="1:42" ht="13.95" customHeight="1">
      <c r="A4" s="307"/>
      <c r="B4" s="82" t="s">
        <v>65</v>
      </c>
      <c r="C4" s="119"/>
      <c r="D4" s="120"/>
      <c r="E4" s="120"/>
      <c r="F4" s="120"/>
      <c r="G4" s="120"/>
      <c r="H4" s="120"/>
      <c r="I4" s="120"/>
      <c r="J4" s="120"/>
      <c r="K4" s="120"/>
      <c r="L4" s="120"/>
      <c r="M4" s="120"/>
      <c r="N4" s="120"/>
      <c r="O4" s="164"/>
      <c r="P4" s="120"/>
      <c r="Q4" s="120"/>
      <c r="R4" s="120"/>
      <c r="S4" s="120"/>
      <c r="T4" s="120"/>
      <c r="U4" s="120"/>
      <c r="V4" s="165"/>
      <c r="W4" s="166"/>
      <c r="X4" s="166"/>
      <c r="Y4" s="166"/>
      <c r="Z4" s="166"/>
      <c r="AA4" s="166"/>
      <c r="AB4" s="166"/>
      <c r="AC4" s="166"/>
      <c r="AD4" s="166"/>
      <c r="AE4" s="166"/>
      <c r="AF4" s="166"/>
      <c r="AG4" s="166"/>
      <c r="AH4" s="166"/>
      <c r="AI4" s="166"/>
      <c r="AJ4" s="166"/>
      <c r="AK4" s="166"/>
      <c r="AL4" s="166"/>
      <c r="AM4" s="166"/>
      <c r="AN4" s="166"/>
      <c r="AO4" s="166"/>
      <c r="AP4" s="166"/>
    </row>
    <row r="5" spans="1:42" s="253" customFormat="1" ht="13.5" customHeight="1" thickBot="1">
      <c r="A5" s="310" t="s">
        <v>79</v>
      </c>
      <c r="B5" s="251" t="s">
        <v>7</v>
      </c>
      <c r="C5" s="252" t="s">
        <v>9</v>
      </c>
      <c r="D5" s="297">
        <f>First_Reporting_Year</f>
        <v>44926</v>
      </c>
      <c r="E5" s="297">
        <f>Second_Reporting_Year</f>
        <v>45291</v>
      </c>
      <c r="F5" s="296">
        <f>Stub_Period</f>
        <v>45565</v>
      </c>
      <c r="G5" s="486">
        <v>45199</v>
      </c>
      <c r="H5" s="486">
        <v>45565</v>
      </c>
      <c r="J5" s="249">
        <f>EOMONTH(D5,-11)</f>
        <v>44592</v>
      </c>
      <c r="K5" s="249">
        <f>EOMONTH(J5,1)</f>
        <v>44620</v>
      </c>
      <c r="L5" s="249">
        <f t="shared" ref="L5:AL5" si="0">EOMONTH(K5,1)</f>
        <v>44651</v>
      </c>
      <c r="M5" s="249">
        <f t="shared" si="0"/>
        <v>44681</v>
      </c>
      <c r="N5" s="249">
        <f t="shared" si="0"/>
        <v>44712</v>
      </c>
      <c r="O5" s="249">
        <f t="shared" si="0"/>
        <v>44742</v>
      </c>
      <c r="P5" s="249">
        <f t="shared" si="0"/>
        <v>44773</v>
      </c>
      <c r="Q5" s="249">
        <f t="shared" si="0"/>
        <v>44804</v>
      </c>
      <c r="R5" s="249">
        <f t="shared" si="0"/>
        <v>44834</v>
      </c>
      <c r="S5" s="249">
        <f t="shared" si="0"/>
        <v>44865</v>
      </c>
      <c r="T5" s="249">
        <f t="shared" si="0"/>
        <v>44895</v>
      </c>
      <c r="U5" s="249">
        <f t="shared" si="0"/>
        <v>44926</v>
      </c>
      <c r="V5" s="249">
        <f t="shared" si="0"/>
        <v>44957</v>
      </c>
      <c r="W5" s="249">
        <f t="shared" si="0"/>
        <v>44985</v>
      </c>
      <c r="X5" s="249">
        <f t="shared" si="0"/>
        <v>45016</v>
      </c>
      <c r="Y5" s="249">
        <f t="shared" si="0"/>
        <v>45046</v>
      </c>
      <c r="Z5" s="249">
        <f t="shared" si="0"/>
        <v>45077</v>
      </c>
      <c r="AA5" s="249">
        <f t="shared" si="0"/>
        <v>45107</v>
      </c>
      <c r="AB5" s="249">
        <f t="shared" si="0"/>
        <v>45138</v>
      </c>
      <c r="AC5" s="249">
        <f t="shared" si="0"/>
        <v>45169</v>
      </c>
      <c r="AD5" s="249">
        <f t="shared" si="0"/>
        <v>45199</v>
      </c>
      <c r="AE5" s="249">
        <f t="shared" si="0"/>
        <v>45230</v>
      </c>
      <c r="AF5" s="249">
        <f t="shared" si="0"/>
        <v>45260</v>
      </c>
      <c r="AG5" s="249">
        <f t="shared" si="0"/>
        <v>45291</v>
      </c>
      <c r="AH5" s="249">
        <f t="shared" si="0"/>
        <v>45322</v>
      </c>
      <c r="AI5" s="249">
        <f t="shared" si="0"/>
        <v>45351</v>
      </c>
      <c r="AJ5" s="249">
        <f t="shared" si="0"/>
        <v>45382</v>
      </c>
      <c r="AK5" s="249">
        <f t="shared" si="0"/>
        <v>45412</v>
      </c>
      <c r="AL5" s="249">
        <f t="shared" si="0"/>
        <v>45443</v>
      </c>
      <c r="AM5" s="249">
        <f t="shared" ref="AM5" si="1">EOMONTH(AL5,1)</f>
        <v>45473</v>
      </c>
      <c r="AN5" s="249">
        <f t="shared" ref="AN5" si="2">EOMONTH(AM5,1)</f>
        <v>45504</v>
      </c>
      <c r="AO5" s="249">
        <f t="shared" ref="AO5" si="3">EOMONTH(AN5,1)</f>
        <v>45535</v>
      </c>
      <c r="AP5" s="249">
        <f t="shared" ref="AP5" si="4">EOMONTH(AO5,1)</f>
        <v>45565</v>
      </c>
    </row>
    <row r="6" spans="1:42" s="74" customFormat="1" ht="13.95" customHeight="1">
      <c r="A6" s="307"/>
      <c r="B6" s="302" t="s">
        <v>8</v>
      </c>
      <c r="C6" s="303"/>
      <c r="D6" s="304">
        <f>SUMIFS($J6:$AP6,$J$5:$AP$5,"&gt;"&amp;EOMONTH(D$5,-12),$J$5:$AP$5,"&lt;="&amp;D$5)</f>
        <v>0</v>
      </c>
      <c r="E6" s="304">
        <f>SUMIFS($J6:$AP6,$J$5:$AP$5,"&gt;"&amp;EOMONTH(E$5,-12),$J$5:$AP$5,"&lt;="&amp;E$5)</f>
        <v>0</v>
      </c>
      <c r="F6" s="304">
        <f>SUMIFS($J6:$AP6,$J$5:$AP$5,"&gt;"&amp;EOMONTH(F$5,-12),$J$5:$AP$5,"&lt;="&amp;F$5)</f>
        <v>0</v>
      </c>
      <c r="G6" s="487">
        <f>SUMIFS($J6:$AS6,$J$5:$AS$5,"&gt;"&amp;EOMONTH(G$5,-9),$J$5:$AS$5,"&lt;="&amp;G$5)</f>
        <v>0</v>
      </c>
      <c r="H6" s="487">
        <f>SUMIFS($J6:$AS6,$J$5:$AS$5,"&gt;"&amp;EOMONTH(H$5,-9),$J$5:$AS$5,"&lt;="&amp;H$5)</f>
        <v>0</v>
      </c>
      <c r="I6" s="305"/>
      <c r="J6" s="304">
        <f>PL!L15</f>
        <v>0</v>
      </c>
      <c r="K6" s="304">
        <f>PL!M15</f>
        <v>0</v>
      </c>
      <c r="L6" s="304">
        <f>PL!N15</f>
        <v>0</v>
      </c>
      <c r="M6" s="304">
        <f>PL!O15</f>
        <v>0</v>
      </c>
      <c r="N6" s="304">
        <f>PL!P15</f>
        <v>0</v>
      </c>
      <c r="O6" s="304">
        <f>PL!Q15</f>
        <v>0</v>
      </c>
      <c r="P6" s="304">
        <f>PL!R15</f>
        <v>0</v>
      </c>
      <c r="Q6" s="304">
        <f>PL!S15</f>
        <v>0</v>
      </c>
      <c r="R6" s="304">
        <f>PL!T15</f>
        <v>0</v>
      </c>
      <c r="S6" s="304">
        <f>PL!U15</f>
        <v>0</v>
      </c>
      <c r="T6" s="304">
        <f>PL!V15</f>
        <v>0</v>
      </c>
      <c r="U6" s="304">
        <f>PL!W15</f>
        <v>0</v>
      </c>
      <c r="V6" s="304">
        <f>PL!X15</f>
        <v>0</v>
      </c>
      <c r="W6" s="304">
        <f>PL!Y15</f>
        <v>0</v>
      </c>
      <c r="X6" s="304">
        <f>PL!Z15</f>
        <v>0</v>
      </c>
      <c r="Y6" s="304">
        <f>PL!AA15</f>
        <v>0</v>
      </c>
      <c r="Z6" s="304">
        <f>PL!AB15</f>
        <v>0</v>
      </c>
      <c r="AA6" s="304">
        <f>PL!AC15</f>
        <v>0</v>
      </c>
      <c r="AB6" s="304">
        <f>PL!AD15</f>
        <v>0</v>
      </c>
      <c r="AC6" s="304">
        <f>PL!AE15</f>
        <v>0</v>
      </c>
      <c r="AD6" s="304">
        <f>PL!AF15</f>
        <v>0</v>
      </c>
      <c r="AE6" s="304">
        <f>PL!AG15</f>
        <v>0</v>
      </c>
      <c r="AF6" s="304">
        <f>PL!AH15</f>
        <v>0</v>
      </c>
      <c r="AG6" s="304">
        <f>PL!AI15</f>
        <v>0</v>
      </c>
      <c r="AH6" s="304">
        <f>PL!AJ15</f>
        <v>0</v>
      </c>
      <c r="AI6" s="304">
        <f>PL!AK15</f>
        <v>0</v>
      </c>
      <c r="AJ6" s="304">
        <f>PL!AL15</f>
        <v>0</v>
      </c>
      <c r="AK6" s="304">
        <f>PL!AM15</f>
        <v>0</v>
      </c>
      <c r="AL6" s="304">
        <f>PL!AS15</f>
        <v>0</v>
      </c>
      <c r="AM6" s="304">
        <f>PL!AT15</f>
        <v>0</v>
      </c>
      <c r="AN6" s="304">
        <f>PL!AU15</f>
        <v>0</v>
      </c>
      <c r="AO6" s="304">
        <f>PL!AV15</f>
        <v>0</v>
      </c>
      <c r="AP6" s="304">
        <f>PL!AW15</f>
        <v>0</v>
      </c>
    </row>
    <row r="7" spans="1:42" s="74" customFormat="1" ht="4.3499999999999996" customHeight="1">
      <c r="A7" s="307"/>
      <c r="B7" s="72"/>
      <c r="C7" s="73"/>
      <c r="D7" s="292"/>
      <c r="E7" s="292"/>
      <c r="F7" s="292"/>
      <c r="G7" s="487"/>
      <c r="H7" s="487"/>
      <c r="I7" s="305"/>
      <c r="J7" s="292"/>
      <c r="K7" s="292"/>
      <c r="L7" s="292"/>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row>
    <row r="8" spans="1:42" s="74" customFormat="1" ht="13.95" hidden="1" customHeight="1" outlineLevel="1">
      <c r="A8" s="307"/>
      <c r="B8" s="72" t="s">
        <v>27</v>
      </c>
      <c r="C8" s="73"/>
      <c r="D8" s="292">
        <f t="shared" ref="D8:F11" si="5">SUMIFS($J8:$AP8,$J$5:$AP$5,"&gt;"&amp;EOMONTH(D$5,-12),$J$5:$AP$5,"&lt;="&amp;D$5)</f>
        <v>0</v>
      </c>
      <c r="E8" s="292">
        <f t="shared" si="5"/>
        <v>0</v>
      </c>
      <c r="F8" s="292">
        <f t="shared" si="5"/>
        <v>0</v>
      </c>
      <c r="G8" s="487">
        <f t="shared" ref="G8:H12" si="6">SUMIFS($J8:$AS8,$J$5:$AS$5,"&gt;"&amp;EOMONTH(G$5,-9),$J$5:$AS$5,"&lt;="&amp;G$5)</f>
        <v>0</v>
      </c>
      <c r="H8" s="487">
        <f t="shared" si="6"/>
        <v>0</v>
      </c>
      <c r="I8" s="305"/>
      <c r="J8" s="292">
        <f>PL!L73</f>
        <v>0</v>
      </c>
      <c r="K8" s="292">
        <f>PL!M73</f>
        <v>0</v>
      </c>
      <c r="L8" s="292">
        <f>PL!N73</f>
        <v>0</v>
      </c>
      <c r="M8" s="292">
        <f>PL!O73</f>
        <v>0</v>
      </c>
      <c r="N8" s="292">
        <f>PL!P73</f>
        <v>0</v>
      </c>
      <c r="O8" s="292">
        <f>PL!Q73</f>
        <v>0</v>
      </c>
      <c r="P8" s="292">
        <f>PL!R73</f>
        <v>0</v>
      </c>
      <c r="Q8" s="292">
        <f>PL!S73</f>
        <v>0</v>
      </c>
      <c r="R8" s="292">
        <f>PL!T73</f>
        <v>0</v>
      </c>
      <c r="S8" s="292">
        <f>PL!U73</f>
        <v>0</v>
      </c>
      <c r="T8" s="292">
        <f>PL!V73</f>
        <v>0</v>
      </c>
      <c r="U8" s="292">
        <f>PL!W73</f>
        <v>0</v>
      </c>
      <c r="V8" s="292">
        <f>PL!X73</f>
        <v>0</v>
      </c>
      <c r="W8" s="292">
        <f>PL!Y73</f>
        <v>0</v>
      </c>
      <c r="X8" s="292">
        <f>PL!Z73</f>
        <v>0</v>
      </c>
      <c r="Y8" s="292">
        <f>PL!AA73</f>
        <v>0</v>
      </c>
      <c r="Z8" s="292">
        <f>PL!AB73</f>
        <v>0</v>
      </c>
      <c r="AA8" s="292">
        <f>PL!AC73</f>
        <v>0</v>
      </c>
      <c r="AB8" s="292">
        <f>PL!AD73</f>
        <v>0</v>
      </c>
      <c r="AC8" s="292">
        <f>PL!AE73</f>
        <v>0</v>
      </c>
      <c r="AD8" s="292">
        <f>PL!AF73</f>
        <v>0</v>
      </c>
      <c r="AE8" s="292">
        <f>PL!AG73</f>
        <v>0</v>
      </c>
      <c r="AF8" s="292">
        <f>PL!AH73</f>
        <v>0</v>
      </c>
      <c r="AG8" s="292">
        <f>PL!AI73</f>
        <v>0</v>
      </c>
      <c r="AH8" s="292">
        <f>PL!AJ73</f>
        <v>0</v>
      </c>
      <c r="AI8" s="292">
        <f>PL!AK73</f>
        <v>0</v>
      </c>
      <c r="AJ8" s="292">
        <f>PL!AL73</f>
        <v>0</v>
      </c>
      <c r="AK8" s="292">
        <f>PL!AM73</f>
        <v>0</v>
      </c>
      <c r="AL8" s="292">
        <f>PL!AS73</f>
        <v>0</v>
      </c>
      <c r="AM8" s="292">
        <f>PL!AT73</f>
        <v>0</v>
      </c>
      <c r="AN8" s="292">
        <f>PL!AU73</f>
        <v>0</v>
      </c>
      <c r="AO8" s="292">
        <f>PL!AV73</f>
        <v>0</v>
      </c>
      <c r="AP8" s="292">
        <f>PL!AW73</f>
        <v>0</v>
      </c>
    </row>
    <row r="9" spans="1:42" s="77" customFormat="1" ht="13.95" hidden="1" customHeight="1" outlineLevel="1">
      <c r="A9" s="308"/>
      <c r="B9" s="100" t="s">
        <v>26</v>
      </c>
      <c r="C9" s="81"/>
      <c r="D9" s="293">
        <f t="shared" si="5"/>
        <v>0</v>
      </c>
      <c r="E9" s="293">
        <f t="shared" si="5"/>
        <v>0</v>
      </c>
      <c r="F9" s="293">
        <f t="shared" si="5"/>
        <v>0</v>
      </c>
      <c r="G9" s="487">
        <f t="shared" si="6"/>
        <v>0</v>
      </c>
      <c r="H9" s="487">
        <f t="shared" si="6"/>
        <v>0</v>
      </c>
      <c r="I9" s="305"/>
      <c r="J9" s="293">
        <f>PL!L75</f>
        <v>0</v>
      </c>
      <c r="K9" s="293">
        <f>PL!M75</f>
        <v>0</v>
      </c>
      <c r="L9" s="293">
        <f>PL!N75</f>
        <v>0</v>
      </c>
      <c r="M9" s="293">
        <f>PL!O75</f>
        <v>0</v>
      </c>
      <c r="N9" s="293">
        <f>PL!P75</f>
        <v>0</v>
      </c>
      <c r="O9" s="293">
        <f>PL!Q75</f>
        <v>0</v>
      </c>
      <c r="P9" s="293">
        <f>PL!R75</f>
        <v>0</v>
      </c>
      <c r="Q9" s="293">
        <f>PL!S75</f>
        <v>0</v>
      </c>
      <c r="R9" s="293">
        <f>PL!T75</f>
        <v>0</v>
      </c>
      <c r="S9" s="293">
        <f>PL!U75</f>
        <v>0</v>
      </c>
      <c r="T9" s="293">
        <f>PL!V75</f>
        <v>0</v>
      </c>
      <c r="U9" s="293">
        <f>PL!W75</f>
        <v>0</v>
      </c>
      <c r="V9" s="293">
        <f>PL!X75</f>
        <v>0</v>
      </c>
      <c r="W9" s="293">
        <f>PL!Y75</f>
        <v>0</v>
      </c>
      <c r="X9" s="293">
        <f>PL!Z75</f>
        <v>0</v>
      </c>
      <c r="Y9" s="293">
        <f>PL!AA75</f>
        <v>0</v>
      </c>
      <c r="Z9" s="293">
        <f>PL!AB75</f>
        <v>0</v>
      </c>
      <c r="AA9" s="293">
        <f>PL!AC75</f>
        <v>0</v>
      </c>
      <c r="AB9" s="293">
        <f>PL!AD75</f>
        <v>0</v>
      </c>
      <c r="AC9" s="293">
        <f>PL!AE75</f>
        <v>0</v>
      </c>
      <c r="AD9" s="293">
        <f>PL!AF75</f>
        <v>0</v>
      </c>
      <c r="AE9" s="293">
        <f>PL!AG75</f>
        <v>0</v>
      </c>
      <c r="AF9" s="293">
        <f>PL!AH75</f>
        <v>0</v>
      </c>
      <c r="AG9" s="293">
        <f>PL!AI75</f>
        <v>0</v>
      </c>
      <c r="AH9" s="293">
        <f>PL!AJ75</f>
        <v>0</v>
      </c>
      <c r="AI9" s="293">
        <f>PL!AK75</f>
        <v>0</v>
      </c>
      <c r="AJ9" s="293">
        <f>PL!AL75</f>
        <v>0</v>
      </c>
      <c r="AK9" s="293">
        <f>PL!AM75</f>
        <v>0</v>
      </c>
      <c r="AL9" s="293">
        <f>PL!AS75</f>
        <v>0</v>
      </c>
      <c r="AM9" s="293">
        <f>PL!AT75</f>
        <v>0</v>
      </c>
      <c r="AN9" s="293">
        <f>PL!AU75</f>
        <v>0</v>
      </c>
      <c r="AO9" s="293">
        <f>PL!AV75</f>
        <v>0</v>
      </c>
      <c r="AP9" s="293">
        <f>PL!AW75</f>
        <v>0</v>
      </c>
    </row>
    <row r="10" spans="1:42" s="77" customFormat="1" ht="13.95" hidden="1" customHeight="1" outlineLevel="1">
      <c r="A10" s="308"/>
      <c r="B10" s="100" t="s">
        <v>25</v>
      </c>
      <c r="C10" s="81"/>
      <c r="D10" s="293">
        <f t="shared" si="5"/>
        <v>0</v>
      </c>
      <c r="E10" s="293">
        <f t="shared" si="5"/>
        <v>0</v>
      </c>
      <c r="F10" s="293">
        <f t="shared" si="5"/>
        <v>0</v>
      </c>
      <c r="G10" s="487">
        <f t="shared" si="6"/>
        <v>0</v>
      </c>
      <c r="H10" s="487">
        <f t="shared" si="6"/>
        <v>0</v>
      </c>
      <c r="I10" s="305"/>
      <c r="J10" s="293">
        <f>PL!L76</f>
        <v>0</v>
      </c>
      <c r="K10" s="293">
        <f>PL!M76</f>
        <v>0</v>
      </c>
      <c r="L10" s="293">
        <f>PL!N76</f>
        <v>0</v>
      </c>
      <c r="M10" s="293">
        <f>PL!O76</f>
        <v>0</v>
      </c>
      <c r="N10" s="293">
        <f>PL!P76</f>
        <v>0</v>
      </c>
      <c r="O10" s="293">
        <f>PL!Q76</f>
        <v>0</v>
      </c>
      <c r="P10" s="293">
        <f>PL!R76</f>
        <v>0</v>
      </c>
      <c r="Q10" s="293">
        <f>PL!S76</f>
        <v>0</v>
      </c>
      <c r="R10" s="293">
        <f>PL!T76</f>
        <v>0</v>
      </c>
      <c r="S10" s="293">
        <f>PL!U76</f>
        <v>0</v>
      </c>
      <c r="T10" s="293">
        <f>PL!V76</f>
        <v>0</v>
      </c>
      <c r="U10" s="293">
        <f>PL!W76</f>
        <v>0</v>
      </c>
      <c r="V10" s="293">
        <f>PL!X76</f>
        <v>0</v>
      </c>
      <c r="W10" s="293">
        <f>PL!Y76</f>
        <v>0</v>
      </c>
      <c r="X10" s="293">
        <f>PL!Z76</f>
        <v>0</v>
      </c>
      <c r="Y10" s="293">
        <f>PL!AA76</f>
        <v>0</v>
      </c>
      <c r="Z10" s="293">
        <f>PL!AB76</f>
        <v>0</v>
      </c>
      <c r="AA10" s="293">
        <f>PL!AC76</f>
        <v>0</v>
      </c>
      <c r="AB10" s="293">
        <f>PL!AD76</f>
        <v>0</v>
      </c>
      <c r="AC10" s="293">
        <f>PL!AE76</f>
        <v>0</v>
      </c>
      <c r="AD10" s="293">
        <f>PL!AF76</f>
        <v>0</v>
      </c>
      <c r="AE10" s="293">
        <f>PL!AG76</f>
        <v>0</v>
      </c>
      <c r="AF10" s="293">
        <f>PL!AH76</f>
        <v>0</v>
      </c>
      <c r="AG10" s="293">
        <f>PL!AI76</f>
        <v>0</v>
      </c>
      <c r="AH10" s="293">
        <f>PL!AJ76</f>
        <v>0</v>
      </c>
      <c r="AI10" s="293">
        <f>PL!AK76</f>
        <v>0</v>
      </c>
      <c r="AJ10" s="293">
        <f>PL!AL76</f>
        <v>0</v>
      </c>
      <c r="AK10" s="293">
        <f>PL!AM76</f>
        <v>0</v>
      </c>
      <c r="AL10" s="293">
        <f>PL!AS76</f>
        <v>0</v>
      </c>
      <c r="AM10" s="293">
        <f>PL!AT76</f>
        <v>0</v>
      </c>
      <c r="AN10" s="293">
        <f>PL!AU76</f>
        <v>0</v>
      </c>
      <c r="AO10" s="293">
        <f>PL!AV76</f>
        <v>0</v>
      </c>
      <c r="AP10" s="293">
        <f>PL!AW76</f>
        <v>0</v>
      </c>
    </row>
    <row r="11" spans="1:42" s="77" customFormat="1" ht="13.95" hidden="1" customHeight="1" outlineLevel="1">
      <c r="A11" s="308"/>
      <c r="B11" s="282" t="s">
        <v>24</v>
      </c>
      <c r="C11" s="91"/>
      <c r="D11" s="295">
        <f t="shared" si="5"/>
        <v>0</v>
      </c>
      <c r="E11" s="295">
        <f t="shared" si="5"/>
        <v>0</v>
      </c>
      <c r="F11" s="295">
        <f t="shared" si="5"/>
        <v>0</v>
      </c>
      <c r="G11" s="492">
        <f t="shared" si="6"/>
        <v>0</v>
      </c>
      <c r="H11" s="492">
        <f t="shared" si="6"/>
        <v>0</v>
      </c>
      <c r="I11" s="305"/>
      <c r="J11" s="295">
        <f>PL!L77</f>
        <v>0</v>
      </c>
      <c r="K11" s="295">
        <f>PL!M77</f>
        <v>0</v>
      </c>
      <c r="L11" s="295">
        <f>PL!N77</f>
        <v>0</v>
      </c>
      <c r="M11" s="295">
        <f>PL!O77</f>
        <v>0</v>
      </c>
      <c r="N11" s="295">
        <f>PL!P77</f>
        <v>0</v>
      </c>
      <c r="O11" s="295">
        <f>PL!Q77</f>
        <v>0</v>
      </c>
      <c r="P11" s="295">
        <f>PL!R77</f>
        <v>0</v>
      </c>
      <c r="Q11" s="295">
        <f>PL!S77</f>
        <v>0</v>
      </c>
      <c r="R11" s="295">
        <f>PL!T77</f>
        <v>0</v>
      </c>
      <c r="S11" s="295">
        <f>PL!U77</f>
        <v>0</v>
      </c>
      <c r="T11" s="295">
        <f>PL!V77</f>
        <v>0</v>
      </c>
      <c r="U11" s="295">
        <f>PL!W77</f>
        <v>0</v>
      </c>
      <c r="V11" s="295">
        <f>PL!X77</f>
        <v>0</v>
      </c>
      <c r="W11" s="295">
        <f>PL!Y77</f>
        <v>0</v>
      </c>
      <c r="X11" s="295">
        <f>PL!Z77</f>
        <v>0</v>
      </c>
      <c r="Y11" s="295">
        <f>PL!AA77</f>
        <v>0</v>
      </c>
      <c r="Z11" s="295">
        <f>PL!AB77</f>
        <v>0</v>
      </c>
      <c r="AA11" s="295">
        <f>PL!AC77</f>
        <v>0</v>
      </c>
      <c r="AB11" s="295">
        <f>PL!AD77</f>
        <v>0</v>
      </c>
      <c r="AC11" s="295">
        <f>PL!AE77</f>
        <v>0</v>
      </c>
      <c r="AD11" s="295">
        <f>PL!AF77</f>
        <v>0</v>
      </c>
      <c r="AE11" s="295">
        <f>PL!AG77</f>
        <v>0</v>
      </c>
      <c r="AF11" s="295">
        <f>PL!AH77</f>
        <v>0</v>
      </c>
      <c r="AG11" s="295">
        <f>PL!AI77</f>
        <v>0</v>
      </c>
      <c r="AH11" s="295">
        <f>PL!AJ77</f>
        <v>0</v>
      </c>
      <c r="AI11" s="295">
        <f>PL!AK77</f>
        <v>0</v>
      </c>
      <c r="AJ11" s="295">
        <f>PL!AL77</f>
        <v>0</v>
      </c>
      <c r="AK11" s="295">
        <f>PL!AM77</f>
        <v>0</v>
      </c>
      <c r="AL11" s="295">
        <f>PL!AS77</f>
        <v>0</v>
      </c>
      <c r="AM11" s="295">
        <f>PL!AT77</f>
        <v>0</v>
      </c>
      <c r="AN11" s="295">
        <f>PL!AU77</f>
        <v>0</v>
      </c>
      <c r="AO11" s="295">
        <f>PL!AV77</f>
        <v>0</v>
      </c>
      <c r="AP11" s="295">
        <f>PL!AW77</f>
        <v>0</v>
      </c>
    </row>
    <row r="12" spans="1:42" s="74" customFormat="1" ht="13.95" customHeight="1" collapsed="1">
      <c r="A12" s="307"/>
      <c r="B12" s="218" t="s">
        <v>4</v>
      </c>
      <c r="C12" s="314"/>
      <c r="D12" s="315">
        <f t="shared" ref="D12:J12" si="7">SUM(D8:D11)</f>
        <v>0</v>
      </c>
      <c r="E12" s="315">
        <f t="shared" si="7"/>
        <v>0</v>
      </c>
      <c r="F12" s="315">
        <f t="shared" si="7"/>
        <v>0</v>
      </c>
      <c r="G12" s="488">
        <f t="shared" si="6"/>
        <v>0</v>
      </c>
      <c r="H12" s="488">
        <f t="shared" si="6"/>
        <v>0</v>
      </c>
      <c r="I12" s="305"/>
      <c r="J12" s="315">
        <f t="shared" si="7"/>
        <v>0</v>
      </c>
      <c r="K12" s="315">
        <f t="shared" ref="K12:AK12" si="8">SUM(K8:K11)</f>
        <v>0</v>
      </c>
      <c r="L12" s="315">
        <f t="shared" si="8"/>
        <v>0</v>
      </c>
      <c r="M12" s="315">
        <f t="shared" si="8"/>
        <v>0</v>
      </c>
      <c r="N12" s="315">
        <f t="shared" si="8"/>
        <v>0</v>
      </c>
      <c r="O12" s="315">
        <f t="shared" si="8"/>
        <v>0</v>
      </c>
      <c r="P12" s="315">
        <f t="shared" si="8"/>
        <v>0</v>
      </c>
      <c r="Q12" s="315">
        <f t="shared" si="8"/>
        <v>0</v>
      </c>
      <c r="R12" s="315">
        <f t="shared" si="8"/>
        <v>0</v>
      </c>
      <c r="S12" s="315">
        <f t="shared" si="8"/>
        <v>0</v>
      </c>
      <c r="T12" s="315">
        <f t="shared" si="8"/>
        <v>0</v>
      </c>
      <c r="U12" s="315">
        <f t="shared" si="8"/>
        <v>0</v>
      </c>
      <c r="V12" s="315">
        <f t="shared" si="8"/>
        <v>0</v>
      </c>
      <c r="W12" s="315">
        <f t="shared" si="8"/>
        <v>0</v>
      </c>
      <c r="X12" s="315">
        <f t="shared" si="8"/>
        <v>0</v>
      </c>
      <c r="Y12" s="315">
        <f t="shared" si="8"/>
        <v>0</v>
      </c>
      <c r="Z12" s="315">
        <f t="shared" si="8"/>
        <v>0</v>
      </c>
      <c r="AA12" s="315">
        <f t="shared" si="8"/>
        <v>0</v>
      </c>
      <c r="AB12" s="315">
        <f t="shared" si="8"/>
        <v>0</v>
      </c>
      <c r="AC12" s="315">
        <f t="shared" si="8"/>
        <v>0</v>
      </c>
      <c r="AD12" s="315">
        <f t="shared" si="8"/>
        <v>0</v>
      </c>
      <c r="AE12" s="315">
        <f t="shared" si="8"/>
        <v>0</v>
      </c>
      <c r="AF12" s="315">
        <f t="shared" si="8"/>
        <v>0</v>
      </c>
      <c r="AG12" s="315">
        <f t="shared" si="8"/>
        <v>0</v>
      </c>
      <c r="AH12" s="315">
        <f t="shared" si="8"/>
        <v>0</v>
      </c>
      <c r="AI12" s="315">
        <f t="shared" si="8"/>
        <v>0</v>
      </c>
      <c r="AJ12" s="315">
        <f t="shared" si="8"/>
        <v>0</v>
      </c>
      <c r="AK12" s="315">
        <f t="shared" si="8"/>
        <v>0</v>
      </c>
      <c r="AL12" s="315">
        <f t="shared" ref="AL12" si="9">SUM(AL8:AL11)</f>
        <v>0</v>
      </c>
      <c r="AM12" s="315">
        <f t="shared" ref="AM12:AP12" si="10">SUM(AM8:AM11)</f>
        <v>0</v>
      </c>
      <c r="AN12" s="315">
        <f t="shared" si="10"/>
        <v>0</v>
      </c>
      <c r="AO12" s="315">
        <f t="shared" si="10"/>
        <v>0</v>
      </c>
      <c r="AP12" s="315">
        <f t="shared" si="10"/>
        <v>0</v>
      </c>
    </row>
    <row r="13" spans="1:42" s="116" customFormat="1" ht="13.95" customHeight="1">
      <c r="A13" s="309"/>
      <c r="B13" s="313" t="s">
        <v>98</v>
      </c>
      <c r="C13" s="280"/>
      <c r="D13" s="392" t="e">
        <f t="shared" ref="D13:J13" si="11">(D12/D6)*100</f>
        <v>#DIV/0!</v>
      </c>
      <c r="E13" s="392" t="e">
        <f t="shared" si="11"/>
        <v>#DIV/0!</v>
      </c>
      <c r="F13" s="392" t="e">
        <f t="shared" si="11"/>
        <v>#DIV/0!</v>
      </c>
      <c r="G13" s="489" t="e">
        <f t="shared" si="11"/>
        <v>#DIV/0!</v>
      </c>
      <c r="H13" s="489" t="e">
        <f t="shared" si="11"/>
        <v>#DIV/0!</v>
      </c>
      <c r="I13" s="294"/>
      <c r="J13" s="392" t="e">
        <f t="shared" si="11"/>
        <v>#DIV/0!</v>
      </c>
      <c r="K13" s="392" t="e">
        <f t="shared" ref="K13:AK13" si="12">(K12/K6)*100</f>
        <v>#DIV/0!</v>
      </c>
      <c r="L13" s="392" t="e">
        <f t="shared" si="12"/>
        <v>#DIV/0!</v>
      </c>
      <c r="M13" s="392" t="e">
        <f t="shared" si="12"/>
        <v>#DIV/0!</v>
      </c>
      <c r="N13" s="392" t="e">
        <f t="shared" si="12"/>
        <v>#DIV/0!</v>
      </c>
      <c r="O13" s="392" t="e">
        <f t="shared" si="12"/>
        <v>#DIV/0!</v>
      </c>
      <c r="P13" s="392" t="e">
        <f t="shared" si="12"/>
        <v>#DIV/0!</v>
      </c>
      <c r="Q13" s="392" t="e">
        <f t="shared" si="12"/>
        <v>#DIV/0!</v>
      </c>
      <c r="R13" s="392" t="e">
        <f t="shared" si="12"/>
        <v>#DIV/0!</v>
      </c>
      <c r="S13" s="392" t="e">
        <f t="shared" si="12"/>
        <v>#DIV/0!</v>
      </c>
      <c r="T13" s="392" t="e">
        <f t="shared" si="12"/>
        <v>#DIV/0!</v>
      </c>
      <c r="U13" s="392" t="e">
        <f t="shared" si="12"/>
        <v>#DIV/0!</v>
      </c>
      <c r="V13" s="392" t="e">
        <f t="shared" si="12"/>
        <v>#DIV/0!</v>
      </c>
      <c r="W13" s="392" t="e">
        <f t="shared" si="12"/>
        <v>#DIV/0!</v>
      </c>
      <c r="X13" s="392" t="e">
        <f t="shared" si="12"/>
        <v>#DIV/0!</v>
      </c>
      <c r="Y13" s="392" t="e">
        <f t="shared" si="12"/>
        <v>#DIV/0!</v>
      </c>
      <c r="Z13" s="392" t="e">
        <f t="shared" si="12"/>
        <v>#DIV/0!</v>
      </c>
      <c r="AA13" s="392" t="e">
        <f t="shared" si="12"/>
        <v>#DIV/0!</v>
      </c>
      <c r="AB13" s="392" t="e">
        <f t="shared" si="12"/>
        <v>#DIV/0!</v>
      </c>
      <c r="AC13" s="392" t="e">
        <f t="shared" si="12"/>
        <v>#DIV/0!</v>
      </c>
      <c r="AD13" s="392" t="e">
        <f t="shared" si="12"/>
        <v>#DIV/0!</v>
      </c>
      <c r="AE13" s="392" t="e">
        <f t="shared" si="12"/>
        <v>#DIV/0!</v>
      </c>
      <c r="AF13" s="392" t="e">
        <f t="shared" si="12"/>
        <v>#DIV/0!</v>
      </c>
      <c r="AG13" s="392" t="e">
        <f t="shared" si="12"/>
        <v>#DIV/0!</v>
      </c>
      <c r="AH13" s="392" t="e">
        <f t="shared" si="12"/>
        <v>#DIV/0!</v>
      </c>
      <c r="AI13" s="392" t="e">
        <f t="shared" si="12"/>
        <v>#DIV/0!</v>
      </c>
      <c r="AJ13" s="392" t="e">
        <f t="shared" si="12"/>
        <v>#DIV/0!</v>
      </c>
      <c r="AK13" s="392" t="e">
        <f t="shared" si="12"/>
        <v>#DIV/0!</v>
      </c>
      <c r="AL13" s="392" t="e">
        <f t="shared" ref="AL13" si="13">(AL12/AL6)*100</f>
        <v>#DIV/0!</v>
      </c>
      <c r="AM13" s="392" t="e">
        <f t="shared" ref="AM13:AP13" si="14">(AM12/AM6)*100</f>
        <v>#DIV/0!</v>
      </c>
      <c r="AN13" s="392" t="e">
        <f t="shared" si="14"/>
        <v>#DIV/0!</v>
      </c>
      <c r="AO13" s="392" t="e">
        <f t="shared" si="14"/>
        <v>#DIV/0!</v>
      </c>
      <c r="AP13" s="392" t="e">
        <f t="shared" si="14"/>
        <v>#DIV/0!</v>
      </c>
    </row>
    <row r="14" spans="1:42" s="77" customFormat="1" ht="13.95" customHeight="1">
      <c r="A14" s="308"/>
      <c r="B14" s="75"/>
      <c r="C14" s="76"/>
      <c r="D14" s="293"/>
      <c r="E14" s="293"/>
      <c r="F14" s="293"/>
      <c r="G14" s="490"/>
      <c r="H14" s="490"/>
      <c r="I14" s="294"/>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row>
    <row r="15" spans="1:42" s="77" customFormat="1" ht="13.95" customHeight="1">
      <c r="A15" s="308"/>
      <c r="B15" s="78" t="s">
        <v>46</v>
      </c>
      <c r="C15" s="79"/>
      <c r="D15" s="293"/>
      <c r="E15" s="293"/>
      <c r="F15" s="293"/>
      <c r="G15" s="490"/>
      <c r="H15" s="490"/>
      <c r="I15" s="294"/>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row>
    <row r="16" spans="1:42" s="77" customFormat="1" ht="13.95" customHeight="1">
      <c r="A16" s="308" t="str">
        <f>B16</f>
        <v>[Input adjustment]</v>
      </c>
      <c r="B16" s="533" t="s">
        <v>230</v>
      </c>
      <c r="C16" s="81">
        <v>1</v>
      </c>
      <c r="D16" s="293">
        <f t="shared" ref="D16:F25" si="15">SUMIFS($J16:$AP16,$J$5:$AP$5,"&gt;"&amp;EOMONTH(D$5,-12),$J$5:$AP$5,"&lt;="&amp;D$5)</f>
        <v>0</v>
      </c>
      <c r="E16" s="293">
        <f t="shared" si="15"/>
        <v>0</v>
      </c>
      <c r="F16" s="293">
        <f t="shared" si="15"/>
        <v>0</v>
      </c>
      <c r="G16" s="491">
        <f t="shared" ref="G16:H25" si="16">SUMIFS($J16:$AS16,$J$5:$AS$5,"&gt;"&amp;EOMONTH(G$5,-9),$J$5:$AS$5,"&lt;="&amp;G$5)</f>
        <v>0</v>
      </c>
      <c r="H16" s="491">
        <f t="shared" si="16"/>
        <v>0</v>
      </c>
      <c r="I16" s="294"/>
      <c r="J16" s="293">
        <f>'QE Detail - MGMT.'!H16</f>
        <v>0</v>
      </c>
      <c r="K16" s="293">
        <f>'QE Detail - MGMT.'!I16</f>
        <v>0</v>
      </c>
      <c r="L16" s="293">
        <f>'QE Detail - MGMT.'!J16</f>
        <v>0</v>
      </c>
      <c r="M16" s="293">
        <f>'QE Detail - MGMT.'!K16</f>
        <v>0</v>
      </c>
      <c r="N16" s="293">
        <f>'QE Detail - MGMT.'!L16</f>
        <v>0</v>
      </c>
      <c r="O16" s="293">
        <f>'QE Detail - MGMT.'!M16</f>
        <v>0</v>
      </c>
      <c r="P16" s="293">
        <f>'QE Detail - MGMT.'!N16</f>
        <v>0</v>
      </c>
      <c r="Q16" s="293">
        <f>'QE Detail - MGMT.'!O16</f>
        <v>0</v>
      </c>
      <c r="R16" s="293">
        <f>'QE Detail - MGMT.'!P16</f>
        <v>0</v>
      </c>
      <c r="S16" s="293">
        <f>'QE Detail - MGMT.'!Q16</f>
        <v>0</v>
      </c>
      <c r="T16" s="293">
        <f>'QE Detail - MGMT.'!R16</f>
        <v>0</v>
      </c>
      <c r="U16" s="293">
        <f>'QE Detail - MGMT.'!S16</f>
        <v>0</v>
      </c>
      <c r="V16" s="293">
        <f>'QE Detail - MGMT.'!T16</f>
        <v>0</v>
      </c>
      <c r="W16" s="293">
        <f>'QE Detail - MGMT.'!U16</f>
        <v>0</v>
      </c>
      <c r="X16" s="293">
        <f>'QE Detail - MGMT.'!V16</f>
        <v>0</v>
      </c>
      <c r="Y16" s="293">
        <f>'QE Detail - MGMT.'!W16</f>
        <v>0</v>
      </c>
      <c r="Z16" s="293">
        <f>'QE Detail - MGMT.'!X16</f>
        <v>0</v>
      </c>
      <c r="AA16" s="293">
        <f>'QE Detail - MGMT.'!Y16</f>
        <v>0</v>
      </c>
      <c r="AB16" s="293">
        <f>'QE Detail - MGMT.'!Z16</f>
        <v>0</v>
      </c>
      <c r="AC16" s="293">
        <f>'QE Detail - MGMT.'!AA16</f>
        <v>0</v>
      </c>
      <c r="AD16" s="293">
        <f>'QE Detail - MGMT.'!AB16</f>
        <v>0</v>
      </c>
      <c r="AE16" s="293">
        <f>'QE Detail - MGMT.'!AC16</f>
        <v>0</v>
      </c>
      <c r="AF16" s="293">
        <f>'QE Detail - MGMT.'!AD16</f>
        <v>0</v>
      </c>
      <c r="AG16" s="293">
        <f>'QE Detail - MGMT.'!AE16</f>
        <v>0</v>
      </c>
      <c r="AH16" s="293">
        <f>'QE Detail - MGMT.'!AF16</f>
        <v>0</v>
      </c>
      <c r="AI16" s="293">
        <f>'QE Detail - MGMT.'!AG16</f>
        <v>0</v>
      </c>
      <c r="AJ16" s="293">
        <f>'QE Detail - MGMT.'!AH16</f>
        <v>0</v>
      </c>
      <c r="AK16" s="293">
        <f>'QE Detail - MGMT.'!AI16</f>
        <v>0</v>
      </c>
      <c r="AL16" s="293">
        <f>'QE Detail - MGMT.'!AO16</f>
        <v>0</v>
      </c>
      <c r="AM16" s="293">
        <f>'QE Detail - MGMT.'!AP16</f>
        <v>0</v>
      </c>
      <c r="AN16" s="293">
        <f>'QE Detail - MGMT.'!AQ16</f>
        <v>0</v>
      </c>
      <c r="AO16" s="293">
        <f>'QE Detail - MGMT.'!AR16</f>
        <v>0</v>
      </c>
      <c r="AP16" s="293">
        <f>'QE Detail - MGMT.'!AS16</f>
        <v>0</v>
      </c>
    </row>
    <row r="17" spans="1:42" s="77" customFormat="1" ht="13.95" customHeight="1">
      <c r="A17" s="308" t="str">
        <f t="shared" ref="A17:A20" si="17">B17</f>
        <v>[Input adjustment]</v>
      </c>
      <c r="B17" s="533" t="s">
        <v>230</v>
      </c>
      <c r="C17" s="81">
        <f>+C16+1</f>
        <v>2</v>
      </c>
      <c r="D17" s="293">
        <f t="shared" si="15"/>
        <v>0</v>
      </c>
      <c r="E17" s="293">
        <f t="shared" si="15"/>
        <v>0</v>
      </c>
      <c r="F17" s="293">
        <f t="shared" si="15"/>
        <v>0</v>
      </c>
      <c r="G17" s="491">
        <f t="shared" si="16"/>
        <v>0</v>
      </c>
      <c r="H17" s="491">
        <f t="shared" si="16"/>
        <v>0</v>
      </c>
      <c r="I17" s="294"/>
      <c r="J17" s="293">
        <f>'QE Detail - MGMT.'!H22</f>
        <v>0</v>
      </c>
      <c r="K17" s="293">
        <f>'QE Detail - MGMT.'!I22</f>
        <v>0</v>
      </c>
      <c r="L17" s="293">
        <f>'QE Detail - MGMT.'!J22</f>
        <v>0</v>
      </c>
      <c r="M17" s="293">
        <f>'QE Detail - MGMT.'!K22</f>
        <v>0</v>
      </c>
      <c r="N17" s="293">
        <f>'QE Detail - MGMT.'!L22</f>
        <v>0</v>
      </c>
      <c r="O17" s="293">
        <f>'QE Detail - MGMT.'!M22</f>
        <v>0</v>
      </c>
      <c r="P17" s="293">
        <f>'QE Detail - MGMT.'!N22</f>
        <v>0</v>
      </c>
      <c r="Q17" s="293">
        <f>'QE Detail - MGMT.'!O22</f>
        <v>0</v>
      </c>
      <c r="R17" s="293">
        <f>'QE Detail - MGMT.'!P22</f>
        <v>0</v>
      </c>
      <c r="S17" s="293">
        <f>'QE Detail - MGMT.'!Q22</f>
        <v>0</v>
      </c>
      <c r="T17" s="293">
        <f>'QE Detail - MGMT.'!R22</f>
        <v>0</v>
      </c>
      <c r="U17" s="293">
        <f>'QE Detail - MGMT.'!S22</f>
        <v>0</v>
      </c>
      <c r="V17" s="293">
        <f>'QE Detail - MGMT.'!T22</f>
        <v>0</v>
      </c>
      <c r="W17" s="293">
        <f>'QE Detail - MGMT.'!U22</f>
        <v>0</v>
      </c>
      <c r="X17" s="293">
        <f>'QE Detail - MGMT.'!V22</f>
        <v>0</v>
      </c>
      <c r="Y17" s="293">
        <f>'QE Detail - MGMT.'!W22</f>
        <v>0</v>
      </c>
      <c r="Z17" s="293">
        <f>'QE Detail - MGMT.'!X22</f>
        <v>0</v>
      </c>
      <c r="AA17" s="293">
        <f>'QE Detail - MGMT.'!Y22</f>
        <v>0</v>
      </c>
      <c r="AB17" s="293">
        <f>'QE Detail - MGMT.'!Z22</f>
        <v>0</v>
      </c>
      <c r="AC17" s="293">
        <f>'QE Detail - MGMT.'!AA22</f>
        <v>0</v>
      </c>
      <c r="AD17" s="293">
        <f>'QE Detail - MGMT.'!AB22</f>
        <v>0</v>
      </c>
      <c r="AE17" s="293">
        <f>'QE Detail - MGMT.'!AC22</f>
        <v>0</v>
      </c>
      <c r="AF17" s="293">
        <f>'QE Detail - MGMT.'!AD22</f>
        <v>0</v>
      </c>
      <c r="AG17" s="293">
        <f>'QE Detail - MGMT.'!AE22</f>
        <v>0</v>
      </c>
      <c r="AH17" s="293">
        <f>'QE Detail - MGMT.'!AF22</f>
        <v>0</v>
      </c>
      <c r="AI17" s="293">
        <f>'QE Detail - MGMT.'!AG22</f>
        <v>0</v>
      </c>
      <c r="AJ17" s="293">
        <f>'QE Detail - MGMT.'!AH22</f>
        <v>0</v>
      </c>
      <c r="AK17" s="293">
        <f>'QE Detail - MGMT.'!AI22</f>
        <v>0</v>
      </c>
      <c r="AL17" s="293">
        <f>'QE Detail - MGMT.'!AO22</f>
        <v>0</v>
      </c>
      <c r="AM17" s="293">
        <f>'QE Detail - MGMT.'!AP22</f>
        <v>0</v>
      </c>
      <c r="AN17" s="293">
        <f>'QE Detail - MGMT.'!AQ22</f>
        <v>0</v>
      </c>
      <c r="AO17" s="293">
        <f>'QE Detail - MGMT.'!AR22</f>
        <v>0</v>
      </c>
      <c r="AP17" s="293">
        <f>'QE Detail - MGMT.'!AS22</f>
        <v>0</v>
      </c>
    </row>
    <row r="18" spans="1:42" s="77" customFormat="1" ht="13.95" customHeight="1">
      <c r="A18" s="308" t="str">
        <f t="shared" si="17"/>
        <v>[Input adjustment]</v>
      </c>
      <c r="B18" s="533" t="s">
        <v>230</v>
      </c>
      <c r="C18" s="81">
        <f>+C17+1</f>
        <v>3</v>
      </c>
      <c r="D18" s="293">
        <f t="shared" si="15"/>
        <v>0</v>
      </c>
      <c r="E18" s="293">
        <f t="shared" si="15"/>
        <v>0</v>
      </c>
      <c r="F18" s="293">
        <f t="shared" si="15"/>
        <v>0</v>
      </c>
      <c r="G18" s="491">
        <f t="shared" si="16"/>
        <v>0</v>
      </c>
      <c r="H18" s="491">
        <f t="shared" si="16"/>
        <v>0</v>
      </c>
      <c r="I18" s="294"/>
      <c r="J18" s="293">
        <f>'QE Detail - MGMT.'!H37</f>
        <v>0</v>
      </c>
      <c r="K18" s="293">
        <f>'QE Detail - MGMT.'!I37</f>
        <v>0</v>
      </c>
      <c r="L18" s="293">
        <f>'QE Detail - MGMT.'!J37</f>
        <v>0</v>
      </c>
      <c r="M18" s="293">
        <f>'QE Detail - MGMT.'!K37</f>
        <v>0</v>
      </c>
      <c r="N18" s="293">
        <f>'QE Detail - MGMT.'!L37</f>
        <v>0</v>
      </c>
      <c r="O18" s="293">
        <f>'QE Detail - MGMT.'!M37</f>
        <v>0</v>
      </c>
      <c r="P18" s="293">
        <f>'QE Detail - MGMT.'!N37</f>
        <v>0</v>
      </c>
      <c r="Q18" s="293">
        <f>'QE Detail - MGMT.'!O37</f>
        <v>0</v>
      </c>
      <c r="R18" s="293">
        <f>'QE Detail - MGMT.'!P37</f>
        <v>0</v>
      </c>
      <c r="S18" s="293">
        <f>'QE Detail - MGMT.'!Q37</f>
        <v>0</v>
      </c>
      <c r="T18" s="293">
        <f>'QE Detail - MGMT.'!R37</f>
        <v>0</v>
      </c>
      <c r="U18" s="293">
        <f>'QE Detail - MGMT.'!S37</f>
        <v>0</v>
      </c>
      <c r="V18" s="293">
        <f>'QE Detail - MGMT.'!T37</f>
        <v>0</v>
      </c>
      <c r="W18" s="293">
        <f>'QE Detail - MGMT.'!U37</f>
        <v>0</v>
      </c>
      <c r="X18" s="293">
        <f>'QE Detail - MGMT.'!V37</f>
        <v>0</v>
      </c>
      <c r="Y18" s="293">
        <f>'QE Detail - MGMT.'!W37</f>
        <v>0</v>
      </c>
      <c r="Z18" s="293">
        <f>'QE Detail - MGMT.'!X37</f>
        <v>0</v>
      </c>
      <c r="AA18" s="293">
        <f>'QE Detail - MGMT.'!Y37</f>
        <v>0</v>
      </c>
      <c r="AB18" s="293">
        <f>'QE Detail - MGMT.'!Z37</f>
        <v>0</v>
      </c>
      <c r="AC18" s="293">
        <f>'QE Detail - MGMT.'!AA37</f>
        <v>0</v>
      </c>
      <c r="AD18" s="293">
        <f>'QE Detail - MGMT.'!AB37</f>
        <v>0</v>
      </c>
      <c r="AE18" s="293">
        <f>'QE Detail - MGMT.'!AC37</f>
        <v>0</v>
      </c>
      <c r="AF18" s="293">
        <f>'QE Detail - MGMT.'!AD37</f>
        <v>0</v>
      </c>
      <c r="AG18" s="293">
        <f>'QE Detail - MGMT.'!AE37</f>
        <v>0</v>
      </c>
      <c r="AH18" s="293">
        <f>'QE Detail - MGMT.'!AF37</f>
        <v>0</v>
      </c>
      <c r="AI18" s="293">
        <f>'QE Detail - MGMT.'!AG37</f>
        <v>0</v>
      </c>
      <c r="AJ18" s="293">
        <f>'QE Detail - MGMT.'!AH37</f>
        <v>0</v>
      </c>
      <c r="AK18" s="293">
        <f>'QE Detail - MGMT.'!AI37</f>
        <v>0</v>
      </c>
      <c r="AL18" s="293">
        <f>'QE Detail - MGMT.'!AO37</f>
        <v>0</v>
      </c>
      <c r="AM18" s="293">
        <f>'QE Detail - MGMT.'!AP37</f>
        <v>0</v>
      </c>
      <c r="AN18" s="293">
        <f>'QE Detail - MGMT.'!AQ37</f>
        <v>0</v>
      </c>
      <c r="AO18" s="293">
        <f>'QE Detail - MGMT.'!AR37</f>
        <v>0</v>
      </c>
      <c r="AP18" s="293">
        <f>'QE Detail - MGMT.'!AS37</f>
        <v>0</v>
      </c>
    </row>
    <row r="19" spans="1:42" s="77" customFormat="1" ht="13.95" customHeight="1">
      <c r="A19" s="308" t="str">
        <f t="shared" si="17"/>
        <v>[Input adjustment]</v>
      </c>
      <c r="B19" s="533" t="s">
        <v>230</v>
      </c>
      <c r="C19" s="81">
        <f>+C18+1</f>
        <v>4</v>
      </c>
      <c r="D19" s="293">
        <f t="shared" si="15"/>
        <v>0</v>
      </c>
      <c r="E19" s="293">
        <f t="shared" si="15"/>
        <v>0</v>
      </c>
      <c r="F19" s="293">
        <f t="shared" si="15"/>
        <v>0</v>
      </c>
      <c r="G19" s="491">
        <f t="shared" si="16"/>
        <v>0</v>
      </c>
      <c r="H19" s="491">
        <f t="shared" si="16"/>
        <v>0</v>
      </c>
      <c r="I19" s="294"/>
      <c r="J19" s="293">
        <f>'QE Detail - MGMT.'!H46</f>
        <v>0</v>
      </c>
      <c r="K19" s="293">
        <f>'QE Detail - MGMT.'!I46</f>
        <v>0</v>
      </c>
      <c r="L19" s="293">
        <f>'QE Detail - MGMT.'!J46</f>
        <v>0</v>
      </c>
      <c r="M19" s="293">
        <f>'QE Detail - MGMT.'!K46</f>
        <v>0</v>
      </c>
      <c r="N19" s="293">
        <f>'QE Detail - MGMT.'!L46</f>
        <v>0</v>
      </c>
      <c r="O19" s="293">
        <f>'QE Detail - MGMT.'!M46</f>
        <v>0</v>
      </c>
      <c r="P19" s="293">
        <f>'QE Detail - MGMT.'!N46</f>
        <v>0</v>
      </c>
      <c r="Q19" s="293">
        <f>'QE Detail - MGMT.'!O46</f>
        <v>0</v>
      </c>
      <c r="R19" s="293">
        <f>'QE Detail - MGMT.'!P46</f>
        <v>0</v>
      </c>
      <c r="S19" s="293">
        <f>'QE Detail - MGMT.'!Q46</f>
        <v>0</v>
      </c>
      <c r="T19" s="293">
        <f>'QE Detail - MGMT.'!R46</f>
        <v>0</v>
      </c>
      <c r="U19" s="293">
        <f>'QE Detail - MGMT.'!S46</f>
        <v>0</v>
      </c>
      <c r="V19" s="293">
        <f>'QE Detail - MGMT.'!T46</f>
        <v>0</v>
      </c>
      <c r="W19" s="293">
        <f>'QE Detail - MGMT.'!U46</f>
        <v>0</v>
      </c>
      <c r="X19" s="293">
        <f>'QE Detail - MGMT.'!V46</f>
        <v>0</v>
      </c>
      <c r="Y19" s="293">
        <f>'QE Detail - MGMT.'!W46</f>
        <v>0</v>
      </c>
      <c r="Z19" s="293">
        <f>'QE Detail - MGMT.'!X46</f>
        <v>0</v>
      </c>
      <c r="AA19" s="293">
        <f>'QE Detail - MGMT.'!Y46</f>
        <v>0</v>
      </c>
      <c r="AB19" s="293">
        <f>'QE Detail - MGMT.'!Z46</f>
        <v>0</v>
      </c>
      <c r="AC19" s="293">
        <f>'QE Detail - MGMT.'!AA46</f>
        <v>0</v>
      </c>
      <c r="AD19" s="293">
        <f>'QE Detail - MGMT.'!AB46</f>
        <v>0</v>
      </c>
      <c r="AE19" s="293">
        <f>'QE Detail - MGMT.'!AC46</f>
        <v>0</v>
      </c>
      <c r="AF19" s="293">
        <f>'QE Detail - MGMT.'!AD46</f>
        <v>0</v>
      </c>
      <c r="AG19" s="293">
        <f>'QE Detail - MGMT.'!AE46</f>
        <v>0</v>
      </c>
      <c r="AH19" s="293">
        <f>'QE Detail - MGMT.'!AF46</f>
        <v>0</v>
      </c>
      <c r="AI19" s="293">
        <f>'QE Detail - MGMT.'!AG46</f>
        <v>0</v>
      </c>
      <c r="AJ19" s="293">
        <f>'QE Detail - MGMT.'!AH46</f>
        <v>0</v>
      </c>
      <c r="AK19" s="293">
        <f>'QE Detail - MGMT.'!AI46</f>
        <v>0</v>
      </c>
      <c r="AL19" s="293">
        <f>'QE Detail - MGMT.'!AO46</f>
        <v>0</v>
      </c>
      <c r="AM19" s="293">
        <f>'QE Detail - MGMT.'!AP46</f>
        <v>0</v>
      </c>
      <c r="AN19" s="293">
        <f>'QE Detail - MGMT.'!AQ46</f>
        <v>0</v>
      </c>
      <c r="AO19" s="293">
        <f>'QE Detail - MGMT.'!AR46</f>
        <v>0</v>
      </c>
      <c r="AP19" s="293">
        <f>'QE Detail - MGMT.'!AS46</f>
        <v>0</v>
      </c>
    </row>
    <row r="20" spans="1:42" s="77" customFormat="1" ht="13.95" customHeight="1">
      <c r="A20" s="308" t="str">
        <f t="shared" si="17"/>
        <v>[Input adjustment]</v>
      </c>
      <c r="B20" s="533" t="s">
        <v>230</v>
      </c>
      <c r="C20" s="81">
        <f>+C19+1</f>
        <v>5</v>
      </c>
      <c r="D20" s="293">
        <f t="shared" si="15"/>
        <v>0</v>
      </c>
      <c r="E20" s="293">
        <f t="shared" si="15"/>
        <v>0</v>
      </c>
      <c r="F20" s="293">
        <f t="shared" si="15"/>
        <v>0</v>
      </c>
      <c r="G20" s="491">
        <f t="shared" si="16"/>
        <v>0</v>
      </c>
      <c r="H20" s="491">
        <f t="shared" si="16"/>
        <v>0</v>
      </c>
      <c r="I20" s="294"/>
      <c r="J20" s="293">
        <f>'QE Detail - MGMT.'!H57</f>
        <v>0</v>
      </c>
      <c r="K20" s="293">
        <f>'QE Detail - MGMT.'!I57</f>
        <v>0</v>
      </c>
      <c r="L20" s="293">
        <f>'QE Detail - MGMT.'!J57</f>
        <v>0</v>
      </c>
      <c r="M20" s="293">
        <f>'QE Detail - MGMT.'!K57</f>
        <v>0</v>
      </c>
      <c r="N20" s="293">
        <f>'QE Detail - MGMT.'!L57</f>
        <v>0</v>
      </c>
      <c r="O20" s="293">
        <f>'QE Detail - MGMT.'!M57</f>
        <v>0</v>
      </c>
      <c r="P20" s="293">
        <f>'QE Detail - MGMT.'!N57</f>
        <v>0</v>
      </c>
      <c r="Q20" s="293">
        <f>'QE Detail - MGMT.'!O57</f>
        <v>0</v>
      </c>
      <c r="R20" s="293">
        <f>'QE Detail - MGMT.'!P57</f>
        <v>0</v>
      </c>
      <c r="S20" s="293">
        <f>'QE Detail - MGMT.'!Q57</f>
        <v>0</v>
      </c>
      <c r="T20" s="293">
        <f>'QE Detail - MGMT.'!R57</f>
        <v>0</v>
      </c>
      <c r="U20" s="293">
        <f>'QE Detail - MGMT.'!S57</f>
        <v>0</v>
      </c>
      <c r="V20" s="293">
        <f>'QE Detail - MGMT.'!T57</f>
        <v>0</v>
      </c>
      <c r="W20" s="293">
        <f>'QE Detail - MGMT.'!U57</f>
        <v>0</v>
      </c>
      <c r="X20" s="293">
        <f>'QE Detail - MGMT.'!V57</f>
        <v>0</v>
      </c>
      <c r="Y20" s="293">
        <f>'QE Detail - MGMT.'!W57</f>
        <v>0</v>
      </c>
      <c r="Z20" s="293">
        <f>'QE Detail - MGMT.'!X57</f>
        <v>0</v>
      </c>
      <c r="AA20" s="293">
        <f>'QE Detail - MGMT.'!Y57</f>
        <v>0</v>
      </c>
      <c r="AB20" s="293">
        <f>'QE Detail - MGMT.'!Z57</f>
        <v>0</v>
      </c>
      <c r="AC20" s="293">
        <f>'QE Detail - MGMT.'!AA57</f>
        <v>0</v>
      </c>
      <c r="AD20" s="293">
        <f>'QE Detail - MGMT.'!AB57</f>
        <v>0</v>
      </c>
      <c r="AE20" s="293">
        <f>'QE Detail - MGMT.'!AC57</f>
        <v>0</v>
      </c>
      <c r="AF20" s="293">
        <f>'QE Detail - MGMT.'!AD57</f>
        <v>0</v>
      </c>
      <c r="AG20" s="293">
        <f>'QE Detail - MGMT.'!AE57</f>
        <v>0</v>
      </c>
      <c r="AH20" s="293">
        <f>'QE Detail - MGMT.'!AF57</f>
        <v>0</v>
      </c>
      <c r="AI20" s="293">
        <f>'QE Detail - MGMT.'!AG57</f>
        <v>0</v>
      </c>
      <c r="AJ20" s="293">
        <f>'QE Detail - MGMT.'!AH57</f>
        <v>0</v>
      </c>
      <c r="AK20" s="293">
        <f>'QE Detail - MGMT.'!AI57</f>
        <v>0</v>
      </c>
      <c r="AL20" s="293">
        <f>'QE Detail - MGMT.'!AO57</f>
        <v>0</v>
      </c>
      <c r="AM20" s="293">
        <f>'QE Detail - MGMT.'!AP57</f>
        <v>0</v>
      </c>
      <c r="AN20" s="293">
        <f>'QE Detail - MGMT.'!AQ57</f>
        <v>0</v>
      </c>
      <c r="AO20" s="293">
        <f>'QE Detail - MGMT.'!AR57</f>
        <v>0</v>
      </c>
      <c r="AP20" s="293">
        <f>'QE Detail - MGMT.'!AS57</f>
        <v>0</v>
      </c>
    </row>
    <row r="21" spans="1:42" s="77" customFormat="1" ht="13.95" customHeight="1">
      <c r="A21" s="308" t="str">
        <f t="shared" ref="A21" si="18">B21</f>
        <v>[Input adjustment]</v>
      </c>
      <c r="B21" s="533" t="s">
        <v>230</v>
      </c>
      <c r="C21" s="81">
        <f>+C20+1</f>
        <v>6</v>
      </c>
      <c r="D21" s="293">
        <f t="shared" si="15"/>
        <v>0</v>
      </c>
      <c r="E21" s="293">
        <f t="shared" si="15"/>
        <v>0</v>
      </c>
      <c r="F21" s="293">
        <f t="shared" si="15"/>
        <v>0</v>
      </c>
      <c r="G21" s="491">
        <f t="shared" si="16"/>
        <v>0</v>
      </c>
      <c r="H21" s="491">
        <f t="shared" si="16"/>
        <v>0</v>
      </c>
      <c r="I21" s="294"/>
      <c r="J21" s="293">
        <f>'QE Detail - MGMT.'!H64</f>
        <v>0</v>
      </c>
      <c r="K21" s="293">
        <f>'QE Detail - MGMT.'!I64</f>
        <v>0</v>
      </c>
      <c r="L21" s="293">
        <f>'QE Detail - MGMT.'!J64</f>
        <v>0</v>
      </c>
      <c r="M21" s="293">
        <f>'QE Detail - MGMT.'!K64</f>
        <v>0</v>
      </c>
      <c r="N21" s="293">
        <f>'QE Detail - MGMT.'!L64</f>
        <v>0</v>
      </c>
      <c r="O21" s="293">
        <f>'QE Detail - MGMT.'!M64</f>
        <v>0</v>
      </c>
      <c r="P21" s="293">
        <f>'QE Detail - MGMT.'!N64</f>
        <v>0</v>
      </c>
      <c r="Q21" s="293">
        <f>'QE Detail - MGMT.'!O64</f>
        <v>0</v>
      </c>
      <c r="R21" s="293">
        <f>'QE Detail - MGMT.'!P64</f>
        <v>0</v>
      </c>
      <c r="S21" s="293">
        <f>'QE Detail - MGMT.'!Q64</f>
        <v>0</v>
      </c>
      <c r="T21" s="293">
        <f>'QE Detail - MGMT.'!R64</f>
        <v>0</v>
      </c>
      <c r="U21" s="293">
        <f>'QE Detail - MGMT.'!S64</f>
        <v>0</v>
      </c>
      <c r="V21" s="293">
        <f>'QE Detail - MGMT.'!T64</f>
        <v>0</v>
      </c>
      <c r="W21" s="293">
        <f>'QE Detail - MGMT.'!U64</f>
        <v>0</v>
      </c>
      <c r="X21" s="293">
        <f>'QE Detail - MGMT.'!V64</f>
        <v>0</v>
      </c>
      <c r="Y21" s="293">
        <f>'QE Detail - MGMT.'!W64</f>
        <v>0</v>
      </c>
      <c r="Z21" s="293">
        <f>'QE Detail - MGMT.'!X64</f>
        <v>0</v>
      </c>
      <c r="AA21" s="293">
        <f>'QE Detail - MGMT.'!Y64</f>
        <v>0</v>
      </c>
      <c r="AB21" s="293">
        <f>'QE Detail - MGMT.'!Z64</f>
        <v>0</v>
      </c>
      <c r="AC21" s="293">
        <f>'QE Detail - MGMT.'!AA64</f>
        <v>0</v>
      </c>
      <c r="AD21" s="293">
        <f>'QE Detail - MGMT.'!AB64</f>
        <v>0</v>
      </c>
      <c r="AE21" s="293">
        <f>'QE Detail - MGMT.'!AC64</f>
        <v>0</v>
      </c>
      <c r="AF21" s="293">
        <f>'QE Detail - MGMT.'!AD64</f>
        <v>0</v>
      </c>
      <c r="AG21" s="293">
        <f>'QE Detail - MGMT.'!AE64</f>
        <v>0</v>
      </c>
      <c r="AH21" s="293">
        <f>'QE Detail - MGMT.'!AF64</f>
        <v>0</v>
      </c>
      <c r="AI21" s="293">
        <f>'QE Detail - MGMT.'!AG64</f>
        <v>0</v>
      </c>
      <c r="AJ21" s="293">
        <f>'QE Detail - MGMT.'!AH64</f>
        <v>0</v>
      </c>
      <c r="AK21" s="293">
        <f>'QE Detail - MGMT.'!AI64</f>
        <v>0</v>
      </c>
      <c r="AL21" s="293">
        <f>'QE Detail - MGMT.'!AO64</f>
        <v>0</v>
      </c>
      <c r="AM21" s="293">
        <f>'QE Detail - MGMT.'!AP64</f>
        <v>0</v>
      </c>
      <c r="AN21" s="293">
        <f>'QE Detail - MGMT.'!AQ64</f>
        <v>0</v>
      </c>
      <c r="AO21" s="293">
        <f>'QE Detail - MGMT.'!AR64</f>
        <v>0</v>
      </c>
      <c r="AP21" s="293">
        <f>'QE Detail - MGMT.'!AS64</f>
        <v>0</v>
      </c>
    </row>
    <row r="22" spans="1:42" s="77" customFormat="1" ht="13.95" customHeight="1">
      <c r="A22" s="308" t="str">
        <f>B22</f>
        <v>[Input adjustment]</v>
      </c>
      <c r="B22" s="533" t="s">
        <v>230</v>
      </c>
      <c r="C22" s="81">
        <f t="shared" ref="C22:C25" si="19">+C21+1</f>
        <v>7</v>
      </c>
      <c r="D22" s="293">
        <f t="shared" si="15"/>
        <v>0</v>
      </c>
      <c r="E22" s="293">
        <f t="shared" si="15"/>
        <v>0</v>
      </c>
      <c r="F22" s="293">
        <f t="shared" si="15"/>
        <v>0</v>
      </c>
      <c r="G22" s="491">
        <f t="shared" si="16"/>
        <v>0</v>
      </c>
      <c r="H22" s="491">
        <f t="shared" si="16"/>
        <v>0</v>
      </c>
      <c r="I22" s="294"/>
      <c r="J22" s="293">
        <f>'QE Detail - MGMT.'!H70</f>
        <v>0</v>
      </c>
      <c r="K22" s="293">
        <f>'QE Detail - MGMT.'!I70</f>
        <v>0</v>
      </c>
      <c r="L22" s="293">
        <f>'QE Detail - MGMT.'!J70</f>
        <v>0</v>
      </c>
      <c r="M22" s="293">
        <f>'QE Detail - MGMT.'!K70</f>
        <v>0</v>
      </c>
      <c r="N22" s="293">
        <f>'QE Detail - MGMT.'!L70</f>
        <v>0</v>
      </c>
      <c r="O22" s="293">
        <f>'QE Detail - MGMT.'!M70</f>
        <v>0</v>
      </c>
      <c r="P22" s="293">
        <f>'QE Detail - MGMT.'!N70</f>
        <v>0</v>
      </c>
      <c r="Q22" s="293">
        <f>'QE Detail - MGMT.'!O70</f>
        <v>0</v>
      </c>
      <c r="R22" s="293">
        <f>'QE Detail - MGMT.'!P70</f>
        <v>0</v>
      </c>
      <c r="S22" s="293">
        <f>'QE Detail - MGMT.'!Q70</f>
        <v>0</v>
      </c>
      <c r="T22" s="293">
        <f>'QE Detail - MGMT.'!R70</f>
        <v>0</v>
      </c>
      <c r="U22" s="293">
        <f>'QE Detail - MGMT.'!S70</f>
        <v>0</v>
      </c>
      <c r="V22" s="293">
        <f>'QE Detail - MGMT.'!T70</f>
        <v>0</v>
      </c>
      <c r="W22" s="293">
        <f>'QE Detail - MGMT.'!U70</f>
        <v>0</v>
      </c>
      <c r="X22" s="293">
        <f>'QE Detail - MGMT.'!V70</f>
        <v>0</v>
      </c>
      <c r="Y22" s="293">
        <f>'QE Detail - MGMT.'!W70</f>
        <v>0</v>
      </c>
      <c r="Z22" s="293">
        <f>'QE Detail - MGMT.'!X70</f>
        <v>0</v>
      </c>
      <c r="AA22" s="293">
        <f>'QE Detail - MGMT.'!Y70</f>
        <v>0</v>
      </c>
      <c r="AB22" s="293">
        <f>'QE Detail - MGMT.'!Z70</f>
        <v>0</v>
      </c>
      <c r="AC22" s="293">
        <f>'QE Detail - MGMT.'!AA70</f>
        <v>0</v>
      </c>
      <c r="AD22" s="293">
        <f>'QE Detail - MGMT.'!AB70</f>
        <v>0</v>
      </c>
      <c r="AE22" s="293">
        <f>'QE Detail - MGMT.'!AC70</f>
        <v>0</v>
      </c>
      <c r="AF22" s="293">
        <f>'QE Detail - MGMT.'!AD70</f>
        <v>0</v>
      </c>
      <c r="AG22" s="293">
        <f>'QE Detail - MGMT.'!AE70</f>
        <v>0</v>
      </c>
      <c r="AH22" s="293">
        <f>'QE Detail - MGMT.'!AF70</f>
        <v>0</v>
      </c>
      <c r="AI22" s="293">
        <f>'QE Detail - MGMT.'!AG70</f>
        <v>0</v>
      </c>
      <c r="AJ22" s="293">
        <f>'QE Detail - MGMT.'!AH70</f>
        <v>0</v>
      </c>
      <c r="AK22" s="293">
        <f>'QE Detail - MGMT.'!AI70</f>
        <v>0</v>
      </c>
      <c r="AL22" s="293">
        <f>'QE Detail - MGMT.'!AO70</f>
        <v>0</v>
      </c>
      <c r="AM22" s="293">
        <f>'QE Detail - MGMT.'!AP70</f>
        <v>0</v>
      </c>
      <c r="AN22" s="293">
        <f>'QE Detail - MGMT.'!AQ70</f>
        <v>0</v>
      </c>
      <c r="AO22" s="293">
        <f>'QE Detail - MGMT.'!AR70</f>
        <v>0</v>
      </c>
      <c r="AP22" s="293">
        <f>'QE Detail - MGMT.'!AS70</f>
        <v>0</v>
      </c>
    </row>
    <row r="23" spans="1:42" s="77" customFormat="1" ht="13.95" customHeight="1">
      <c r="A23" s="308" t="str">
        <f>B23</f>
        <v>[Input adjustment]</v>
      </c>
      <c r="B23" s="533" t="s">
        <v>230</v>
      </c>
      <c r="C23" s="81">
        <f t="shared" si="19"/>
        <v>8</v>
      </c>
      <c r="D23" s="293">
        <f t="shared" si="15"/>
        <v>0</v>
      </c>
      <c r="E23" s="293">
        <f t="shared" si="15"/>
        <v>0</v>
      </c>
      <c r="F23" s="293">
        <f t="shared" si="15"/>
        <v>0</v>
      </c>
      <c r="G23" s="491">
        <f t="shared" si="16"/>
        <v>0</v>
      </c>
      <c r="H23" s="491">
        <f t="shared" si="16"/>
        <v>0</v>
      </c>
      <c r="I23" s="294"/>
      <c r="J23" s="293">
        <f>'QE Detail - MGMT.'!H77</f>
        <v>0</v>
      </c>
      <c r="K23" s="293">
        <f>'QE Detail - MGMT.'!I77</f>
        <v>0</v>
      </c>
      <c r="L23" s="293">
        <f>'QE Detail - MGMT.'!J77</f>
        <v>0</v>
      </c>
      <c r="M23" s="293">
        <f>'QE Detail - MGMT.'!K77</f>
        <v>0</v>
      </c>
      <c r="N23" s="293">
        <f>'QE Detail - MGMT.'!L77</f>
        <v>0</v>
      </c>
      <c r="O23" s="293">
        <f>'QE Detail - MGMT.'!M77</f>
        <v>0</v>
      </c>
      <c r="P23" s="293">
        <f>'QE Detail - MGMT.'!N77</f>
        <v>0</v>
      </c>
      <c r="Q23" s="293">
        <f>'QE Detail - MGMT.'!O77</f>
        <v>0</v>
      </c>
      <c r="R23" s="293">
        <f>'QE Detail - MGMT.'!P77</f>
        <v>0</v>
      </c>
      <c r="S23" s="293">
        <f>'QE Detail - MGMT.'!Q77</f>
        <v>0</v>
      </c>
      <c r="T23" s="293">
        <f>'QE Detail - MGMT.'!R77</f>
        <v>0</v>
      </c>
      <c r="U23" s="293">
        <f>'QE Detail - MGMT.'!S77</f>
        <v>0</v>
      </c>
      <c r="V23" s="293">
        <f>'QE Detail - MGMT.'!T77</f>
        <v>0</v>
      </c>
      <c r="W23" s="293">
        <f>'QE Detail - MGMT.'!U77</f>
        <v>0</v>
      </c>
      <c r="X23" s="293">
        <f>'QE Detail - MGMT.'!V77</f>
        <v>0</v>
      </c>
      <c r="Y23" s="293">
        <f>'QE Detail - MGMT.'!W77</f>
        <v>0</v>
      </c>
      <c r="Z23" s="293">
        <f>'QE Detail - MGMT.'!X77</f>
        <v>0</v>
      </c>
      <c r="AA23" s="293">
        <f>'QE Detail - MGMT.'!Y77</f>
        <v>0</v>
      </c>
      <c r="AB23" s="293">
        <f>'QE Detail - MGMT.'!Z77</f>
        <v>0</v>
      </c>
      <c r="AC23" s="293">
        <f>'QE Detail - MGMT.'!AA77</f>
        <v>0</v>
      </c>
      <c r="AD23" s="293">
        <f>'QE Detail - MGMT.'!AB77</f>
        <v>0</v>
      </c>
      <c r="AE23" s="293">
        <f>'QE Detail - MGMT.'!AC77</f>
        <v>0</v>
      </c>
      <c r="AF23" s="293">
        <f>'QE Detail - MGMT.'!AD77</f>
        <v>0</v>
      </c>
      <c r="AG23" s="293">
        <f>'QE Detail - MGMT.'!AE77</f>
        <v>0</v>
      </c>
      <c r="AH23" s="293">
        <f>'QE Detail - MGMT.'!AF77</f>
        <v>0</v>
      </c>
      <c r="AI23" s="293">
        <f>'QE Detail - MGMT.'!AG77</f>
        <v>0</v>
      </c>
      <c r="AJ23" s="293">
        <f>'QE Detail - MGMT.'!AH77</f>
        <v>0</v>
      </c>
      <c r="AK23" s="293">
        <f>'QE Detail - MGMT.'!AI77</f>
        <v>0</v>
      </c>
      <c r="AL23" s="293">
        <f>'QE Detail - MGMT.'!AO77</f>
        <v>0</v>
      </c>
      <c r="AM23" s="293">
        <f>'QE Detail - MGMT.'!AP77</f>
        <v>0</v>
      </c>
      <c r="AN23" s="293">
        <f>'QE Detail - MGMT.'!AQ77</f>
        <v>0</v>
      </c>
      <c r="AO23" s="293">
        <f>'QE Detail - MGMT.'!AR77</f>
        <v>0</v>
      </c>
      <c r="AP23" s="293">
        <f>'QE Detail - MGMT.'!AS77</f>
        <v>0</v>
      </c>
    </row>
    <row r="24" spans="1:42" s="77" customFormat="1" ht="13.95" customHeight="1">
      <c r="A24" s="308" t="str">
        <f t="shared" ref="A24:A25" si="20">B24</f>
        <v>[Input adjustment]</v>
      </c>
      <c r="B24" s="533" t="s">
        <v>230</v>
      </c>
      <c r="C24" s="448">
        <f t="shared" si="19"/>
        <v>9</v>
      </c>
      <c r="D24" s="454">
        <f t="shared" si="15"/>
        <v>0</v>
      </c>
      <c r="E24" s="454">
        <f t="shared" si="15"/>
        <v>0</v>
      </c>
      <c r="F24" s="454">
        <f t="shared" si="15"/>
        <v>0</v>
      </c>
      <c r="G24" s="491">
        <f t="shared" si="16"/>
        <v>0</v>
      </c>
      <c r="H24" s="491">
        <f t="shared" si="16"/>
        <v>0</v>
      </c>
      <c r="I24" s="312"/>
      <c r="J24" s="454">
        <f>'QE Detail - MGMT.'!H83</f>
        <v>0</v>
      </c>
      <c r="K24" s="293">
        <f>'QE Detail - MGMT.'!I83</f>
        <v>0</v>
      </c>
      <c r="L24" s="293">
        <f>'QE Detail - MGMT.'!J83</f>
        <v>0</v>
      </c>
      <c r="M24" s="293">
        <f>'QE Detail - MGMT.'!K83</f>
        <v>0</v>
      </c>
      <c r="N24" s="293">
        <f>'QE Detail - MGMT.'!L83</f>
        <v>0</v>
      </c>
      <c r="O24" s="293">
        <f>'QE Detail - MGMT.'!M83</f>
        <v>0</v>
      </c>
      <c r="P24" s="293">
        <f>'QE Detail - MGMT.'!N83</f>
        <v>0</v>
      </c>
      <c r="Q24" s="293">
        <f>'QE Detail - MGMT.'!O83</f>
        <v>0</v>
      </c>
      <c r="R24" s="293">
        <f>'QE Detail - MGMT.'!P83</f>
        <v>0</v>
      </c>
      <c r="S24" s="293">
        <f>'QE Detail - MGMT.'!Q83</f>
        <v>0</v>
      </c>
      <c r="T24" s="293">
        <f>'QE Detail - MGMT.'!R83</f>
        <v>0</v>
      </c>
      <c r="U24" s="293">
        <f>'QE Detail - MGMT.'!S83</f>
        <v>0</v>
      </c>
      <c r="V24" s="293">
        <f>'QE Detail - MGMT.'!T83</f>
        <v>0</v>
      </c>
      <c r="W24" s="293">
        <f>'QE Detail - MGMT.'!U83</f>
        <v>0</v>
      </c>
      <c r="X24" s="293">
        <f>'QE Detail - MGMT.'!V83</f>
        <v>0</v>
      </c>
      <c r="Y24" s="293">
        <f>'QE Detail - MGMT.'!W83</f>
        <v>0</v>
      </c>
      <c r="Z24" s="293">
        <f>'QE Detail - MGMT.'!X83</f>
        <v>0</v>
      </c>
      <c r="AA24" s="293">
        <f>'QE Detail - MGMT.'!Y83</f>
        <v>0</v>
      </c>
      <c r="AB24" s="293">
        <f>'QE Detail - MGMT.'!Z83</f>
        <v>0</v>
      </c>
      <c r="AC24" s="293">
        <f>'QE Detail - MGMT.'!AA83</f>
        <v>0</v>
      </c>
      <c r="AD24" s="293">
        <f>'QE Detail - MGMT.'!AB83</f>
        <v>0</v>
      </c>
      <c r="AE24" s="293">
        <f>'QE Detail - MGMT.'!AC83</f>
        <v>0</v>
      </c>
      <c r="AF24" s="293">
        <f>'QE Detail - MGMT.'!AD83</f>
        <v>0</v>
      </c>
      <c r="AG24" s="293">
        <f>'QE Detail - MGMT.'!AE83</f>
        <v>0</v>
      </c>
      <c r="AH24" s="293">
        <f>'QE Detail - MGMT.'!AF83</f>
        <v>0</v>
      </c>
      <c r="AI24" s="293">
        <f>'QE Detail - MGMT.'!AG83</f>
        <v>0</v>
      </c>
      <c r="AJ24" s="293">
        <f>'QE Detail - MGMT.'!AH83</f>
        <v>0</v>
      </c>
      <c r="AK24" s="293">
        <f>'QE Detail - MGMT.'!AI83</f>
        <v>0</v>
      </c>
      <c r="AL24" s="293">
        <f>'QE Detail - MGMT.'!AO83</f>
        <v>0</v>
      </c>
      <c r="AM24" s="293">
        <f>'QE Detail - MGMT.'!AP83</f>
        <v>0</v>
      </c>
      <c r="AN24" s="293">
        <f>'QE Detail - MGMT.'!AQ83</f>
        <v>0</v>
      </c>
      <c r="AO24" s="293">
        <f>'QE Detail - MGMT.'!AR83</f>
        <v>0</v>
      </c>
      <c r="AP24" s="293">
        <f>'QE Detail - MGMT.'!AS83</f>
        <v>0</v>
      </c>
    </row>
    <row r="25" spans="1:42" s="77" customFormat="1" ht="13.95" customHeight="1">
      <c r="A25" s="308" t="str">
        <f t="shared" si="20"/>
        <v>[Input adjustment]</v>
      </c>
      <c r="B25" s="533" t="s">
        <v>230</v>
      </c>
      <c r="C25" s="448">
        <f t="shared" si="19"/>
        <v>10</v>
      </c>
      <c r="D25" s="454">
        <f t="shared" si="15"/>
        <v>0</v>
      </c>
      <c r="E25" s="454">
        <f t="shared" si="15"/>
        <v>0</v>
      </c>
      <c r="F25" s="454">
        <f t="shared" si="15"/>
        <v>0</v>
      </c>
      <c r="G25" s="493">
        <f t="shared" si="16"/>
        <v>0</v>
      </c>
      <c r="H25" s="493">
        <f t="shared" si="16"/>
        <v>0</v>
      </c>
      <c r="I25" s="312"/>
      <c r="J25" s="454">
        <f>'QE Detail - MGMT.'!H91</f>
        <v>0</v>
      </c>
      <c r="K25" s="293">
        <f>'QE Detail - MGMT.'!I91</f>
        <v>0</v>
      </c>
      <c r="L25" s="293">
        <f>'QE Detail - MGMT.'!J91</f>
        <v>0</v>
      </c>
      <c r="M25" s="293">
        <f>'QE Detail - MGMT.'!K91</f>
        <v>0</v>
      </c>
      <c r="N25" s="293">
        <f>'QE Detail - MGMT.'!L91</f>
        <v>0</v>
      </c>
      <c r="O25" s="293">
        <f>'QE Detail - MGMT.'!M91</f>
        <v>0</v>
      </c>
      <c r="P25" s="293">
        <f>'QE Detail - MGMT.'!N91</f>
        <v>0</v>
      </c>
      <c r="Q25" s="293">
        <f>'QE Detail - MGMT.'!O91</f>
        <v>0</v>
      </c>
      <c r="R25" s="293">
        <f>'QE Detail - MGMT.'!P91</f>
        <v>0</v>
      </c>
      <c r="S25" s="293">
        <f>'QE Detail - MGMT.'!Q91</f>
        <v>0</v>
      </c>
      <c r="T25" s="293">
        <f>'QE Detail - MGMT.'!R91</f>
        <v>0</v>
      </c>
      <c r="U25" s="293">
        <f>'QE Detail - MGMT.'!S91</f>
        <v>0</v>
      </c>
      <c r="V25" s="293">
        <f>'QE Detail - MGMT.'!T91</f>
        <v>0</v>
      </c>
      <c r="W25" s="293">
        <f>'QE Detail - MGMT.'!U91</f>
        <v>0</v>
      </c>
      <c r="X25" s="293">
        <f>'QE Detail - MGMT.'!V91</f>
        <v>0</v>
      </c>
      <c r="Y25" s="293">
        <f>'QE Detail - MGMT.'!W91</f>
        <v>0</v>
      </c>
      <c r="Z25" s="293">
        <f>'QE Detail - MGMT.'!X91</f>
        <v>0</v>
      </c>
      <c r="AA25" s="293">
        <f>'QE Detail - MGMT.'!Y91</f>
        <v>0</v>
      </c>
      <c r="AB25" s="293">
        <f>'QE Detail - MGMT.'!Z91</f>
        <v>0</v>
      </c>
      <c r="AC25" s="293">
        <f>'QE Detail - MGMT.'!AA91</f>
        <v>0</v>
      </c>
      <c r="AD25" s="293">
        <f>'QE Detail - MGMT.'!AB91</f>
        <v>0</v>
      </c>
      <c r="AE25" s="293">
        <f>'QE Detail - MGMT.'!AC91</f>
        <v>0</v>
      </c>
      <c r="AF25" s="293">
        <f>'QE Detail - MGMT.'!AD91</f>
        <v>0</v>
      </c>
      <c r="AG25" s="293">
        <f>'QE Detail - MGMT.'!AE91</f>
        <v>0</v>
      </c>
      <c r="AH25" s="293">
        <f>'QE Detail - MGMT.'!AF91</f>
        <v>0</v>
      </c>
      <c r="AI25" s="293">
        <f>'QE Detail - MGMT.'!AG91</f>
        <v>0</v>
      </c>
      <c r="AJ25" s="293">
        <f>'QE Detail - MGMT.'!AH91</f>
        <v>0</v>
      </c>
      <c r="AK25" s="293">
        <f>'QE Detail - MGMT.'!AI91</f>
        <v>0</v>
      </c>
      <c r="AL25" s="293">
        <f>'QE Detail - MGMT.'!AO91</f>
        <v>0</v>
      </c>
      <c r="AM25" s="293">
        <f>'QE Detail - MGMT.'!AP91</f>
        <v>0</v>
      </c>
      <c r="AN25" s="293">
        <f>'QE Detail - MGMT.'!AQ91</f>
        <v>0</v>
      </c>
      <c r="AO25" s="293">
        <f>'QE Detail - MGMT.'!AR91</f>
        <v>0</v>
      </c>
      <c r="AP25" s="293">
        <f>'QE Detail - MGMT.'!AS91</f>
        <v>0</v>
      </c>
    </row>
    <row r="26" spans="1:42" s="74" customFormat="1" ht="13.95" customHeight="1">
      <c r="A26" s="307"/>
      <c r="B26" s="101" t="s">
        <v>47</v>
      </c>
      <c r="C26" s="372"/>
      <c r="D26" s="373">
        <f>SUM(D16:D25)</f>
        <v>0</v>
      </c>
      <c r="E26" s="373">
        <f>SUM(E16:E25)</f>
        <v>0</v>
      </c>
      <c r="F26" s="373">
        <f>SUM(F16:F25)</f>
        <v>0</v>
      </c>
      <c r="G26" s="491">
        <f>SUM(G16:G25)</f>
        <v>0</v>
      </c>
      <c r="H26" s="491">
        <f>SUM(H16:H25)</f>
        <v>0</v>
      </c>
      <c r="I26" s="294"/>
      <c r="J26" s="373">
        <f t="shared" ref="J26:AP26" si="21">SUM(J16:J25)</f>
        <v>0</v>
      </c>
      <c r="K26" s="373">
        <f t="shared" si="21"/>
        <v>0</v>
      </c>
      <c r="L26" s="373">
        <f t="shared" si="21"/>
        <v>0</v>
      </c>
      <c r="M26" s="373">
        <f t="shared" si="21"/>
        <v>0</v>
      </c>
      <c r="N26" s="373">
        <f t="shared" si="21"/>
        <v>0</v>
      </c>
      <c r="O26" s="373">
        <f t="shared" si="21"/>
        <v>0</v>
      </c>
      <c r="P26" s="373">
        <f t="shared" si="21"/>
        <v>0</v>
      </c>
      <c r="Q26" s="373">
        <f t="shared" si="21"/>
        <v>0</v>
      </c>
      <c r="R26" s="373">
        <f t="shared" si="21"/>
        <v>0</v>
      </c>
      <c r="S26" s="373">
        <f t="shared" si="21"/>
        <v>0</v>
      </c>
      <c r="T26" s="373">
        <f t="shared" si="21"/>
        <v>0</v>
      </c>
      <c r="U26" s="373">
        <f t="shared" si="21"/>
        <v>0</v>
      </c>
      <c r="V26" s="373">
        <f t="shared" si="21"/>
        <v>0</v>
      </c>
      <c r="W26" s="373">
        <f t="shared" si="21"/>
        <v>0</v>
      </c>
      <c r="X26" s="373">
        <f t="shared" si="21"/>
        <v>0</v>
      </c>
      <c r="Y26" s="373">
        <f t="shared" si="21"/>
        <v>0</v>
      </c>
      <c r="Z26" s="373">
        <f t="shared" si="21"/>
        <v>0</v>
      </c>
      <c r="AA26" s="373">
        <f t="shared" si="21"/>
        <v>0</v>
      </c>
      <c r="AB26" s="373">
        <f t="shared" si="21"/>
        <v>0</v>
      </c>
      <c r="AC26" s="373">
        <f t="shared" si="21"/>
        <v>0</v>
      </c>
      <c r="AD26" s="373">
        <f t="shared" si="21"/>
        <v>0</v>
      </c>
      <c r="AE26" s="373">
        <f t="shared" si="21"/>
        <v>0</v>
      </c>
      <c r="AF26" s="373">
        <f t="shared" si="21"/>
        <v>0</v>
      </c>
      <c r="AG26" s="373">
        <f t="shared" si="21"/>
        <v>0</v>
      </c>
      <c r="AH26" s="373">
        <f t="shared" si="21"/>
        <v>0</v>
      </c>
      <c r="AI26" s="373">
        <f t="shared" si="21"/>
        <v>0</v>
      </c>
      <c r="AJ26" s="373">
        <f t="shared" si="21"/>
        <v>0</v>
      </c>
      <c r="AK26" s="373">
        <f t="shared" si="21"/>
        <v>0</v>
      </c>
      <c r="AL26" s="373">
        <f t="shared" si="21"/>
        <v>0</v>
      </c>
      <c r="AM26" s="373">
        <f t="shared" si="21"/>
        <v>0</v>
      </c>
      <c r="AN26" s="373">
        <f t="shared" si="21"/>
        <v>0</v>
      </c>
      <c r="AO26" s="373">
        <f t="shared" si="21"/>
        <v>0</v>
      </c>
      <c r="AP26" s="373">
        <f t="shared" si="21"/>
        <v>0</v>
      </c>
    </row>
    <row r="27" spans="1:42" s="74" customFormat="1" ht="13.95" customHeight="1" thickBot="1">
      <c r="A27" s="307"/>
      <c r="B27" s="299" t="s">
        <v>48</v>
      </c>
      <c r="C27" s="300"/>
      <c r="D27" s="301">
        <f>SUM(D12,D26)</f>
        <v>0</v>
      </c>
      <c r="E27" s="301">
        <f>SUM(E12,E26)</f>
        <v>0</v>
      </c>
      <c r="F27" s="301">
        <f>SUM(F12,F26)</f>
        <v>0</v>
      </c>
      <c r="G27" s="446">
        <f>SUM(G12,G26)</f>
        <v>0</v>
      </c>
      <c r="H27" s="446">
        <f>SUM(H12,H26)</f>
        <v>0</v>
      </c>
      <c r="I27" s="294"/>
      <c r="J27" s="301">
        <f t="shared" ref="J27:AP27" si="22">SUM(J12,J26)</f>
        <v>0</v>
      </c>
      <c r="K27" s="301">
        <f t="shared" si="22"/>
        <v>0</v>
      </c>
      <c r="L27" s="301">
        <f t="shared" si="22"/>
        <v>0</v>
      </c>
      <c r="M27" s="301">
        <f t="shared" si="22"/>
        <v>0</v>
      </c>
      <c r="N27" s="301">
        <f t="shared" si="22"/>
        <v>0</v>
      </c>
      <c r="O27" s="301">
        <f t="shared" si="22"/>
        <v>0</v>
      </c>
      <c r="P27" s="301">
        <f t="shared" si="22"/>
        <v>0</v>
      </c>
      <c r="Q27" s="301">
        <f t="shared" si="22"/>
        <v>0</v>
      </c>
      <c r="R27" s="301">
        <f t="shared" si="22"/>
        <v>0</v>
      </c>
      <c r="S27" s="301">
        <f t="shared" si="22"/>
        <v>0</v>
      </c>
      <c r="T27" s="301">
        <f t="shared" si="22"/>
        <v>0</v>
      </c>
      <c r="U27" s="301">
        <f t="shared" si="22"/>
        <v>0</v>
      </c>
      <c r="V27" s="301">
        <f t="shared" si="22"/>
        <v>0</v>
      </c>
      <c r="W27" s="301">
        <f t="shared" si="22"/>
        <v>0</v>
      </c>
      <c r="X27" s="301">
        <f t="shared" si="22"/>
        <v>0</v>
      </c>
      <c r="Y27" s="301">
        <f t="shared" si="22"/>
        <v>0</v>
      </c>
      <c r="Z27" s="301">
        <f t="shared" si="22"/>
        <v>0</v>
      </c>
      <c r="AA27" s="301">
        <f t="shared" si="22"/>
        <v>0</v>
      </c>
      <c r="AB27" s="301">
        <f t="shared" si="22"/>
        <v>0</v>
      </c>
      <c r="AC27" s="301">
        <f t="shared" si="22"/>
        <v>0</v>
      </c>
      <c r="AD27" s="301">
        <f t="shared" si="22"/>
        <v>0</v>
      </c>
      <c r="AE27" s="301">
        <f t="shared" si="22"/>
        <v>0</v>
      </c>
      <c r="AF27" s="301">
        <f t="shared" si="22"/>
        <v>0</v>
      </c>
      <c r="AG27" s="301">
        <f t="shared" si="22"/>
        <v>0</v>
      </c>
      <c r="AH27" s="301">
        <f t="shared" si="22"/>
        <v>0</v>
      </c>
      <c r="AI27" s="301">
        <f t="shared" si="22"/>
        <v>0</v>
      </c>
      <c r="AJ27" s="301">
        <f t="shared" si="22"/>
        <v>0</v>
      </c>
      <c r="AK27" s="301">
        <f t="shared" si="22"/>
        <v>0</v>
      </c>
      <c r="AL27" s="301">
        <f t="shared" si="22"/>
        <v>0</v>
      </c>
      <c r="AM27" s="301">
        <f t="shared" si="22"/>
        <v>0</v>
      </c>
      <c r="AN27" s="301">
        <f t="shared" si="22"/>
        <v>0</v>
      </c>
      <c r="AO27" s="301">
        <f t="shared" si="22"/>
        <v>0</v>
      </c>
      <c r="AP27" s="301">
        <f t="shared" si="22"/>
        <v>0</v>
      </c>
    </row>
    <row r="28" spans="1:42" s="116" customFormat="1" ht="13.95" customHeight="1">
      <c r="A28" s="309"/>
      <c r="B28" s="298" t="s">
        <v>98</v>
      </c>
      <c r="C28" s="280"/>
      <c r="D28" s="392" t="e">
        <f>(D27/'Recast Mgmt. Adjusted'!C6)*100</f>
        <v>#DIV/0!</v>
      </c>
      <c r="E28" s="392" t="e">
        <f>(E27/'Recast Mgmt. Adjusted'!D6)*100</f>
        <v>#DIV/0!</v>
      </c>
      <c r="F28" s="392" t="e">
        <f>(F27/'Recast Mgmt. Adjusted'!E6)*100</f>
        <v>#DIV/0!</v>
      </c>
      <c r="G28" s="489" t="s">
        <v>21</v>
      </c>
      <c r="H28" s="489" t="s">
        <v>21</v>
      </c>
      <c r="I28" s="294"/>
      <c r="J28" s="392" t="e">
        <f>(J27/'Recast Mgmt. Adjusted'!G6)*100</f>
        <v>#DIV/0!</v>
      </c>
      <c r="K28" s="392" t="e">
        <f>(K27/'Recast Mgmt. Adjusted'!H6)*100</f>
        <v>#DIV/0!</v>
      </c>
      <c r="L28" s="392" t="e">
        <f>(L27/'Recast Mgmt. Adjusted'!I6)*100</f>
        <v>#DIV/0!</v>
      </c>
      <c r="M28" s="392" t="e">
        <f>(M27/'Recast Mgmt. Adjusted'!J6)*100</f>
        <v>#DIV/0!</v>
      </c>
      <c r="N28" s="392" t="e">
        <f>(N27/'Recast Mgmt. Adjusted'!K6)*100</f>
        <v>#DIV/0!</v>
      </c>
      <c r="O28" s="392" t="e">
        <f>(O27/'Recast Mgmt. Adjusted'!L6)*100</f>
        <v>#DIV/0!</v>
      </c>
      <c r="P28" s="392" t="e">
        <f>(P27/'Recast Mgmt. Adjusted'!M6)*100</f>
        <v>#DIV/0!</v>
      </c>
      <c r="Q28" s="392" t="e">
        <f>(Q27/'Recast Mgmt. Adjusted'!N6)*100</f>
        <v>#DIV/0!</v>
      </c>
      <c r="R28" s="392" t="e">
        <f>(R27/'Recast Mgmt. Adjusted'!O6)*100</f>
        <v>#DIV/0!</v>
      </c>
      <c r="S28" s="392" t="e">
        <f>(S27/'Recast Mgmt. Adjusted'!P6)*100</f>
        <v>#DIV/0!</v>
      </c>
      <c r="T28" s="392" t="e">
        <f>(T27/'Recast Mgmt. Adjusted'!Q6)*100</f>
        <v>#DIV/0!</v>
      </c>
      <c r="U28" s="392" t="e">
        <f>(U27/'Recast Mgmt. Adjusted'!R6)*100</f>
        <v>#DIV/0!</v>
      </c>
      <c r="V28" s="392" t="e">
        <f>(V27/'Recast Mgmt. Adjusted'!S6)*100</f>
        <v>#DIV/0!</v>
      </c>
      <c r="W28" s="392" t="e">
        <f>(W27/'Recast Mgmt. Adjusted'!T6)*100</f>
        <v>#DIV/0!</v>
      </c>
      <c r="X28" s="392" t="e">
        <f>(X27/'Recast Mgmt. Adjusted'!U6)*100</f>
        <v>#DIV/0!</v>
      </c>
      <c r="Y28" s="392" t="e">
        <f>(Y27/'Recast Mgmt. Adjusted'!V6)*100</f>
        <v>#DIV/0!</v>
      </c>
      <c r="Z28" s="392" t="e">
        <f>(Z27/'Recast Mgmt. Adjusted'!W6)*100</f>
        <v>#DIV/0!</v>
      </c>
      <c r="AA28" s="392" t="e">
        <f>(AA27/'Recast Mgmt. Adjusted'!X6)*100</f>
        <v>#DIV/0!</v>
      </c>
      <c r="AB28" s="392" t="e">
        <f>(AB27/'Recast Mgmt. Adjusted'!Y6)*100</f>
        <v>#DIV/0!</v>
      </c>
      <c r="AC28" s="392" t="e">
        <f>(AC27/'Recast Mgmt. Adjusted'!Z6)*100</f>
        <v>#DIV/0!</v>
      </c>
      <c r="AD28" s="392" t="e">
        <f>(AD27/'Recast Mgmt. Adjusted'!AA6)*100</f>
        <v>#DIV/0!</v>
      </c>
      <c r="AE28" s="392" t="e">
        <f>(AE27/'Recast Mgmt. Adjusted'!AB6)*100</f>
        <v>#DIV/0!</v>
      </c>
      <c r="AF28" s="392" t="e">
        <f>(AF27/'Recast Mgmt. Adjusted'!AC6)*100</f>
        <v>#DIV/0!</v>
      </c>
      <c r="AG28" s="392" t="e">
        <f>(AG27/'Recast Mgmt. Adjusted'!AD6)*100</f>
        <v>#DIV/0!</v>
      </c>
      <c r="AH28" s="392" t="e">
        <f>(AH27/'Recast Mgmt. Adjusted'!AE6)*100</f>
        <v>#DIV/0!</v>
      </c>
      <c r="AI28" s="392" t="e">
        <f>(AI27/'Recast Mgmt. Adjusted'!AF6)*100</f>
        <v>#DIV/0!</v>
      </c>
      <c r="AJ28" s="392" t="e">
        <f>(AJ27/'Recast Mgmt. Adjusted'!AG6)*100</f>
        <v>#DIV/0!</v>
      </c>
      <c r="AK28" s="392" t="e">
        <f>(AK27/'Recast Mgmt. Adjusted'!AH6)*100</f>
        <v>#DIV/0!</v>
      </c>
      <c r="AL28" s="392" t="e">
        <f>(AL27/'Recast Mgmt. Adjusted'!AN6)*100</f>
        <v>#DIV/0!</v>
      </c>
      <c r="AM28" s="392" t="e">
        <f>(AM27/'Recast Mgmt. Adjusted'!AO6)*100</f>
        <v>#DIV/0!</v>
      </c>
      <c r="AN28" s="392" t="e">
        <f>(AN27/'Recast Mgmt. Adjusted'!AP6)*100</f>
        <v>#DIV/0!</v>
      </c>
      <c r="AO28" s="392" t="e">
        <f>(AO27/'Recast Mgmt. Adjusted'!AQ6)*100</f>
        <v>#DIV/0!</v>
      </c>
      <c r="AP28" s="392" t="e">
        <f>(AP27/'Recast Mgmt. Adjusted'!AR6)*100</f>
        <v>#DIV/0!</v>
      </c>
    </row>
    <row r="29" spans="1:42" s="77" customFormat="1" ht="4.3499999999999996" customHeight="1">
      <c r="A29" s="308"/>
      <c r="B29" s="75"/>
      <c r="C29" s="76"/>
      <c r="D29" s="117"/>
      <c r="E29" s="117"/>
      <c r="F29" s="117"/>
      <c r="G29" s="117"/>
      <c r="H29" s="117"/>
      <c r="J29" s="117"/>
      <c r="K29" s="117"/>
      <c r="P29" s="97"/>
      <c r="R29" s="98"/>
    </row>
    <row r="30" spans="1:42" s="77" customFormat="1" ht="13.95" customHeight="1">
      <c r="A30" s="308"/>
      <c r="B30" s="93" t="s">
        <v>64</v>
      </c>
      <c r="C30" s="94"/>
      <c r="D30" s="96"/>
      <c r="E30" s="96"/>
      <c r="F30" s="96"/>
      <c r="G30" s="96"/>
      <c r="H30" s="96"/>
      <c r="J30" s="95"/>
      <c r="K30" s="95"/>
      <c r="P30" s="97"/>
      <c r="R30" s="98"/>
    </row>
  </sheetData>
  <pageMargins left="0.7" right="0.7" top="0.75" bottom="0.75" header="0.3" footer="0.3"/>
  <pageSetup scale="45" orientation="landscape" horizontalDpi="1200" verticalDpi="1200" r:id="rId1"/>
</worksheet>
</file>

<file path=xl/worksheets/sheet6.xml><?xml version="1.0" encoding="utf-8"?>
<worksheet xmlns="http://schemas.openxmlformats.org/spreadsheetml/2006/main" xmlns:r="http://schemas.openxmlformats.org/officeDocument/2006/relationships">
  <sheetPr codeName="Sheet13">
    <pageSetUpPr fitToPage="1"/>
  </sheetPr>
  <dimension ref="A1:D200"/>
  <sheetViews>
    <sheetView showGridLines="0" view="pageBreakPreview" topLeftCell="A3" zoomScaleNormal="100" zoomScaleSheetLayoutView="100" workbookViewId="0">
      <selection activeCell="B17" sqref="B17"/>
    </sheetView>
  </sheetViews>
  <sheetFormatPr defaultRowHeight="13.95" customHeight="1"/>
  <cols>
    <col min="1" max="1" width="30.59765625" customWidth="1"/>
    <col min="2" max="2" width="91.09765625" customWidth="1"/>
  </cols>
  <sheetData>
    <row r="1" spans="1:4" ht="13.95" customHeight="1">
      <c r="A1" s="83" t="str">
        <f>Project&amp;" - "&amp;City&amp;", "&amp;State</f>
        <v>OPEN - OPEN, OPEN</v>
      </c>
    </row>
    <row r="2" spans="1:4" ht="13.95" customHeight="1">
      <c r="A2" s="279" t="str">
        <f ca="1">MID(CELL("filename",A1),FIND("]",CELL("filename",A1))+1,255)</f>
        <v>QE Descriptions</v>
      </c>
      <c r="B2" s="433"/>
    </row>
    <row r="3" spans="1:4" s="66" customFormat="1" ht="13.95" customHeight="1"/>
    <row r="4" spans="1:4" s="66" customFormat="1" ht="13.95" customHeight="1">
      <c r="A4" s="536" t="s">
        <v>66</v>
      </c>
      <c r="B4" s="536"/>
    </row>
    <row r="5" spans="1:4" s="66" customFormat="1" ht="13.95" customHeight="1">
      <c r="A5" s="536"/>
      <c r="B5" s="536"/>
    </row>
    <row r="6" spans="1:4" s="66" customFormat="1" ht="13.95" customHeight="1">
      <c r="A6" s="536"/>
      <c r="B6" s="536"/>
    </row>
    <row r="7" spans="1:4" s="66" customFormat="1" ht="13.95" customHeight="1">
      <c r="A7" s="536"/>
      <c r="B7" s="536"/>
    </row>
    <row r="8" spans="1:4" s="66" customFormat="1" ht="13.95" customHeight="1">
      <c r="A8" s="67"/>
      <c r="B8" s="67"/>
    </row>
    <row r="9" spans="1:4" s="86" customFormat="1" ht="13.95" customHeight="1">
      <c r="A9" s="85" t="s">
        <v>55</v>
      </c>
      <c r="B9" s="85" t="s">
        <v>54</v>
      </c>
      <c r="D9" s="66"/>
    </row>
    <row r="10" spans="1:4" s="86" customFormat="1" ht="13.8">
      <c r="A10" s="87" t="str">
        <f>CONCATENATE('Lead QE'!C16,") ",'Lead QE'!B16)</f>
        <v>1) [Input adjustment]</v>
      </c>
      <c r="B10" s="88"/>
      <c r="D10" s="66"/>
    </row>
    <row r="11" spans="1:4" s="86" customFormat="1" ht="13.8">
      <c r="A11" s="89" t="str">
        <f>CONCATENATE('Lead QE'!C17,") ",'Lead QE'!B17)</f>
        <v>2) [Input adjustment]</v>
      </c>
      <c r="B11" s="90"/>
      <c r="D11" s="66"/>
    </row>
    <row r="12" spans="1:4" s="86" customFormat="1" ht="13.8">
      <c r="A12" s="87" t="str">
        <f>CONCATENATE('Lead QE'!C18,") ",'Lead QE'!B18)</f>
        <v>3) [Input adjustment]</v>
      </c>
      <c r="B12" s="88"/>
      <c r="D12" s="66"/>
    </row>
    <row r="13" spans="1:4" s="86" customFormat="1" ht="13.8">
      <c r="A13" s="89" t="str">
        <f>CONCATENATE('Lead QE'!C19,") ",'Lead QE'!B19)</f>
        <v>4) [Input adjustment]</v>
      </c>
      <c r="B13" s="90"/>
      <c r="D13" s="66"/>
    </row>
    <row r="14" spans="1:4" s="86" customFormat="1" ht="13.8">
      <c r="A14" s="87" t="str">
        <f>CONCATENATE('Lead QE'!C20,") ",'Lead QE'!B20)</f>
        <v>5) [Input adjustment]</v>
      </c>
      <c r="B14" s="88"/>
      <c r="D14" s="66"/>
    </row>
    <row r="15" spans="1:4" s="86" customFormat="1" ht="13.8">
      <c r="A15" s="89" t="str">
        <f>CONCATENATE('Lead QE'!C21,") ",'Lead QE'!B21)</f>
        <v>6) [Input adjustment]</v>
      </c>
      <c r="B15" s="90"/>
      <c r="D15" s="66"/>
    </row>
    <row r="16" spans="1:4" s="86" customFormat="1" ht="13.8">
      <c r="A16" s="87" t="str">
        <f>CONCATENATE('Lead QE'!C22,") ",'Lead QE'!B22)</f>
        <v>7) [Input adjustment]</v>
      </c>
      <c r="B16" s="88"/>
      <c r="D16" s="66"/>
    </row>
    <row r="17" spans="1:4" s="86" customFormat="1" ht="13.8">
      <c r="A17" s="89" t="str">
        <f>CONCATENATE('Lead QE'!C23,") ",'Lead QE'!B23)</f>
        <v>8) [Input adjustment]</v>
      </c>
      <c r="B17" s="90"/>
      <c r="D17" s="66"/>
    </row>
    <row r="18" spans="1:4" s="86" customFormat="1" ht="13.8">
      <c r="A18" s="87" t="str">
        <f>CONCATENATE('Lead QE'!C24,") ",'Lead QE'!B24)</f>
        <v>9) [Input adjustment]</v>
      </c>
      <c r="B18" s="88"/>
      <c r="D18" s="66"/>
    </row>
    <row r="19" spans="1:4" s="86" customFormat="1" ht="13.8">
      <c r="A19" s="89" t="str">
        <f>CONCATENATE('Lead QE'!C25,") ",'Lead QE'!B25)</f>
        <v>10) [Input adjustment]</v>
      </c>
      <c r="B19" s="90"/>
      <c r="D19" s="66"/>
    </row>
    <row r="20" spans="1:4" s="66" customFormat="1" ht="13.95" customHeight="1"/>
    <row r="21" spans="1:4" s="66" customFormat="1" ht="13.95" customHeight="1"/>
    <row r="22" spans="1:4" s="66" customFormat="1" ht="13.95" customHeight="1"/>
    <row r="23" spans="1:4" s="66" customFormat="1" ht="13.95" customHeight="1"/>
    <row r="24" spans="1:4" s="66" customFormat="1" ht="13.95" customHeight="1"/>
    <row r="25" spans="1:4" s="66" customFormat="1" ht="13.95" customHeight="1"/>
    <row r="26" spans="1:4" s="66" customFormat="1" ht="13.95" customHeight="1"/>
    <row r="27" spans="1:4" s="66" customFormat="1" ht="13.95" customHeight="1"/>
    <row r="28" spans="1:4" s="66" customFormat="1" ht="13.95" customHeight="1"/>
    <row r="29" spans="1:4" s="66" customFormat="1" ht="13.95" customHeight="1"/>
    <row r="30" spans="1:4" s="66" customFormat="1" ht="13.95" customHeight="1"/>
    <row r="31" spans="1:4" s="66" customFormat="1" ht="13.95" customHeight="1"/>
    <row r="32" spans="1:4" s="66" customFormat="1" ht="13.95" customHeight="1"/>
    <row r="33" s="66" customFormat="1" ht="13.95" customHeight="1"/>
    <row r="34" s="66" customFormat="1" ht="13.95" customHeight="1"/>
    <row r="35" s="66" customFormat="1" ht="13.95" customHeight="1"/>
    <row r="36" s="66" customFormat="1" ht="13.95" customHeight="1"/>
    <row r="37" s="66" customFormat="1" ht="13.95" customHeight="1"/>
    <row r="38" s="66" customFormat="1" ht="13.95" customHeight="1"/>
    <row r="39" s="66" customFormat="1" ht="13.95" customHeight="1"/>
    <row r="40" s="66" customFormat="1" ht="13.95" customHeight="1"/>
    <row r="41" s="66" customFormat="1" ht="13.95" customHeight="1"/>
    <row r="42" s="66" customFormat="1" ht="13.95" customHeight="1"/>
    <row r="43" s="66" customFormat="1" ht="13.95" customHeight="1"/>
    <row r="44" s="66" customFormat="1" ht="13.95" customHeight="1"/>
    <row r="45" s="66" customFormat="1" ht="13.95" customHeight="1"/>
    <row r="46" s="66" customFormat="1" ht="13.95" customHeight="1"/>
    <row r="47" s="66" customFormat="1" ht="13.95" customHeight="1"/>
    <row r="48" s="66" customFormat="1" ht="13.95" customHeight="1"/>
    <row r="49" s="66" customFormat="1" ht="13.95" customHeight="1"/>
    <row r="50" s="66" customFormat="1" ht="13.95" customHeight="1"/>
    <row r="51" s="66" customFormat="1" ht="13.95" customHeight="1"/>
    <row r="52" s="66" customFormat="1" ht="13.95" customHeight="1"/>
    <row r="53" s="66" customFormat="1" ht="13.95" customHeight="1"/>
    <row r="54" s="66" customFormat="1" ht="13.95" customHeight="1"/>
    <row r="55" s="66" customFormat="1" ht="13.95" customHeight="1"/>
    <row r="56" s="66" customFormat="1" ht="13.95" customHeight="1"/>
    <row r="57" s="66" customFormat="1" ht="13.95" customHeight="1"/>
    <row r="58" s="66" customFormat="1" ht="13.95" customHeight="1"/>
    <row r="59" s="66" customFormat="1" ht="13.95" customHeight="1"/>
    <row r="60" s="66" customFormat="1" ht="13.95" customHeight="1"/>
    <row r="61" s="66" customFormat="1" ht="13.95" customHeight="1"/>
    <row r="62" s="66" customFormat="1" ht="13.95" customHeight="1"/>
    <row r="63" s="66" customFormat="1" ht="13.95" customHeight="1"/>
    <row r="64" s="66" customFormat="1" ht="13.95" customHeight="1"/>
    <row r="65" s="66" customFormat="1" ht="13.95" customHeight="1"/>
    <row r="66" s="66" customFormat="1" ht="13.95" customHeight="1"/>
    <row r="67" s="66" customFormat="1" ht="13.95" customHeight="1"/>
    <row r="68" s="66" customFormat="1" ht="13.95" customHeight="1"/>
    <row r="69" s="66" customFormat="1" ht="13.95" customHeight="1"/>
    <row r="70" s="66" customFormat="1" ht="13.95" customHeight="1"/>
    <row r="71" s="66" customFormat="1" ht="13.95" customHeight="1"/>
    <row r="72" s="66" customFormat="1" ht="13.95" customHeight="1"/>
    <row r="73" s="66" customFormat="1" ht="13.95" customHeight="1"/>
    <row r="74" s="66" customFormat="1" ht="13.95" customHeight="1"/>
    <row r="75" s="66" customFormat="1" ht="13.95" customHeight="1"/>
    <row r="76" s="66" customFormat="1" ht="13.95" customHeight="1"/>
    <row r="77" s="66" customFormat="1" ht="13.95" customHeight="1"/>
    <row r="78" s="66" customFormat="1" ht="13.95" customHeight="1"/>
    <row r="79" s="66" customFormat="1" ht="13.95" customHeight="1"/>
    <row r="80" s="66" customFormat="1" ht="13.95" customHeight="1"/>
    <row r="81" s="66" customFormat="1" ht="13.95" customHeight="1"/>
    <row r="82" s="66" customFormat="1" ht="13.95" customHeight="1"/>
    <row r="83" s="66" customFormat="1" ht="13.95" customHeight="1"/>
    <row r="84" s="66" customFormat="1" ht="13.95" customHeight="1"/>
    <row r="85" s="66" customFormat="1" ht="13.95" customHeight="1"/>
    <row r="86" s="66" customFormat="1" ht="13.95" customHeight="1"/>
    <row r="87" s="66" customFormat="1" ht="13.95" customHeight="1"/>
    <row r="88" s="66" customFormat="1" ht="13.95" customHeight="1"/>
    <row r="89" s="66" customFormat="1" ht="13.95" customHeight="1"/>
    <row r="90" s="66" customFormat="1" ht="13.95" customHeight="1"/>
    <row r="91" s="66" customFormat="1" ht="13.95" customHeight="1"/>
    <row r="92" s="66" customFormat="1" ht="13.95" customHeight="1"/>
    <row r="93" s="66" customFormat="1" ht="13.95" customHeight="1"/>
    <row r="94" s="66" customFormat="1" ht="13.95" customHeight="1"/>
    <row r="95" s="66" customFormat="1" ht="13.95" customHeight="1"/>
    <row r="96" s="66" customFormat="1" ht="13.95" customHeight="1"/>
    <row r="97" s="66" customFormat="1" ht="13.95" customHeight="1"/>
    <row r="98" s="66" customFormat="1" ht="13.95" customHeight="1"/>
    <row r="99" s="66" customFormat="1" ht="13.95" customHeight="1"/>
    <row r="100" s="66" customFormat="1" ht="13.95" customHeight="1"/>
    <row r="101" s="66" customFormat="1" ht="13.95" customHeight="1"/>
    <row r="102" s="66" customFormat="1" ht="13.95" customHeight="1"/>
    <row r="103" s="66" customFormat="1" ht="13.95" customHeight="1"/>
    <row r="104" s="66" customFormat="1" ht="13.95" customHeight="1"/>
    <row r="105" s="66" customFormat="1" ht="13.95" customHeight="1"/>
    <row r="106" s="66" customFormat="1" ht="13.95" customHeight="1"/>
    <row r="107" s="66" customFormat="1" ht="13.95" customHeight="1"/>
    <row r="108" s="66" customFormat="1" ht="13.95" customHeight="1"/>
    <row r="109" s="66" customFormat="1" ht="13.95" customHeight="1"/>
    <row r="110" s="66" customFormat="1" ht="13.95" customHeight="1"/>
    <row r="111" s="66" customFormat="1" ht="13.95" customHeight="1"/>
    <row r="112" s="66" customFormat="1" ht="13.95" customHeight="1"/>
    <row r="113" s="66" customFormat="1" ht="13.95" customHeight="1"/>
    <row r="114" s="66" customFormat="1" ht="13.95" customHeight="1"/>
    <row r="115" s="66" customFormat="1" ht="13.95" customHeight="1"/>
    <row r="116" s="66" customFormat="1" ht="13.95" customHeight="1"/>
    <row r="117" s="66" customFormat="1" ht="13.95" customHeight="1"/>
    <row r="118" s="66" customFormat="1" ht="13.95" customHeight="1"/>
    <row r="119" s="66" customFormat="1" ht="13.95" customHeight="1"/>
    <row r="120" s="66" customFormat="1" ht="13.95" customHeight="1"/>
    <row r="121" s="66" customFormat="1" ht="13.95" customHeight="1"/>
    <row r="122" s="66" customFormat="1" ht="13.95" customHeight="1"/>
    <row r="123" s="66" customFormat="1" ht="13.95" customHeight="1"/>
    <row r="124" s="66" customFormat="1" ht="13.95" customHeight="1"/>
    <row r="125" s="66" customFormat="1" ht="13.95" customHeight="1"/>
    <row r="126" s="66" customFormat="1" ht="13.95" customHeight="1"/>
    <row r="127" s="66" customFormat="1" ht="13.95" customHeight="1"/>
    <row r="128" s="66" customFormat="1" ht="13.95" customHeight="1"/>
    <row r="129" s="66" customFormat="1" ht="13.95" customHeight="1"/>
    <row r="130" s="66" customFormat="1" ht="13.95" customHeight="1"/>
    <row r="131" s="66" customFormat="1" ht="13.95" customHeight="1"/>
    <row r="132" s="66" customFormat="1" ht="13.95" customHeight="1"/>
    <row r="133" s="66" customFormat="1" ht="13.95" customHeight="1"/>
    <row r="134" s="66" customFormat="1" ht="13.95" customHeight="1"/>
    <row r="135" s="66" customFormat="1" ht="13.95" customHeight="1"/>
    <row r="136" s="66" customFormat="1" ht="13.95" customHeight="1"/>
    <row r="137" s="66" customFormat="1" ht="13.95" customHeight="1"/>
    <row r="138" s="66" customFormat="1" ht="13.95" customHeight="1"/>
    <row r="139" s="66" customFormat="1" ht="13.95" customHeight="1"/>
    <row r="140" s="66" customFormat="1" ht="13.95" customHeight="1"/>
    <row r="141" s="66" customFormat="1" ht="13.95" customHeight="1"/>
    <row r="142" s="66" customFormat="1" ht="13.95" customHeight="1"/>
    <row r="143" s="66" customFormat="1" ht="13.95" customHeight="1"/>
    <row r="144" s="66" customFormat="1" ht="13.95" customHeight="1"/>
    <row r="145" s="66" customFormat="1" ht="13.95" customHeight="1"/>
    <row r="146" s="66" customFormat="1" ht="13.95" customHeight="1"/>
    <row r="147" s="66" customFormat="1" ht="13.95" customHeight="1"/>
    <row r="148" s="66" customFormat="1" ht="13.95" customHeight="1"/>
    <row r="149" s="66" customFormat="1" ht="13.95" customHeight="1"/>
    <row r="150" s="66" customFormat="1" ht="13.95" customHeight="1"/>
    <row r="151" s="66" customFormat="1" ht="13.95" customHeight="1"/>
    <row r="152" s="66" customFormat="1" ht="13.95" customHeight="1"/>
    <row r="153" s="66" customFormat="1" ht="13.95" customHeight="1"/>
    <row r="154" s="66" customFormat="1" ht="13.95" customHeight="1"/>
    <row r="155" s="66" customFormat="1" ht="13.95" customHeight="1"/>
    <row r="156" s="66" customFormat="1" ht="13.95" customHeight="1"/>
    <row r="157" s="66" customFormat="1" ht="13.95" customHeight="1"/>
    <row r="158" s="66" customFormat="1" ht="13.95" customHeight="1"/>
    <row r="159" s="66" customFormat="1" ht="13.95" customHeight="1"/>
    <row r="160" s="66" customFormat="1" ht="13.95" customHeight="1"/>
    <row r="161" s="66" customFormat="1" ht="13.95" customHeight="1"/>
    <row r="162" s="66" customFormat="1" ht="13.95" customHeight="1"/>
    <row r="163" s="66" customFormat="1" ht="13.95" customHeight="1"/>
    <row r="164" s="66" customFormat="1" ht="13.95" customHeight="1"/>
    <row r="165" s="66" customFormat="1" ht="13.95" customHeight="1"/>
    <row r="166" s="66" customFormat="1" ht="13.95" customHeight="1"/>
    <row r="167" s="66" customFormat="1" ht="13.95" customHeight="1"/>
    <row r="168" s="66" customFormat="1" ht="13.95" customHeight="1"/>
    <row r="169" s="66" customFormat="1" ht="13.95" customHeight="1"/>
    <row r="170" s="66" customFormat="1" ht="13.95" customHeight="1"/>
    <row r="171" s="66" customFormat="1" ht="13.95" customHeight="1"/>
    <row r="172" s="66" customFormat="1" ht="13.95" customHeight="1"/>
    <row r="173" s="66" customFormat="1" ht="13.95" customHeight="1"/>
    <row r="174" s="66" customFormat="1" ht="13.95" customHeight="1"/>
    <row r="175" s="66" customFormat="1" ht="13.95" customHeight="1"/>
    <row r="176" s="66" customFormat="1" ht="13.95" customHeight="1"/>
    <row r="177" s="66" customFormat="1" ht="13.95" customHeight="1"/>
    <row r="178" s="66" customFormat="1" ht="13.95" customHeight="1"/>
    <row r="179" s="66" customFormat="1" ht="13.95" customHeight="1"/>
    <row r="180" s="66" customFormat="1" ht="13.95" customHeight="1"/>
    <row r="181" s="66" customFormat="1" ht="13.95" customHeight="1"/>
    <row r="182" s="66" customFormat="1" ht="13.95" customHeight="1"/>
    <row r="183" s="66" customFormat="1" ht="13.95" customHeight="1"/>
    <row r="184" s="66" customFormat="1" ht="13.95" customHeight="1"/>
    <row r="185" s="66" customFormat="1" ht="13.95" customHeight="1"/>
    <row r="186" s="66" customFormat="1" ht="13.95" customHeight="1"/>
    <row r="187" s="66" customFormat="1" ht="13.95" customHeight="1"/>
    <row r="188" s="66" customFormat="1" ht="13.95" customHeight="1"/>
    <row r="189" s="66" customFormat="1" ht="13.95" customHeight="1"/>
    <row r="190" s="66" customFormat="1" ht="13.95" customHeight="1"/>
    <row r="191" s="66" customFormat="1" ht="13.95" customHeight="1"/>
    <row r="192" s="66" customFormat="1" ht="13.95" customHeight="1"/>
    <row r="193" s="66" customFormat="1" ht="13.95" customHeight="1"/>
    <row r="194" s="66" customFormat="1" ht="13.95" customHeight="1"/>
    <row r="195" s="66" customFormat="1" ht="13.95" customHeight="1"/>
    <row r="196" s="66" customFormat="1" ht="13.95" customHeight="1"/>
    <row r="197" s="66" customFormat="1" ht="13.95" customHeight="1"/>
    <row r="198" s="66" customFormat="1" ht="13.95" customHeight="1"/>
    <row r="199" s="66" customFormat="1" ht="13.95" customHeight="1"/>
    <row r="200" s="66" customFormat="1" ht="13.95" customHeight="1"/>
  </sheetData>
  <mergeCells count="1">
    <mergeCell ref="A4:B7"/>
  </mergeCells>
  <pageMargins left="0.7" right="0.7" top="0.75" bottom="0.75" header="0.3" footer="0.3"/>
  <pageSetup scale="92" orientation="landscape" r:id="rId1"/>
</worksheet>
</file>

<file path=xl/worksheets/sheet7.xml><?xml version="1.0" encoding="utf-8"?>
<worksheet xmlns="http://schemas.openxmlformats.org/spreadsheetml/2006/main" xmlns:r="http://schemas.openxmlformats.org/officeDocument/2006/relationships">
  <sheetPr codeName="Sheet15">
    <pageSetUpPr autoPageBreaks="0" fitToPage="1"/>
  </sheetPr>
  <dimension ref="A1:AO92"/>
  <sheetViews>
    <sheetView showGridLines="0" view="pageBreakPreview" zoomScaleNormal="100" zoomScaleSheetLayoutView="100" zoomScalePageLayoutView="55" workbookViewId="0">
      <pane xSplit="6" ySplit="3" topLeftCell="G81" activePane="bottomRight" state="frozen"/>
      <selection activeCell="C3" sqref="C3"/>
      <selection pane="topRight" activeCell="C3" sqref="C3"/>
      <selection pane="bottomLeft" activeCell="C3" sqref="C3"/>
      <selection pane="bottomRight" activeCell="A119" sqref="A93:XFD119"/>
    </sheetView>
  </sheetViews>
  <sheetFormatPr defaultColWidth="6.19921875" defaultRowHeight="13.95" customHeight="1" outlineLevelRow="1" outlineLevelCol="1"/>
  <cols>
    <col min="1" max="1" width="12.5" style="48" customWidth="1" outlineLevel="1"/>
    <col min="2" max="2" width="16.09765625" style="48" customWidth="1" outlineLevel="1"/>
    <col min="3" max="3" width="35.19921875" style="63" customWidth="1"/>
    <col min="4" max="6" width="5.69921875" style="13" customWidth="1"/>
    <col min="7" max="7" width="1.59765625" style="13" customWidth="1"/>
    <col min="8" max="19" width="5.69921875" style="13" customWidth="1" outlineLevel="1"/>
    <col min="20" max="40" width="5.69921875" style="13" customWidth="1"/>
    <col min="41" max="16384" width="6.19921875" style="13"/>
  </cols>
  <sheetData>
    <row r="1" spans="1:41" s="104" customFormat="1" ht="13.95" customHeight="1">
      <c r="A1" s="306"/>
      <c r="B1" s="306"/>
      <c r="C1" s="83" t="str">
        <f>Project&amp;" - "&amp;City&amp;", "&amp;State</f>
        <v>OPEN - OPEN, OPEN</v>
      </c>
      <c r="H1" s="103"/>
    </row>
    <row r="2" spans="1:41" s="104" customFormat="1" ht="13.95" customHeight="1">
      <c r="A2" s="306"/>
      <c r="B2" s="306"/>
      <c r="C2" s="84" t="str">
        <f ca="1">MID(CELL("filename",C1),FIND("]",CELL("filename",C1))+1,255)</f>
        <v>QE Detail - MGMT.</v>
      </c>
      <c r="H2" s="103"/>
    </row>
    <row r="3" spans="1:41" s="106" customFormat="1" ht="13.95" customHeight="1">
      <c r="A3" s="306"/>
      <c r="B3" s="306"/>
      <c r="C3" s="105"/>
      <c r="D3" s="107"/>
      <c r="E3" s="107"/>
      <c r="F3" s="107"/>
    </row>
    <row r="4" spans="1:41" s="77" customFormat="1" ht="13.95" customHeight="1">
      <c r="A4" s="310" t="s">
        <v>226</v>
      </c>
      <c r="B4" s="310" t="s">
        <v>231</v>
      </c>
      <c r="C4" s="82" t="str">
        <f>CONCATENATE('Lead QE'!C16,") ",'Lead QE'!B16)</f>
        <v>1) [Input adjustment]</v>
      </c>
      <c r="D4" s="108"/>
      <c r="E4" s="108"/>
      <c r="F4" s="108"/>
      <c r="G4" s="108"/>
      <c r="H4" s="109"/>
      <c r="I4" s="110"/>
      <c r="J4" s="110"/>
      <c r="K4" s="110"/>
      <c r="L4" s="110"/>
      <c r="M4" s="110"/>
      <c r="N4" s="110"/>
      <c r="O4" s="110"/>
      <c r="P4" s="110"/>
      <c r="Q4" s="110"/>
      <c r="R4" s="110"/>
      <c r="S4" s="110"/>
      <c r="T4" s="109"/>
      <c r="U4" s="110"/>
      <c r="V4" s="110"/>
      <c r="W4" s="110"/>
      <c r="X4" s="110"/>
      <c r="Y4" s="110"/>
      <c r="Z4" s="110"/>
      <c r="AA4" s="110"/>
      <c r="AB4" s="110"/>
      <c r="AC4" s="110"/>
      <c r="AD4" s="110"/>
      <c r="AE4" s="110"/>
      <c r="AF4" s="110"/>
      <c r="AG4" s="110"/>
      <c r="AH4" s="110"/>
      <c r="AI4" s="110"/>
      <c r="AJ4" s="110"/>
      <c r="AK4" s="110"/>
      <c r="AL4" s="110"/>
      <c r="AM4" s="110"/>
      <c r="AN4" s="110"/>
    </row>
    <row r="5" spans="1:41" s="77" customFormat="1" ht="23.1" customHeight="1" thickBot="1">
      <c r="A5" s="308"/>
      <c r="B5" s="308"/>
      <c r="C5" s="251" t="s">
        <v>7</v>
      </c>
      <c r="D5" s="297">
        <f>First_Reporting_Year</f>
        <v>44926</v>
      </c>
      <c r="E5" s="297">
        <f>Second_Reporting_Year</f>
        <v>45291</v>
      </c>
      <c r="F5" s="296">
        <f>Stub_Period</f>
        <v>45565</v>
      </c>
      <c r="G5" s="254"/>
      <c r="H5" s="249">
        <f>EOMONTH(D5,-11)</f>
        <v>44592</v>
      </c>
      <c r="I5" s="249">
        <f t="shared" ref="I5" si="0">EOMONTH(H5,1)</f>
        <v>44620</v>
      </c>
      <c r="J5" s="249">
        <f t="shared" ref="J5" si="1">EOMONTH(I5,1)</f>
        <v>44651</v>
      </c>
      <c r="K5" s="249">
        <f t="shared" ref="K5" si="2">EOMONTH(J5,1)</f>
        <v>44681</v>
      </c>
      <c r="L5" s="249">
        <f t="shared" ref="L5" si="3">EOMONTH(K5,1)</f>
        <v>44712</v>
      </c>
      <c r="M5" s="249">
        <f t="shared" ref="M5" si="4">EOMONTH(L5,1)</f>
        <v>44742</v>
      </c>
      <c r="N5" s="249">
        <f t="shared" ref="N5" si="5">EOMONTH(M5,1)</f>
        <v>44773</v>
      </c>
      <c r="O5" s="249">
        <f t="shared" ref="O5" si="6">EOMONTH(N5,1)</f>
        <v>44804</v>
      </c>
      <c r="P5" s="249">
        <f t="shared" ref="P5" si="7">EOMONTH(O5,1)</f>
        <v>44834</v>
      </c>
      <c r="Q5" s="249">
        <f t="shared" ref="Q5" si="8">EOMONTH(P5,1)</f>
        <v>44865</v>
      </c>
      <c r="R5" s="249">
        <f t="shared" ref="R5" si="9">EOMONTH(Q5,1)</f>
        <v>44895</v>
      </c>
      <c r="S5" s="249">
        <f t="shared" ref="S5" si="10">EOMONTH(R5,1)</f>
        <v>44926</v>
      </c>
      <c r="T5" s="249">
        <f t="shared" ref="T5" si="11">EOMONTH(S5,1)</f>
        <v>44957</v>
      </c>
      <c r="U5" s="249">
        <f t="shared" ref="U5" si="12">EOMONTH(T5,1)</f>
        <v>44985</v>
      </c>
      <c r="V5" s="249">
        <f t="shared" ref="V5" si="13">EOMONTH(U5,1)</f>
        <v>45016</v>
      </c>
      <c r="W5" s="249">
        <f t="shared" ref="W5" si="14">EOMONTH(V5,1)</f>
        <v>45046</v>
      </c>
      <c r="X5" s="249">
        <f t="shared" ref="X5" si="15">EOMONTH(W5,1)</f>
        <v>45077</v>
      </c>
      <c r="Y5" s="249">
        <f t="shared" ref="Y5" si="16">EOMONTH(X5,1)</f>
        <v>45107</v>
      </c>
      <c r="Z5" s="249">
        <f t="shared" ref="Z5" si="17">EOMONTH(Y5,1)</f>
        <v>45138</v>
      </c>
      <c r="AA5" s="249">
        <f t="shared" ref="AA5" si="18">EOMONTH(Z5,1)</f>
        <v>45169</v>
      </c>
      <c r="AB5" s="249">
        <f t="shared" ref="AB5" si="19">EOMONTH(AA5,1)</f>
        <v>45199</v>
      </c>
      <c r="AC5" s="249">
        <f t="shared" ref="AC5" si="20">EOMONTH(AB5,1)</f>
        <v>45230</v>
      </c>
      <c r="AD5" s="249">
        <f t="shared" ref="AD5" si="21">EOMONTH(AC5,1)</f>
        <v>45260</v>
      </c>
      <c r="AE5" s="249">
        <f t="shared" ref="AE5" si="22">EOMONTH(AD5,1)</f>
        <v>45291</v>
      </c>
      <c r="AF5" s="249">
        <f t="shared" ref="AF5" si="23">EOMONTH(AE5,1)</f>
        <v>45322</v>
      </c>
      <c r="AG5" s="249">
        <f t="shared" ref="AG5" si="24">EOMONTH(AF5,1)</f>
        <v>45351</v>
      </c>
      <c r="AH5" s="249">
        <f t="shared" ref="AH5" si="25">EOMONTH(AG5,1)</f>
        <v>45382</v>
      </c>
      <c r="AI5" s="249">
        <f t="shared" ref="AI5:AJ5" si="26">EOMONTH(AH5,1)</f>
        <v>45412</v>
      </c>
      <c r="AJ5" s="249">
        <f t="shared" si="26"/>
        <v>45443</v>
      </c>
      <c r="AK5" s="249">
        <f t="shared" ref="AK5" si="27">EOMONTH(AJ5,1)</f>
        <v>45473</v>
      </c>
      <c r="AL5" s="249">
        <f t="shared" ref="AL5" si="28">EOMONTH(AK5,1)</f>
        <v>45504</v>
      </c>
      <c r="AM5" s="249">
        <f t="shared" ref="AM5" si="29">EOMONTH(AL5,1)</f>
        <v>45535</v>
      </c>
      <c r="AN5" s="249">
        <f t="shared" ref="AN5" si="30">EOMONTH(AM5,1)</f>
        <v>45565</v>
      </c>
    </row>
    <row r="6" spans="1:41" s="77" customFormat="1" ht="13.95" customHeight="1">
      <c r="A6" s="308"/>
      <c r="B6" s="308"/>
      <c r="C6" s="55"/>
      <c r="D6" s="111"/>
      <c r="E6" s="111"/>
      <c r="F6" s="111"/>
      <c r="G6" s="112"/>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row>
    <row r="7" spans="1:41" s="116" customFormat="1" ht="13.95" customHeight="1">
      <c r="A7" s="308"/>
      <c r="B7" s="308"/>
      <c r="C7" s="250"/>
      <c r="D7" s="293"/>
      <c r="E7" s="293"/>
      <c r="F7" s="293"/>
      <c r="G7" s="292"/>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52"/>
    </row>
    <row r="8" spans="1:41" s="116" customFormat="1" ht="13.95" customHeight="1">
      <c r="A8" s="308"/>
      <c r="B8" s="308"/>
      <c r="C8" s="282"/>
      <c r="D8" s="295"/>
      <c r="E8" s="295"/>
      <c r="F8" s="295"/>
      <c r="G8" s="401"/>
      <c r="H8" s="532"/>
      <c r="I8" s="532"/>
      <c r="J8" s="532"/>
      <c r="K8" s="532"/>
      <c r="L8" s="532"/>
      <c r="M8" s="532"/>
      <c r="N8" s="532"/>
      <c r="O8" s="532"/>
      <c r="P8" s="532"/>
      <c r="Q8" s="532"/>
      <c r="R8" s="532"/>
      <c r="S8" s="532"/>
      <c r="T8" s="532"/>
      <c r="U8" s="532"/>
      <c r="V8" s="532"/>
      <c r="W8" s="532"/>
      <c r="X8" s="532"/>
      <c r="Y8" s="532"/>
      <c r="Z8" s="532"/>
      <c r="AA8" s="532"/>
      <c r="AB8" s="532"/>
      <c r="AC8" s="532"/>
      <c r="AD8" s="532"/>
      <c r="AE8" s="532"/>
      <c r="AF8" s="532"/>
      <c r="AG8" s="532"/>
      <c r="AH8" s="532"/>
      <c r="AI8" s="532"/>
      <c r="AJ8" s="532"/>
      <c r="AK8" s="532"/>
      <c r="AL8" s="532"/>
      <c r="AM8" s="532"/>
      <c r="AN8" s="532"/>
    </row>
    <row r="9" spans="1:41" s="388" customFormat="1" ht="13.95" customHeight="1">
      <c r="A9" s="307"/>
      <c r="B9" s="307"/>
      <c r="C9" s="237"/>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row>
    <row r="10" spans="1:41" s="388" customFormat="1" ht="13.95" customHeight="1">
      <c r="A10" s="307"/>
      <c r="B10" s="307"/>
      <c r="C10" s="237"/>
      <c r="D10" s="292"/>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row>
    <row r="11" spans="1:41" s="417" customFormat="1" ht="13.95" customHeight="1">
      <c r="A11" s="307"/>
      <c r="B11" s="307"/>
      <c r="C11" s="416"/>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row>
    <row r="12" spans="1:41" s="116" customFormat="1" ht="3.6" customHeight="1">
      <c r="A12" s="308"/>
      <c r="B12" s="308"/>
      <c r="C12" s="60"/>
      <c r="D12" s="293"/>
      <c r="E12" s="293"/>
      <c r="F12" s="293"/>
      <c r="G12" s="292"/>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row>
    <row r="13" spans="1:41" s="116" customFormat="1" ht="13.95" customHeight="1">
      <c r="A13" s="449"/>
      <c r="B13" s="449"/>
      <c r="C13" s="114"/>
      <c r="D13" s="293"/>
      <c r="E13" s="293"/>
      <c r="F13" s="293"/>
      <c r="G13" s="292"/>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row>
    <row r="14" spans="1:41" s="116" customFormat="1" ht="13.95" customHeight="1">
      <c r="A14" s="308"/>
      <c r="B14" s="308"/>
      <c r="C14" s="282"/>
      <c r="D14" s="295"/>
      <c r="E14" s="295"/>
      <c r="F14" s="295"/>
      <c r="G14" s="401"/>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row>
    <row r="15" spans="1:41" s="74" customFormat="1" ht="13.95" customHeight="1">
      <c r="A15" s="307"/>
      <c r="B15" s="307"/>
      <c r="C15" s="101"/>
      <c r="D15" s="292"/>
      <c r="E15" s="292"/>
      <c r="F15" s="292"/>
      <c r="G15" s="292"/>
      <c r="H15" s="292"/>
      <c r="I15" s="292"/>
      <c r="J15" s="292"/>
      <c r="K15" s="292"/>
      <c r="L15" s="292"/>
      <c r="M15" s="292"/>
      <c r="N15" s="292"/>
      <c r="O15" s="292"/>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row>
    <row r="16" spans="1:41" s="74" customFormat="1" ht="13.95" customHeight="1" thickBot="1">
      <c r="A16" s="307"/>
      <c r="B16" s="307"/>
      <c r="C16" s="299" t="s">
        <v>10</v>
      </c>
      <c r="D16" s="301">
        <f>D9+D15</f>
        <v>0</v>
      </c>
      <c r="E16" s="301">
        <f>E9+E15</f>
        <v>0</v>
      </c>
      <c r="F16" s="301">
        <f>F9+F15</f>
        <v>0</v>
      </c>
      <c r="G16" s="292"/>
      <c r="H16" s="301">
        <f t="shared" ref="H16:AI16" si="31">H9+H15</f>
        <v>0</v>
      </c>
      <c r="I16" s="301">
        <f t="shared" si="31"/>
        <v>0</v>
      </c>
      <c r="J16" s="301">
        <f t="shared" si="31"/>
        <v>0</v>
      </c>
      <c r="K16" s="301">
        <f t="shared" si="31"/>
        <v>0</v>
      </c>
      <c r="L16" s="301">
        <f t="shared" si="31"/>
        <v>0</v>
      </c>
      <c r="M16" s="301">
        <f t="shared" si="31"/>
        <v>0</v>
      </c>
      <c r="N16" s="301">
        <f t="shared" si="31"/>
        <v>0</v>
      </c>
      <c r="O16" s="301">
        <f t="shared" si="31"/>
        <v>0</v>
      </c>
      <c r="P16" s="301">
        <f t="shared" si="31"/>
        <v>0</v>
      </c>
      <c r="Q16" s="301">
        <f t="shared" si="31"/>
        <v>0</v>
      </c>
      <c r="R16" s="301">
        <f t="shared" si="31"/>
        <v>0</v>
      </c>
      <c r="S16" s="301">
        <f t="shared" si="31"/>
        <v>0</v>
      </c>
      <c r="T16" s="301">
        <f t="shared" si="31"/>
        <v>0</v>
      </c>
      <c r="U16" s="301">
        <f t="shared" si="31"/>
        <v>0</v>
      </c>
      <c r="V16" s="301">
        <f t="shared" si="31"/>
        <v>0</v>
      </c>
      <c r="W16" s="301">
        <f t="shared" si="31"/>
        <v>0</v>
      </c>
      <c r="X16" s="301">
        <f t="shared" si="31"/>
        <v>0</v>
      </c>
      <c r="Y16" s="301">
        <f t="shared" si="31"/>
        <v>0</v>
      </c>
      <c r="Z16" s="301">
        <f t="shared" si="31"/>
        <v>0</v>
      </c>
      <c r="AA16" s="301">
        <f t="shared" si="31"/>
        <v>0</v>
      </c>
      <c r="AB16" s="301">
        <f t="shared" si="31"/>
        <v>0</v>
      </c>
      <c r="AC16" s="301">
        <f t="shared" si="31"/>
        <v>0</v>
      </c>
      <c r="AD16" s="301">
        <f t="shared" si="31"/>
        <v>0</v>
      </c>
      <c r="AE16" s="301">
        <f t="shared" si="31"/>
        <v>0</v>
      </c>
      <c r="AF16" s="301">
        <f t="shared" si="31"/>
        <v>0</v>
      </c>
      <c r="AG16" s="301">
        <f t="shared" si="31"/>
        <v>0</v>
      </c>
      <c r="AH16" s="301">
        <f t="shared" si="31"/>
        <v>0</v>
      </c>
      <c r="AI16" s="301">
        <f t="shared" si="31"/>
        <v>0</v>
      </c>
      <c r="AJ16" s="301">
        <f t="shared" ref="AJ16:AN16" si="32">AJ9+AJ15</f>
        <v>0</v>
      </c>
      <c r="AK16" s="301">
        <f t="shared" si="32"/>
        <v>0</v>
      </c>
      <c r="AL16" s="301">
        <f t="shared" si="32"/>
        <v>0</v>
      </c>
      <c r="AM16" s="301">
        <f t="shared" si="32"/>
        <v>0</v>
      </c>
      <c r="AN16" s="301">
        <f t="shared" si="32"/>
        <v>0</v>
      </c>
    </row>
    <row r="17" spans="1:40" s="77" customFormat="1" ht="13.95" customHeight="1">
      <c r="A17" s="308"/>
      <c r="B17" s="308"/>
      <c r="C17" s="93" t="s">
        <v>64</v>
      </c>
      <c r="D17" s="117"/>
      <c r="E17" s="117"/>
      <c r="F17" s="117"/>
    </row>
    <row r="18" spans="1:40" s="48" customFormat="1" ht="13.95" customHeight="1">
      <c r="A18" s="308"/>
      <c r="B18" s="308"/>
      <c r="C18" s="64"/>
      <c r="D18" s="65"/>
      <c r="E18" s="65"/>
      <c r="F18" s="65"/>
    </row>
    <row r="19" spans="1:40" s="48" customFormat="1" ht="13.95" customHeight="1">
      <c r="A19" s="308"/>
      <c r="B19" s="308"/>
      <c r="C19" s="82" t="str">
        <f>CONCATENATE('Lead QE'!C17,") ",'Lead QE'!B17)</f>
        <v>2) [Input adjustment]</v>
      </c>
      <c r="D19" s="108"/>
      <c r="E19" s="108"/>
      <c r="F19" s="108"/>
      <c r="G19" s="108"/>
      <c r="H19" s="109"/>
      <c r="I19" s="110"/>
      <c r="J19" s="110"/>
      <c r="K19" s="110"/>
      <c r="L19" s="110"/>
      <c r="M19" s="110"/>
      <c r="N19" s="110"/>
      <c r="O19" s="110"/>
      <c r="P19" s="110"/>
      <c r="Q19" s="110"/>
      <c r="R19" s="110"/>
      <c r="S19" s="110"/>
      <c r="T19" s="109"/>
      <c r="U19" s="110"/>
      <c r="V19" s="110"/>
      <c r="W19" s="110"/>
      <c r="X19" s="110"/>
      <c r="Y19" s="110"/>
      <c r="Z19" s="110"/>
      <c r="AA19" s="110"/>
      <c r="AB19" s="110"/>
      <c r="AC19" s="110"/>
      <c r="AD19" s="110"/>
      <c r="AE19" s="110"/>
      <c r="AF19" s="110"/>
      <c r="AG19" s="110"/>
      <c r="AH19" s="110"/>
      <c r="AI19" s="110"/>
      <c r="AJ19" s="110"/>
      <c r="AK19" s="110"/>
      <c r="AL19" s="110"/>
      <c r="AM19" s="110"/>
      <c r="AN19" s="110"/>
    </row>
    <row r="20" spans="1:40" s="77" customFormat="1" ht="13.95" customHeight="1" thickBot="1">
      <c r="A20" s="308"/>
      <c r="B20" s="308"/>
      <c r="C20" s="251" t="s">
        <v>7</v>
      </c>
      <c r="D20" s="297">
        <f>First_Reporting_Year</f>
        <v>44926</v>
      </c>
      <c r="E20" s="297">
        <f>Second_Reporting_Year</f>
        <v>45291</v>
      </c>
      <c r="F20" s="296">
        <f>Stub_Period</f>
        <v>45565</v>
      </c>
      <c r="G20" s="254"/>
      <c r="H20" s="249">
        <f>EOMONTH(D20,-11)</f>
        <v>44592</v>
      </c>
      <c r="I20" s="249">
        <f t="shared" ref="I20" si="33">EOMONTH(H20,1)</f>
        <v>44620</v>
      </c>
      <c r="J20" s="249">
        <f t="shared" ref="J20" si="34">EOMONTH(I20,1)</f>
        <v>44651</v>
      </c>
      <c r="K20" s="249">
        <f t="shared" ref="K20" si="35">EOMONTH(J20,1)</f>
        <v>44681</v>
      </c>
      <c r="L20" s="249">
        <f t="shared" ref="L20" si="36">EOMONTH(K20,1)</f>
        <v>44712</v>
      </c>
      <c r="M20" s="249">
        <f t="shared" ref="M20" si="37">EOMONTH(L20,1)</f>
        <v>44742</v>
      </c>
      <c r="N20" s="249">
        <f t="shared" ref="N20" si="38">EOMONTH(M20,1)</f>
        <v>44773</v>
      </c>
      <c r="O20" s="249">
        <f t="shared" ref="O20" si="39">EOMONTH(N20,1)</f>
        <v>44804</v>
      </c>
      <c r="P20" s="249">
        <f t="shared" ref="P20" si="40">EOMONTH(O20,1)</f>
        <v>44834</v>
      </c>
      <c r="Q20" s="249">
        <f t="shared" ref="Q20" si="41">EOMONTH(P20,1)</f>
        <v>44865</v>
      </c>
      <c r="R20" s="249">
        <f t="shared" ref="R20" si="42">EOMONTH(Q20,1)</f>
        <v>44895</v>
      </c>
      <c r="S20" s="249">
        <f t="shared" ref="S20" si="43">EOMONTH(R20,1)</f>
        <v>44926</v>
      </c>
      <c r="T20" s="249">
        <f t="shared" ref="T20" si="44">EOMONTH(S20,1)</f>
        <v>44957</v>
      </c>
      <c r="U20" s="249">
        <f t="shared" ref="U20" si="45">EOMONTH(T20,1)</f>
        <v>44985</v>
      </c>
      <c r="V20" s="249">
        <f t="shared" ref="V20" si="46">EOMONTH(U20,1)</f>
        <v>45016</v>
      </c>
      <c r="W20" s="249">
        <f t="shared" ref="W20" si="47">EOMONTH(V20,1)</f>
        <v>45046</v>
      </c>
      <c r="X20" s="249">
        <f t="shared" ref="X20" si="48">EOMONTH(W20,1)</f>
        <v>45077</v>
      </c>
      <c r="Y20" s="249">
        <f t="shared" ref="Y20" si="49">EOMONTH(X20,1)</f>
        <v>45107</v>
      </c>
      <c r="Z20" s="249">
        <f t="shared" ref="Z20" si="50">EOMONTH(Y20,1)</f>
        <v>45138</v>
      </c>
      <c r="AA20" s="249">
        <f t="shared" ref="AA20" si="51">EOMONTH(Z20,1)</f>
        <v>45169</v>
      </c>
      <c r="AB20" s="249">
        <f t="shared" ref="AB20" si="52">EOMONTH(AA20,1)</f>
        <v>45199</v>
      </c>
      <c r="AC20" s="249">
        <f t="shared" ref="AC20" si="53">EOMONTH(AB20,1)</f>
        <v>45230</v>
      </c>
      <c r="AD20" s="249">
        <f t="shared" ref="AD20" si="54">EOMONTH(AC20,1)</f>
        <v>45260</v>
      </c>
      <c r="AE20" s="249">
        <f t="shared" ref="AE20" si="55">EOMONTH(AD20,1)</f>
        <v>45291</v>
      </c>
      <c r="AF20" s="249">
        <f t="shared" ref="AF20" si="56">EOMONTH(AE20,1)</f>
        <v>45322</v>
      </c>
      <c r="AG20" s="249">
        <f t="shared" ref="AG20" si="57">EOMONTH(AF20,1)</f>
        <v>45351</v>
      </c>
      <c r="AH20" s="249">
        <f t="shared" ref="AH20" si="58">EOMONTH(AG20,1)</f>
        <v>45382</v>
      </c>
      <c r="AI20" s="249">
        <f t="shared" ref="AI20:AJ20" si="59">EOMONTH(AH20,1)</f>
        <v>45412</v>
      </c>
      <c r="AJ20" s="249">
        <f t="shared" si="59"/>
        <v>45443</v>
      </c>
      <c r="AK20" s="249">
        <f t="shared" ref="AK20" si="60">EOMONTH(AJ20,1)</f>
        <v>45473</v>
      </c>
      <c r="AL20" s="249">
        <f t="shared" ref="AL20" si="61">EOMONTH(AK20,1)</f>
        <v>45504</v>
      </c>
      <c r="AM20" s="249">
        <f t="shared" ref="AM20" si="62">EOMONTH(AL20,1)</f>
        <v>45535</v>
      </c>
      <c r="AN20" s="249">
        <f t="shared" ref="AN20" si="63">EOMONTH(AM20,1)</f>
        <v>45565</v>
      </c>
    </row>
    <row r="21" spans="1:40" s="77" customFormat="1" ht="13.95" customHeight="1">
      <c r="A21" s="308"/>
      <c r="B21" s="308"/>
      <c r="C21" s="114"/>
      <c r="D21" s="293"/>
      <c r="E21" s="293"/>
      <c r="F21" s="293"/>
      <c r="G21" s="293"/>
      <c r="H21" s="451"/>
      <c r="I21" s="451"/>
      <c r="J21" s="451"/>
      <c r="K21" s="451"/>
      <c r="L21" s="451"/>
      <c r="M21" s="451"/>
      <c r="N21" s="451"/>
      <c r="O21" s="451"/>
      <c r="P21" s="451"/>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row>
    <row r="22" spans="1:40" s="77" customFormat="1" ht="13.95" customHeight="1" thickBot="1">
      <c r="A22" s="309"/>
      <c r="B22" s="309" t="s">
        <v>1</v>
      </c>
      <c r="C22" s="299" t="s">
        <v>10</v>
      </c>
      <c r="D22" s="301">
        <f>SUM(D21:D21)</f>
        <v>0</v>
      </c>
      <c r="E22" s="301">
        <f t="shared" ref="E22:AI22" si="64">SUM(E21:E21)</f>
        <v>0</v>
      </c>
      <c r="F22" s="301">
        <f t="shared" si="64"/>
        <v>0</v>
      </c>
      <c r="G22" s="293">
        <f t="shared" si="64"/>
        <v>0</v>
      </c>
      <c r="H22" s="301">
        <f t="shared" si="64"/>
        <v>0</v>
      </c>
      <c r="I22" s="301">
        <f t="shared" si="64"/>
        <v>0</v>
      </c>
      <c r="J22" s="301">
        <f t="shared" si="64"/>
        <v>0</v>
      </c>
      <c r="K22" s="301">
        <f t="shared" si="64"/>
        <v>0</v>
      </c>
      <c r="L22" s="301">
        <f t="shared" si="64"/>
        <v>0</v>
      </c>
      <c r="M22" s="301">
        <f t="shared" si="64"/>
        <v>0</v>
      </c>
      <c r="N22" s="301">
        <f t="shared" si="64"/>
        <v>0</v>
      </c>
      <c r="O22" s="301">
        <f t="shared" si="64"/>
        <v>0</v>
      </c>
      <c r="P22" s="301">
        <f t="shared" si="64"/>
        <v>0</v>
      </c>
      <c r="Q22" s="301">
        <f t="shared" si="64"/>
        <v>0</v>
      </c>
      <c r="R22" s="301">
        <f t="shared" si="64"/>
        <v>0</v>
      </c>
      <c r="S22" s="301">
        <f t="shared" si="64"/>
        <v>0</v>
      </c>
      <c r="T22" s="301">
        <f t="shared" si="64"/>
        <v>0</v>
      </c>
      <c r="U22" s="301">
        <f t="shared" si="64"/>
        <v>0</v>
      </c>
      <c r="V22" s="301">
        <f t="shared" si="64"/>
        <v>0</v>
      </c>
      <c r="W22" s="301">
        <f t="shared" si="64"/>
        <v>0</v>
      </c>
      <c r="X22" s="301">
        <f t="shared" si="64"/>
        <v>0</v>
      </c>
      <c r="Y22" s="301">
        <f t="shared" si="64"/>
        <v>0</v>
      </c>
      <c r="Z22" s="301">
        <f t="shared" si="64"/>
        <v>0</v>
      </c>
      <c r="AA22" s="301">
        <f t="shared" si="64"/>
        <v>0</v>
      </c>
      <c r="AB22" s="301">
        <f t="shared" si="64"/>
        <v>0</v>
      </c>
      <c r="AC22" s="301">
        <f t="shared" si="64"/>
        <v>0</v>
      </c>
      <c r="AD22" s="301">
        <f t="shared" si="64"/>
        <v>0</v>
      </c>
      <c r="AE22" s="301">
        <f t="shared" si="64"/>
        <v>0</v>
      </c>
      <c r="AF22" s="301">
        <f t="shared" si="64"/>
        <v>0</v>
      </c>
      <c r="AG22" s="301">
        <f t="shared" si="64"/>
        <v>0</v>
      </c>
      <c r="AH22" s="301">
        <f t="shared" si="64"/>
        <v>0</v>
      </c>
      <c r="AI22" s="301">
        <f t="shared" si="64"/>
        <v>0</v>
      </c>
      <c r="AJ22" s="301">
        <f t="shared" ref="AJ22:AN22" si="65">SUM(AJ21:AJ21)</f>
        <v>0</v>
      </c>
      <c r="AK22" s="301">
        <f t="shared" si="65"/>
        <v>0</v>
      </c>
      <c r="AL22" s="301">
        <f t="shared" si="65"/>
        <v>0</v>
      </c>
      <c r="AM22" s="301">
        <f t="shared" si="65"/>
        <v>0</v>
      </c>
      <c r="AN22" s="301">
        <f t="shared" si="65"/>
        <v>0</v>
      </c>
    </row>
    <row r="23" spans="1:40" s="77" customFormat="1" ht="13.95" customHeight="1">
      <c r="A23" s="308"/>
      <c r="B23" s="308"/>
      <c r="C23" s="93" t="s">
        <v>64</v>
      </c>
      <c r="D23" s="117"/>
      <c r="E23" s="117"/>
      <c r="F23" s="117"/>
    </row>
    <row r="24" spans="1:40" s="48" customFormat="1" ht="13.95" customHeight="1">
      <c r="A24" s="308"/>
      <c r="B24" s="308"/>
      <c r="C24" s="47"/>
      <c r="D24" s="62"/>
      <c r="E24" s="62"/>
      <c r="F24" s="62"/>
      <c r="G24" s="61"/>
      <c r="H24" s="61"/>
      <c r="I24" s="61"/>
      <c r="J24" s="61"/>
      <c r="K24" s="61"/>
      <c r="L24" s="61"/>
      <c r="M24" s="61"/>
      <c r="N24" s="61"/>
      <c r="O24" s="61"/>
      <c r="P24" s="61"/>
      <c r="Q24" s="61"/>
      <c r="R24" s="61"/>
      <c r="S24" s="61"/>
      <c r="T24" s="61"/>
      <c r="U24" s="61"/>
    </row>
    <row r="25" spans="1:40" s="48" customFormat="1" ht="13.95" customHeight="1">
      <c r="A25" s="308"/>
      <c r="B25" s="308"/>
      <c r="C25" s="82" t="str">
        <f>CONCATENATE('Lead QE'!C18,") ",'Lead QE'!B18)</f>
        <v>3) [Input adjustment]</v>
      </c>
      <c r="D25" s="108"/>
      <c r="E25" s="108"/>
      <c r="F25" s="108"/>
      <c r="G25" s="108"/>
      <c r="H25" s="109"/>
      <c r="I25" s="110"/>
      <c r="J25" s="110"/>
      <c r="K25" s="110"/>
      <c r="L25" s="110"/>
      <c r="M25" s="110"/>
      <c r="N25" s="110"/>
      <c r="O25" s="110"/>
      <c r="P25" s="110"/>
      <c r="Q25" s="110"/>
      <c r="R25" s="110"/>
      <c r="S25" s="110"/>
      <c r="T25" s="109"/>
      <c r="U25" s="110"/>
      <c r="V25" s="110"/>
      <c r="W25" s="110"/>
      <c r="X25" s="110"/>
      <c r="Y25" s="110"/>
      <c r="Z25" s="110"/>
      <c r="AA25" s="110"/>
      <c r="AB25" s="110"/>
      <c r="AC25" s="110"/>
      <c r="AD25" s="110"/>
      <c r="AE25" s="110"/>
      <c r="AF25" s="110"/>
      <c r="AG25" s="110"/>
      <c r="AH25" s="110"/>
      <c r="AI25" s="110"/>
      <c r="AJ25" s="110"/>
      <c r="AK25" s="110"/>
      <c r="AL25" s="110"/>
      <c r="AM25" s="110"/>
      <c r="AN25" s="110"/>
    </row>
    <row r="26" spans="1:40" s="77" customFormat="1" ht="23.1" customHeight="1" thickBot="1">
      <c r="A26" s="308"/>
      <c r="B26" s="308"/>
      <c r="C26" s="251" t="s">
        <v>7</v>
      </c>
      <c r="D26" s="297">
        <f>First_Reporting_Year</f>
        <v>44926</v>
      </c>
      <c r="E26" s="297">
        <f>Second_Reporting_Year</f>
        <v>45291</v>
      </c>
      <c r="F26" s="296">
        <f>Stub_Period</f>
        <v>45565</v>
      </c>
      <c r="G26" s="254"/>
      <c r="H26" s="249">
        <f>EOMONTH(D26,-11)</f>
        <v>44592</v>
      </c>
      <c r="I26" s="249">
        <f t="shared" ref="I26" si="66">EOMONTH(H26,1)</f>
        <v>44620</v>
      </c>
      <c r="J26" s="249">
        <f t="shared" ref="J26" si="67">EOMONTH(I26,1)</f>
        <v>44651</v>
      </c>
      <c r="K26" s="249">
        <f t="shared" ref="K26" si="68">EOMONTH(J26,1)</f>
        <v>44681</v>
      </c>
      <c r="L26" s="249">
        <f t="shared" ref="L26" si="69">EOMONTH(K26,1)</f>
        <v>44712</v>
      </c>
      <c r="M26" s="249">
        <f t="shared" ref="M26" si="70">EOMONTH(L26,1)</f>
        <v>44742</v>
      </c>
      <c r="N26" s="249">
        <f t="shared" ref="N26" si="71">EOMONTH(M26,1)</f>
        <v>44773</v>
      </c>
      <c r="O26" s="249">
        <f t="shared" ref="O26" si="72">EOMONTH(N26,1)</f>
        <v>44804</v>
      </c>
      <c r="P26" s="249">
        <f t="shared" ref="P26" si="73">EOMONTH(O26,1)</f>
        <v>44834</v>
      </c>
      <c r="Q26" s="249">
        <f t="shared" ref="Q26" si="74">EOMONTH(P26,1)</f>
        <v>44865</v>
      </c>
      <c r="R26" s="249">
        <f t="shared" ref="R26" si="75">EOMONTH(Q26,1)</f>
        <v>44895</v>
      </c>
      <c r="S26" s="249">
        <f t="shared" ref="S26" si="76">EOMONTH(R26,1)</f>
        <v>44926</v>
      </c>
      <c r="T26" s="249">
        <f t="shared" ref="T26" si="77">EOMONTH(S26,1)</f>
        <v>44957</v>
      </c>
      <c r="U26" s="249">
        <f t="shared" ref="U26" si="78">EOMONTH(T26,1)</f>
        <v>44985</v>
      </c>
      <c r="V26" s="249">
        <f t="shared" ref="V26" si="79">EOMONTH(U26,1)</f>
        <v>45016</v>
      </c>
      <c r="W26" s="249">
        <f t="shared" ref="W26" si="80">EOMONTH(V26,1)</f>
        <v>45046</v>
      </c>
      <c r="X26" s="249">
        <f t="shared" ref="X26" si="81">EOMONTH(W26,1)</f>
        <v>45077</v>
      </c>
      <c r="Y26" s="249">
        <f t="shared" ref="Y26" si="82">EOMONTH(X26,1)</f>
        <v>45107</v>
      </c>
      <c r="Z26" s="249">
        <f t="shared" ref="Z26" si="83">EOMONTH(Y26,1)</f>
        <v>45138</v>
      </c>
      <c r="AA26" s="249">
        <f t="shared" ref="AA26" si="84">EOMONTH(Z26,1)</f>
        <v>45169</v>
      </c>
      <c r="AB26" s="249">
        <f t="shared" ref="AB26" si="85">EOMONTH(AA26,1)</f>
        <v>45199</v>
      </c>
      <c r="AC26" s="249">
        <f t="shared" ref="AC26" si="86">EOMONTH(AB26,1)</f>
        <v>45230</v>
      </c>
      <c r="AD26" s="249">
        <f t="shared" ref="AD26" si="87">EOMONTH(AC26,1)</f>
        <v>45260</v>
      </c>
      <c r="AE26" s="249">
        <f t="shared" ref="AE26" si="88">EOMONTH(AD26,1)</f>
        <v>45291</v>
      </c>
      <c r="AF26" s="249">
        <f t="shared" ref="AF26" si="89">EOMONTH(AE26,1)</f>
        <v>45322</v>
      </c>
      <c r="AG26" s="249">
        <f t="shared" ref="AG26" si="90">EOMONTH(AF26,1)</f>
        <v>45351</v>
      </c>
      <c r="AH26" s="249">
        <f t="shared" ref="AH26" si="91">EOMONTH(AG26,1)</f>
        <v>45382</v>
      </c>
      <c r="AI26" s="249">
        <f t="shared" ref="AI26:AJ26" si="92">EOMONTH(AH26,1)</f>
        <v>45412</v>
      </c>
      <c r="AJ26" s="249">
        <f t="shared" si="92"/>
        <v>45443</v>
      </c>
      <c r="AK26" s="249">
        <f t="shared" ref="AK26" si="93">EOMONTH(AJ26,1)</f>
        <v>45473</v>
      </c>
      <c r="AL26" s="249">
        <f t="shared" ref="AL26" si="94">EOMONTH(AK26,1)</f>
        <v>45504</v>
      </c>
      <c r="AM26" s="249">
        <f t="shared" ref="AM26" si="95">EOMONTH(AL26,1)</f>
        <v>45535</v>
      </c>
      <c r="AN26" s="249">
        <f t="shared" ref="AN26" si="96">EOMONTH(AM26,1)</f>
        <v>45565</v>
      </c>
    </row>
    <row r="27" spans="1:40" s="116" customFormat="1" ht="13.95" customHeight="1">
      <c r="A27" s="308"/>
      <c r="B27" s="308"/>
      <c r="C27" s="285"/>
      <c r="D27" s="111"/>
      <c r="E27" s="111"/>
      <c r="F27" s="111"/>
      <c r="G27" s="115"/>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row>
    <row r="28" spans="1:40" s="77" customFormat="1" ht="13.95" customHeight="1">
      <c r="A28" s="308"/>
      <c r="B28" s="308"/>
      <c r="C28" s="418"/>
      <c r="D28" s="111"/>
      <c r="E28" s="111"/>
      <c r="F28" s="111"/>
      <c r="G28" s="112"/>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row>
    <row r="29" spans="1:40" s="116" customFormat="1" ht="13.95" customHeight="1">
      <c r="A29" s="308"/>
      <c r="B29" s="308"/>
      <c r="C29" s="442"/>
      <c r="D29" s="293"/>
      <c r="E29" s="293"/>
      <c r="F29" s="293"/>
      <c r="G29" s="292"/>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row>
    <row r="30" spans="1:40" s="116" customFormat="1" ht="13.95" customHeight="1">
      <c r="A30" s="308"/>
      <c r="B30" s="308"/>
      <c r="C30" s="443"/>
      <c r="D30" s="295"/>
      <c r="E30" s="295"/>
      <c r="F30" s="295"/>
      <c r="G30" s="292"/>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row>
    <row r="31" spans="1:40" s="116" customFormat="1" ht="13.95" customHeight="1">
      <c r="A31" s="308"/>
      <c r="B31" s="308"/>
      <c r="C31" s="203"/>
      <c r="D31" s="293"/>
      <c r="E31" s="293"/>
      <c r="F31" s="293"/>
      <c r="G31" s="292"/>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row>
    <row r="32" spans="1:40" s="116" customFormat="1" ht="13.95" customHeight="1">
      <c r="A32" s="308"/>
      <c r="B32" s="308"/>
      <c r="C32" s="114"/>
      <c r="D32" s="293"/>
      <c r="E32" s="293"/>
      <c r="F32" s="293"/>
      <c r="G32" s="292"/>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293"/>
      <c r="AF32" s="293"/>
      <c r="AG32" s="293"/>
      <c r="AH32" s="293"/>
      <c r="AI32" s="293"/>
      <c r="AJ32" s="293"/>
      <c r="AK32" s="293"/>
      <c r="AL32" s="293"/>
      <c r="AM32" s="293"/>
      <c r="AN32" s="293"/>
    </row>
    <row r="33" spans="1:40" s="116" customFormat="1" ht="13.95" customHeight="1">
      <c r="A33" s="308"/>
      <c r="B33" s="308"/>
      <c r="C33" s="418"/>
      <c r="D33" s="293"/>
      <c r="E33" s="293"/>
      <c r="F33" s="293"/>
      <c r="G33" s="292"/>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row>
    <row r="34" spans="1:40" s="116" customFormat="1" ht="13.95" customHeight="1">
      <c r="A34" s="308"/>
      <c r="B34" s="308"/>
      <c r="C34" s="442"/>
      <c r="D34" s="293"/>
      <c r="E34" s="293"/>
      <c r="F34" s="293"/>
      <c r="G34" s="292"/>
      <c r="H34" s="293"/>
      <c r="I34" s="293"/>
      <c r="J34" s="293"/>
      <c r="K34" s="293"/>
      <c r="L34" s="293"/>
      <c r="M34" s="293"/>
      <c r="N34" s="293"/>
      <c r="O34" s="293"/>
      <c r="P34" s="293"/>
      <c r="Q34" s="293"/>
      <c r="R34" s="293"/>
      <c r="S34" s="293"/>
      <c r="T34" s="293"/>
      <c r="U34" s="293"/>
      <c r="V34" s="293"/>
      <c r="W34" s="293"/>
      <c r="X34" s="293"/>
      <c r="Y34" s="293"/>
      <c r="Z34" s="293"/>
      <c r="AA34" s="293"/>
      <c r="AB34" s="293"/>
      <c r="AC34" s="293"/>
      <c r="AD34" s="293"/>
      <c r="AE34" s="293"/>
      <c r="AF34" s="293"/>
      <c r="AG34" s="293"/>
      <c r="AH34" s="293"/>
      <c r="AI34" s="293"/>
      <c r="AJ34" s="293"/>
      <c r="AK34" s="293"/>
      <c r="AL34" s="293"/>
      <c r="AM34" s="293"/>
      <c r="AN34" s="293"/>
    </row>
    <row r="35" spans="1:40" s="116" customFormat="1" ht="13.95" customHeight="1">
      <c r="A35" s="308"/>
      <c r="B35" s="308"/>
      <c r="C35" s="443"/>
      <c r="D35" s="295"/>
      <c r="E35" s="295"/>
      <c r="F35" s="295"/>
      <c r="G35" s="292"/>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row>
    <row r="36" spans="1:40" s="77" customFormat="1" ht="13.95" customHeight="1">
      <c r="A36" s="308"/>
      <c r="B36" s="308"/>
      <c r="C36" s="203" t="s">
        <v>77</v>
      </c>
      <c r="D36" s="293">
        <f t="shared" ref="D36:F36" si="97">SUM(D34:D35)</f>
        <v>0</v>
      </c>
      <c r="E36" s="293">
        <f t="shared" si="97"/>
        <v>0</v>
      </c>
      <c r="F36" s="293">
        <f t="shared" si="97"/>
        <v>0</v>
      </c>
      <c r="G36" s="293"/>
      <c r="H36" s="293">
        <f>SUM(H34:H35)</f>
        <v>0</v>
      </c>
      <c r="I36" s="293">
        <f t="shared" ref="I36:AI36" si="98">SUM(I34:I35)</f>
        <v>0</v>
      </c>
      <c r="J36" s="293">
        <f t="shared" si="98"/>
        <v>0</v>
      </c>
      <c r="K36" s="293">
        <f t="shared" si="98"/>
        <v>0</v>
      </c>
      <c r="L36" s="293">
        <f t="shared" si="98"/>
        <v>0</v>
      </c>
      <c r="M36" s="293">
        <f t="shared" si="98"/>
        <v>0</v>
      </c>
      <c r="N36" s="293">
        <f t="shared" si="98"/>
        <v>0</v>
      </c>
      <c r="O36" s="293">
        <f t="shared" si="98"/>
        <v>0</v>
      </c>
      <c r="P36" s="293">
        <f t="shared" si="98"/>
        <v>0</v>
      </c>
      <c r="Q36" s="293">
        <f t="shared" si="98"/>
        <v>0</v>
      </c>
      <c r="R36" s="293">
        <f t="shared" si="98"/>
        <v>0</v>
      </c>
      <c r="S36" s="293">
        <f t="shared" si="98"/>
        <v>0</v>
      </c>
      <c r="T36" s="293">
        <f t="shared" si="98"/>
        <v>0</v>
      </c>
      <c r="U36" s="293">
        <f t="shared" si="98"/>
        <v>0</v>
      </c>
      <c r="V36" s="293">
        <f t="shared" si="98"/>
        <v>0</v>
      </c>
      <c r="W36" s="293">
        <f t="shared" si="98"/>
        <v>0</v>
      </c>
      <c r="X36" s="293">
        <f t="shared" si="98"/>
        <v>0</v>
      </c>
      <c r="Y36" s="293">
        <f t="shared" si="98"/>
        <v>0</v>
      </c>
      <c r="Z36" s="293">
        <f t="shared" si="98"/>
        <v>0</v>
      </c>
      <c r="AA36" s="293">
        <f t="shared" si="98"/>
        <v>0</v>
      </c>
      <c r="AB36" s="293">
        <f t="shared" si="98"/>
        <v>0</v>
      </c>
      <c r="AC36" s="293">
        <f t="shared" si="98"/>
        <v>0</v>
      </c>
      <c r="AD36" s="293">
        <f t="shared" si="98"/>
        <v>0</v>
      </c>
      <c r="AE36" s="293">
        <f t="shared" si="98"/>
        <v>0</v>
      </c>
      <c r="AF36" s="293">
        <f t="shared" si="98"/>
        <v>0</v>
      </c>
      <c r="AG36" s="293">
        <f t="shared" si="98"/>
        <v>0</v>
      </c>
      <c r="AH36" s="293">
        <f t="shared" si="98"/>
        <v>0</v>
      </c>
      <c r="AI36" s="293">
        <f t="shared" si="98"/>
        <v>0</v>
      </c>
      <c r="AJ36" s="293">
        <f t="shared" ref="AJ36:AN36" si="99">SUM(AJ34:AJ35)</f>
        <v>0</v>
      </c>
      <c r="AK36" s="293">
        <f t="shared" si="99"/>
        <v>0</v>
      </c>
      <c r="AL36" s="293">
        <f t="shared" si="99"/>
        <v>0</v>
      </c>
      <c r="AM36" s="293">
        <f t="shared" si="99"/>
        <v>0</v>
      </c>
      <c r="AN36" s="293">
        <f t="shared" si="99"/>
        <v>0</v>
      </c>
    </row>
    <row r="37" spans="1:40" s="77" customFormat="1" ht="13.95" customHeight="1" thickBot="1">
      <c r="A37" s="308"/>
      <c r="B37" s="308"/>
      <c r="C37" s="299" t="s">
        <v>186</v>
      </c>
      <c r="D37" s="301">
        <f>D31-D36</f>
        <v>0</v>
      </c>
      <c r="E37" s="301">
        <f t="shared" ref="E37:AI37" si="100">E31-E36</f>
        <v>0</v>
      </c>
      <c r="F37" s="301">
        <f t="shared" si="100"/>
        <v>0</v>
      </c>
      <c r="G37" s="293">
        <f t="shared" si="100"/>
        <v>0</v>
      </c>
      <c r="H37" s="301">
        <f t="shared" si="100"/>
        <v>0</v>
      </c>
      <c r="I37" s="301">
        <f t="shared" si="100"/>
        <v>0</v>
      </c>
      <c r="J37" s="301">
        <f t="shared" si="100"/>
        <v>0</v>
      </c>
      <c r="K37" s="301">
        <f t="shared" si="100"/>
        <v>0</v>
      </c>
      <c r="L37" s="301">
        <f t="shared" si="100"/>
        <v>0</v>
      </c>
      <c r="M37" s="301">
        <f t="shared" si="100"/>
        <v>0</v>
      </c>
      <c r="N37" s="301">
        <f t="shared" si="100"/>
        <v>0</v>
      </c>
      <c r="O37" s="301">
        <f t="shared" si="100"/>
        <v>0</v>
      </c>
      <c r="P37" s="301">
        <f t="shared" si="100"/>
        <v>0</v>
      </c>
      <c r="Q37" s="301">
        <f t="shared" si="100"/>
        <v>0</v>
      </c>
      <c r="R37" s="301">
        <f t="shared" si="100"/>
        <v>0</v>
      </c>
      <c r="S37" s="301">
        <f t="shared" si="100"/>
        <v>0</v>
      </c>
      <c r="T37" s="301">
        <f t="shared" si="100"/>
        <v>0</v>
      </c>
      <c r="U37" s="301">
        <f t="shared" si="100"/>
        <v>0</v>
      </c>
      <c r="V37" s="301">
        <f t="shared" si="100"/>
        <v>0</v>
      </c>
      <c r="W37" s="301">
        <f t="shared" si="100"/>
        <v>0</v>
      </c>
      <c r="X37" s="301">
        <f t="shared" si="100"/>
        <v>0</v>
      </c>
      <c r="Y37" s="301">
        <f t="shared" si="100"/>
        <v>0</v>
      </c>
      <c r="Z37" s="301">
        <f t="shared" si="100"/>
        <v>0</v>
      </c>
      <c r="AA37" s="301">
        <f t="shared" si="100"/>
        <v>0</v>
      </c>
      <c r="AB37" s="301">
        <f t="shared" si="100"/>
        <v>0</v>
      </c>
      <c r="AC37" s="301">
        <f t="shared" si="100"/>
        <v>0</v>
      </c>
      <c r="AD37" s="301">
        <f t="shared" si="100"/>
        <v>0</v>
      </c>
      <c r="AE37" s="301">
        <f t="shared" si="100"/>
        <v>0</v>
      </c>
      <c r="AF37" s="301">
        <f t="shared" si="100"/>
        <v>0</v>
      </c>
      <c r="AG37" s="301">
        <f t="shared" si="100"/>
        <v>0</v>
      </c>
      <c r="AH37" s="301">
        <f t="shared" si="100"/>
        <v>0</v>
      </c>
      <c r="AI37" s="301">
        <f t="shared" si="100"/>
        <v>0</v>
      </c>
      <c r="AJ37" s="301">
        <f t="shared" ref="AJ37:AN37" si="101">AJ31-AJ36</f>
        <v>0</v>
      </c>
      <c r="AK37" s="301">
        <f t="shared" si="101"/>
        <v>0</v>
      </c>
      <c r="AL37" s="301">
        <f t="shared" si="101"/>
        <v>0</v>
      </c>
      <c r="AM37" s="301">
        <f t="shared" si="101"/>
        <v>0</v>
      </c>
      <c r="AN37" s="301">
        <f t="shared" si="101"/>
        <v>0</v>
      </c>
    </row>
    <row r="38" spans="1:40" s="77" customFormat="1" ht="13.95" customHeight="1">
      <c r="A38" s="308"/>
      <c r="B38" s="308"/>
      <c r="C38" s="93" t="s">
        <v>64</v>
      </c>
      <c r="D38" s="117"/>
      <c r="E38" s="117"/>
      <c r="F38" s="117"/>
    </row>
    <row r="39" spans="1:40" s="77" customFormat="1" ht="13.95" customHeight="1" outlineLevel="1">
      <c r="A39" s="311"/>
      <c r="B39" s="311" t="s">
        <v>49</v>
      </c>
      <c r="C39" s="80" t="s">
        <v>49</v>
      </c>
      <c r="D39" s="117">
        <f>SUMIFS($H39:$AN39,$H$5:$AN$5,"&gt;"&amp;EOMONTH(D$5,-12),$H$5:$AN$5,"&lt;="&amp;D$5)</f>
        <v>0</v>
      </c>
      <c r="E39" s="117">
        <f>SUMIFS($H39:$AN39,$H$5:$AN$5,"&gt;"&amp;EOMONTH(E$5,-12),$H$5:$AN$5,"&lt;="&amp;E$5)</f>
        <v>0</v>
      </c>
      <c r="F39" s="117">
        <f>SUMIFS($H39:$AQ39,$H$5:$AQ$5,"&gt;"&amp;EOMONTH(F$5,-12),$H$5:$AQ$5,"&lt;="&amp;F$5)</f>
        <v>0</v>
      </c>
      <c r="H39" s="77">
        <f>H29-H34</f>
        <v>0</v>
      </c>
      <c r="I39" s="77">
        <f t="shared" ref="I39:AI39" si="102">I29-I34</f>
        <v>0</v>
      </c>
      <c r="J39" s="77">
        <f t="shared" si="102"/>
        <v>0</v>
      </c>
      <c r="K39" s="77">
        <f t="shared" si="102"/>
        <v>0</v>
      </c>
      <c r="L39" s="77">
        <f t="shared" si="102"/>
        <v>0</v>
      </c>
      <c r="M39" s="77">
        <f t="shared" si="102"/>
        <v>0</v>
      </c>
      <c r="N39" s="77">
        <f t="shared" si="102"/>
        <v>0</v>
      </c>
      <c r="O39" s="77">
        <f t="shared" si="102"/>
        <v>0</v>
      </c>
      <c r="P39" s="77">
        <f t="shared" si="102"/>
        <v>0</v>
      </c>
      <c r="Q39" s="77">
        <f t="shared" si="102"/>
        <v>0</v>
      </c>
      <c r="R39" s="77">
        <f t="shared" si="102"/>
        <v>0</v>
      </c>
      <c r="S39" s="77">
        <f t="shared" si="102"/>
        <v>0</v>
      </c>
      <c r="T39" s="77">
        <f t="shared" si="102"/>
        <v>0</v>
      </c>
      <c r="U39" s="77">
        <f t="shared" si="102"/>
        <v>0</v>
      </c>
      <c r="V39" s="77">
        <f t="shared" si="102"/>
        <v>0</v>
      </c>
      <c r="W39" s="77">
        <f t="shared" si="102"/>
        <v>0</v>
      </c>
      <c r="X39" s="77">
        <f t="shared" si="102"/>
        <v>0</v>
      </c>
      <c r="Y39" s="77">
        <f t="shared" si="102"/>
        <v>0</v>
      </c>
      <c r="Z39" s="77">
        <f t="shared" si="102"/>
        <v>0</v>
      </c>
      <c r="AA39" s="77">
        <f t="shared" si="102"/>
        <v>0</v>
      </c>
      <c r="AB39" s="77">
        <f t="shared" si="102"/>
        <v>0</v>
      </c>
      <c r="AC39" s="77">
        <f t="shared" si="102"/>
        <v>0</v>
      </c>
      <c r="AD39" s="77">
        <f t="shared" si="102"/>
        <v>0</v>
      </c>
      <c r="AE39" s="77">
        <f t="shared" si="102"/>
        <v>0</v>
      </c>
      <c r="AF39" s="77">
        <f t="shared" si="102"/>
        <v>0</v>
      </c>
      <c r="AG39" s="77">
        <f t="shared" si="102"/>
        <v>0</v>
      </c>
      <c r="AH39" s="77">
        <f t="shared" si="102"/>
        <v>0</v>
      </c>
      <c r="AI39" s="77">
        <f t="shared" si="102"/>
        <v>0</v>
      </c>
      <c r="AJ39" s="77">
        <f t="shared" ref="AJ39:AN39" si="103">AJ29-AJ34</f>
        <v>0</v>
      </c>
      <c r="AK39" s="77">
        <f t="shared" si="103"/>
        <v>0</v>
      </c>
      <c r="AL39" s="77">
        <f t="shared" si="103"/>
        <v>0</v>
      </c>
      <c r="AM39" s="77">
        <f t="shared" si="103"/>
        <v>0</v>
      </c>
      <c r="AN39" s="77">
        <f t="shared" si="103"/>
        <v>0</v>
      </c>
    </row>
    <row r="40" spans="1:40" s="77" customFormat="1" ht="13.95" customHeight="1" outlineLevel="1">
      <c r="A40" s="311"/>
      <c r="B40" s="311" t="s">
        <v>176</v>
      </c>
      <c r="C40" s="80" t="s">
        <v>176</v>
      </c>
      <c r="D40" s="117">
        <f>SUMIFS($H40:$AN40,$H$5:$AN$5,"&gt;"&amp;EOMONTH(D$5,-12),$H$5:$AN$5,"&lt;="&amp;D$5)</f>
        <v>0</v>
      </c>
      <c r="E40" s="117">
        <f>SUMIFS($H40:$AN40,$H$5:$AN$5,"&gt;"&amp;EOMONTH(E$5,-12),$H$5:$AN$5,"&lt;="&amp;E$5)</f>
        <v>0</v>
      </c>
      <c r="F40" s="117">
        <f>SUMIFS($H40:$AQ40,$H$5:$AQ$5,"&gt;"&amp;EOMONTH(F$5,-12),$H$5:$AQ$5,"&lt;="&amp;F$5)</f>
        <v>0</v>
      </c>
      <c r="H40" s="77">
        <f>H30-H35</f>
        <v>0</v>
      </c>
      <c r="I40" s="77">
        <f t="shared" ref="I40:AI40" si="104">I30-I35</f>
        <v>0</v>
      </c>
      <c r="J40" s="77">
        <f t="shared" si="104"/>
        <v>0</v>
      </c>
      <c r="K40" s="77">
        <f t="shared" si="104"/>
        <v>0</v>
      </c>
      <c r="L40" s="77">
        <f t="shared" si="104"/>
        <v>0</v>
      </c>
      <c r="M40" s="77">
        <f t="shared" si="104"/>
        <v>0</v>
      </c>
      <c r="N40" s="77">
        <f t="shared" si="104"/>
        <v>0</v>
      </c>
      <c r="O40" s="77">
        <f t="shared" si="104"/>
        <v>0</v>
      </c>
      <c r="P40" s="77">
        <f t="shared" si="104"/>
        <v>0</v>
      </c>
      <c r="Q40" s="77">
        <f t="shared" si="104"/>
        <v>0</v>
      </c>
      <c r="R40" s="77">
        <f t="shared" si="104"/>
        <v>0</v>
      </c>
      <c r="S40" s="77">
        <f t="shared" si="104"/>
        <v>0</v>
      </c>
      <c r="T40" s="77">
        <f t="shared" si="104"/>
        <v>0</v>
      </c>
      <c r="U40" s="77">
        <f t="shared" si="104"/>
        <v>0</v>
      </c>
      <c r="V40" s="77">
        <f t="shared" si="104"/>
        <v>0</v>
      </c>
      <c r="W40" s="77">
        <f t="shared" si="104"/>
        <v>0</v>
      </c>
      <c r="X40" s="77">
        <f t="shared" si="104"/>
        <v>0</v>
      </c>
      <c r="Y40" s="77">
        <f t="shared" si="104"/>
        <v>0</v>
      </c>
      <c r="Z40" s="77">
        <f t="shared" si="104"/>
        <v>0</v>
      </c>
      <c r="AA40" s="77">
        <f t="shared" si="104"/>
        <v>0</v>
      </c>
      <c r="AB40" s="77">
        <f t="shared" si="104"/>
        <v>0</v>
      </c>
      <c r="AC40" s="77">
        <f t="shared" si="104"/>
        <v>0</v>
      </c>
      <c r="AD40" s="77">
        <f t="shared" si="104"/>
        <v>0</v>
      </c>
      <c r="AE40" s="77">
        <f t="shared" si="104"/>
        <v>0</v>
      </c>
      <c r="AF40" s="77">
        <f t="shared" si="104"/>
        <v>0</v>
      </c>
      <c r="AG40" s="77">
        <f t="shared" si="104"/>
        <v>0</v>
      </c>
      <c r="AH40" s="77">
        <f t="shared" si="104"/>
        <v>0</v>
      </c>
      <c r="AI40" s="77">
        <f t="shared" si="104"/>
        <v>0</v>
      </c>
      <c r="AJ40" s="77">
        <f t="shared" ref="AJ40:AN40" si="105">AJ30-AJ35</f>
        <v>0</v>
      </c>
      <c r="AK40" s="77">
        <f t="shared" si="105"/>
        <v>0</v>
      </c>
      <c r="AL40" s="77">
        <f t="shared" si="105"/>
        <v>0</v>
      </c>
      <c r="AM40" s="77">
        <f t="shared" si="105"/>
        <v>0</v>
      </c>
      <c r="AN40" s="77">
        <f t="shared" si="105"/>
        <v>0</v>
      </c>
    </row>
    <row r="41" spans="1:40" s="48" customFormat="1" ht="13.95" customHeight="1">
      <c r="A41" s="308"/>
      <c r="B41" s="308"/>
      <c r="C41" s="64"/>
    </row>
    <row r="42" spans="1:40" ht="13.95" customHeight="1">
      <c r="A42" s="308"/>
      <c r="B42" s="308"/>
      <c r="C42" s="82" t="str">
        <f>CONCATENATE('Lead QE'!C19,") ",'Lead QE'!B19)</f>
        <v>4) [Input adjustment]</v>
      </c>
      <c r="D42" s="108"/>
      <c r="E42" s="108"/>
      <c r="F42" s="108"/>
      <c r="G42" s="108"/>
      <c r="H42" s="109"/>
      <c r="I42" s="110"/>
      <c r="J42" s="110"/>
      <c r="K42" s="110"/>
      <c r="L42" s="110"/>
      <c r="M42" s="110"/>
      <c r="N42" s="110"/>
      <c r="O42" s="110"/>
      <c r="P42" s="110"/>
      <c r="Q42" s="110"/>
      <c r="R42" s="110"/>
      <c r="S42" s="110"/>
      <c r="T42" s="109"/>
      <c r="U42" s="110"/>
      <c r="V42" s="110"/>
      <c r="W42" s="110"/>
      <c r="X42" s="110"/>
      <c r="Y42" s="110"/>
      <c r="Z42" s="110"/>
      <c r="AA42" s="110"/>
      <c r="AB42" s="110"/>
      <c r="AC42" s="110"/>
      <c r="AD42" s="110"/>
      <c r="AE42" s="110"/>
      <c r="AF42" s="110"/>
      <c r="AG42" s="110"/>
      <c r="AH42" s="110"/>
      <c r="AI42" s="110"/>
      <c r="AJ42" s="110"/>
      <c r="AK42" s="110"/>
      <c r="AL42" s="110"/>
      <c r="AM42" s="110"/>
      <c r="AN42" s="110"/>
    </row>
    <row r="43" spans="1:40" s="77" customFormat="1" ht="23.1" customHeight="1" thickBot="1">
      <c r="A43" s="308"/>
      <c r="B43" s="308"/>
      <c r="C43" s="251" t="s">
        <v>7</v>
      </c>
      <c r="D43" s="297">
        <f>First_Reporting_Year</f>
        <v>44926</v>
      </c>
      <c r="E43" s="297">
        <f>Second_Reporting_Year</f>
        <v>45291</v>
      </c>
      <c r="F43" s="296">
        <f>Stub_Period</f>
        <v>45565</v>
      </c>
      <c r="G43" s="254"/>
      <c r="H43" s="249">
        <f>EOMONTH(D43,-11)</f>
        <v>44592</v>
      </c>
      <c r="I43" s="249">
        <f t="shared" ref="I43" si="106">EOMONTH(H43,1)</f>
        <v>44620</v>
      </c>
      <c r="J43" s="249">
        <f t="shared" ref="J43" si="107">EOMONTH(I43,1)</f>
        <v>44651</v>
      </c>
      <c r="K43" s="249">
        <f t="shared" ref="K43" si="108">EOMONTH(J43,1)</f>
        <v>44681</v>
      </c>
      <c r="L43" s="249">
        <f t="shared" ref="L43" si="109">EOMONTH(K43,1)</f>
        <v>44712</v>
      </c>
      <c r="M43" s="249">
        <f t="shared" ref="M43" si="110">EOMONTH(L43,1)</f>
        <v>44742</v>
      </c>
      <c r="N43" s="249">
        <f t="shared" ref="N43" si="111">EOMONTH(M43,1)</f>
        <v>44773</v>
      </c>
      <c r="O43" s="249">
        <f t="shared" ref="O43" si="112">EOMONTH(N43,1)</f>
        <v>44804</v>
      </c>
      <c r="P43" s="249">
        <f t="shared" ref="P43" si="113">EOMONTH(O43,1)</f>
        <v>44834</v>
      </c>
      <c r="Q43" s="249">
        <f t="shared" ref="Q43" si="114">EOMONTH(P43,1)</f>
        <v>44865</v>
      </c>
      <c r="R43" s="249">
        <f t="shared" ref="R43" si="115">EOMONTH(Q43,1)</f>
        <v>44895</v>
      </c>
      <c r="S43" s="249">
        <f t="shared" ref="S43" si="116">EOMONTH(R43,1)</f>
        <v>44926</v>
      </c>
      <c r="T43" s="249">
        <f t="shared" ref="T43" si="117">EOMONTH(S43,1)</f>
        <v>44957</v>
      </c>
      <c r="U43" s="249">
        <f t="shared" ref="U43" si="118">EOMONTH(T43,1)</f>
        <v>44985</v>
      </c>
      <c r="V43" s="249">
        <f t="shared" ref="V43" si="119">EOMONTH(U43,1)</f>
        <v>45016</v>
      </c>
      <c r="W43" s="249">
        <f t="shared" ref="W43" si="120">EOMONTH(V43,1)</f>
        <v>45046</v>
      </c>
      <c r="X43" s="249">
        <f t="shared" ref="X43" si="121">EOMONTH(W43,1)</f>
        <v>45077</v>
      </c>
      <c r="Y43" s="249">
        <f t="shared" ref="Y43" si="122">EOMONTH(X43,1)</f>
        <v>45107</v>
      </c>
      <c r="Z43" s="249">
        <f t="shared" ref="Z43" si="123">EOMONTH(Y43,1)</f>
        <v>45138</v>
      </c>
      <c r="AA43" s="249">
        <f t="shared" ref="AA43" si="124">EOMONTH(Z43,1)</f>
        <v>45169</v>
      </c>
      <c r="AB43" s="249">
        <f t="shared" ref="AB43" si="125">EOMONTH(AA43,1)</f>
        <v>45199</v>
      </c>
      <c r="AC43" s="249">
        <f t="shared" ref="AC43" si="126">EOMONTH(AB43,1)</f>
        <v>45230</v>
      </c>
      <c r="AD43" s="249">
        <f t="shared" ref="AD43" si="127">EOMONTH(AC43,1)</f>
        <v>45260</v>
      </c>
      <c r="AE43" s="249">
        <f t="shared" ref="AE43" si="128">EOMONTH(AD43,1)</f>
        <v>45291</v>
      </c>
      <c r="AF43" s="249">
        <f t="shared" ref="AF43" si="129">EOMONTH(AE43,1)</f>
        <v>45322</v>
      </c>
      <c r="AG43" s="249">
        <f t="shared" ref="AG43" si="130">EOMONTH(AF43,1)</f>
        <v>45351</v>
      </c>
      <c r="AH43" s="249">
        <f t="shared" ref="AH43" si="131">EOMONTH(AG43,1)</f>
        <v>45382</v>
      </c>
      <c r="AI43" s="249">
        <f t="shared" ref="AI43:AJ43" si="132">EOMONTH(AH43,1)</f>
        <v>45412</v>
      </c>
      <c r="AJ43" s="249">
        <f t="shared" si="132"/>
        <v>45443</v>
      </c>
      <c r="AK43" s="249">
        <f t="shared" ref="AK43" si="133">EOMONTH(AJ43,1)</f>
        <v>45473</v>
      </c>
      <c r="AL43" s="249">
        <f t="shared" ref="AL43" si="134">EOMONTH(AK43,1)</f>
        <v>45504</v>
      </c>
      <c r="AM43" s="249">
        <f t="shared" ref="AM43" si="135">EOMONTH(AL43,1)</f>
        <v>45535</v>
      </c>
      <c r="AN43" s="249">
        <f t="shared" ref="AN43" si="136">EOMONTH(AM43,1)</f>
        <v>45565</v>
      </c>
    </row>
    <row r="44" spans="1:40" s="77" customFormat="1" ht="13.95" customHeight="1">
      <c r="A44" s="308"/>
      <c r="B44" s="308"/>
      <c r="C44" s="60"/>
      <c r="D44" s="293">
        <f>SUMIFS($H44:$AN44,$H$5:$AN$5,"&gt;"&amp;EOMONTH(D$5,-12),$H$5:$AN$5,"&lt;="&amp;D$5)</f>
        <v>0</v>
      </c>
      <c r="E44" s="293">
        <f>SUMIFS($H44:$AN44,$H$5:$AN$5,"&gt;"&amp;EOMONTH(E$5,-12),$H$5:$AN$5,"&lt;="&amp;E$5)</f>
        <v>0</v>
      </c>
      <c r="F44" s="293">
        <f>SUMIFS($H44:$AQ44,$H$5:$AQ$5,"&gt;"&amp;EOMONTH(F$5,-12),$H$5:$AQ$5,"&lt;="&amp;F$5)</f>
        <v>0</v>
      </c>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293"/>
      <c r="AH44" s="293"/>
      <c r="AI44" s="293"/>
      <c r="AJ44" s="293"/>
      <c r="AK44" s="293"/>
      <c r="AL44" s="293"/>
      <c r="AM44" s="293"/>
      <c r="AN44" s="293"/>
    </row>
    <row r="45" spans="1:40" s="77" customFormat="1" ht="13.95" customHeight="1">
      <c r="A45" s="308"/>
      <c r="B45" s="308"/>
      <c r="C45" s="60"/>
      <c r="D45" s="293">
        <f>SUMIFS($H45:$AN45,$H$5:$AN$5,"&gt;"&amp;EOMONTH(D$5,-12),$H$5:$AN$5,"&lt;="&amp;D$5)</f>
        <v>0</v>
      </c>
      <c r="E45" s="293">
        <f>SUMIFS($H45:$AN45,$H$5:$AN$5,"&gt;"&amp;EOMONTH(E$5,-12),$H$5:$AN$5,"&lt;="&amp;E$5)</f>
        <v>0</v>
      </c>
      <c r="F45" s="293">
        <f>SUMIFS($H45:$AQ45,$H$5:$AQ$5,"&gt;"&amp;EOMONTH(F$5,-12),$H$5:$AQ$5,"&lt;="&amp;F$5)</f>
        <v>0</v>
      </c>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row>
    <row r="46" spans="1:40" s="77" customFormat="1" ht="13.95" customHeight="1" thickBot="1">
      <c r="A46" s="308"/>
      <c r="B46" s="308" t="s">
        <v>1</v>
      </c>
      <c r="C46" s="299" t="s">
        <v>10</v>
      </c>
      <c r="D46" s="301">
        <f>SUM(D44:D45)</f>
        <v>0</v>
      </c>
      <c r="E46" s="301">
        <f>SUM(E44:E45)</f>
        <v>0</v>
      </c>
      <c r="F46" s="301">
        <f>SUM(F44:F45)</f>
        <v>0</v>
      </c>
      <c r="G46" s="293"/>
      <c r="H46" s="301">
        <f t="shared" ref="H46:AI46" si="137">SUM(H44:H45)</f>
        <v>0</v>
      </c>
      <c r="I46" s="301">
        <f t="shared" si="137"/>
        <v>0</v>
      </c>
      <c r="J46" s="301">
        <f t="shared" si="137"/>
        <v>0</v>
      </c>
      <c r="K46" s="301">
        <f t="shared" si="137"/>
        <v>0</v>
      </c>
      <c r="L46" s="301">
        <f t="shared" si="137"/>
        <v>0</v>
      </c>
      <c r="M46" s="301">
        <f t="shared" si="137"/>
        <v>0</v>
      </c>
      <c r="N46" s="301">
        <f t="shared" si="137"/>
        <v>0</v>
      </c>
      <c r="O46" s="301">
        <f t="shared" si="137"/>
        <v>0</v>
      </c>
      <c r="P46" s="301">
        <f t="shared" si="137"/>
        <v>0</v>
      </c>
      <c r="Q46" s="301">
        <f t="shared" si="137"/>
        <v>0</v>
      </c>
      <c r="R46" s="301">
        <f t="shared" si="137"/>
        <v>0</v>
      </c>
      <c r="S46" s="301">
        <f t="shared" si="137"/>
        <v>0</v>
      </c>
      <c r="T46" s="301">
        <f t="shared" si="137"/>
        <v>0</v>
      </c>
      <c r="U46" s="301">
        <f t="shared" si="137"/>
        <v>0</v>
      </c>
      <c r="V46" s="301">
        <f t="shared" si="137"/>
        <v>0</v>
      </c>
      <c r="W46" s="301">
        <f t="shared" si="137"/>
        <v>0</v>
      </c>
      <c r="X46" s="301">
        <f t="shared" si="137"/>
        <v>0</v>
      </c>
      <c r="Y46" s="301">
        <f t="shared" si="137"/>
        <v>0</v>
      </c>
      <c r="Z46" s="301">
        <f t="shared" si="137"/>
        <v>0</v>
      </c>
      <c r="AA46" s="301">
        <f t="shared" si="137"/>
        <v>0</v>
      </c>
      <c r="AB46" s="301">
        <f t="shared" si="137"/>
        <v>0</v>
      </c>
      <c r="AC46" s="301">
        <f t="shared" si="137"/>
        <v>0</v>
      </c>
      <c r="AD46" s="301">
        <f t="shared" si="137"/>
        <v>0</v>
      </c>
      <c r="AE46" s="301">
        <f t="shared" si="137"/>
        <v>0</v>
      </c>
      <c r="AF46" s="301">
        <f t="shared" si="137"/>
        <v>0</v>
      </c>
      <c r="AG46" s="301">
        <f t="shared" si="137"/>
        <v>0</v>
      </c>
      <c r="AH46" s="301">
        <f t="shared" si="137"/>
        <v>0</v>
      </c>
      <c r="AI46" s="301">
        <f t="shared" si="137"/>
        <v>0</v>
      </c>
      <c r="AJ46" s="301">
        <f t="shared" ref="AJ46:AN46" si="138">SUM(AJ44:AJ45)</f>
        <v>0</v>
      </c>
      <c r="AK46" s="301">
        <f t="shared" si="138"/>
        <v>0</v>
      </c>
      <c r="AL46" s="301">
        <f t="shared" si="138"/>
        <v>0</v>
      </c>
      <c r="AM46" s="301">
        <f t="shared" si="138"/>
        <v>0</v>
      </c>
      <c r="AN46" s="301">
        <f t="shared" si="138"/>
        <v>0</v>
      </c>
    </row>
    <row r="47" spans="1:40" s="77" customFormat="1" ht="13.95" customHeight="1">
      <c r="A47" s="308"/>
      <c r="B47" s="308"/>
      <c r="C47" s="93" t="s">
        <v>64</v>
      </c>
      <c r="D47" s="117"/>
      <c r="E47" s="117"/>
      <c r="F47" s="117"/>
    </row>
    <row r="48" spans="1:40" ht="13.95" customHeight="1">
      <c r="A48" s="308"/>
      <c r="B48" s="308"/>
    </row>
    <row r="49" spans="1:40" ht="13.95" customHeight="1">
      <c r="A49" s="308"/>
      <c r="B49" s="308"/>
      <c r="C49" s="82" t="str">
        <f>CONCATENATE('Lead QE'!C20,") ",'Lead QE'!B20)</f>
        <v>5) [Input adjustment]</v>
      </c>
      <c r="D49" s="108"/>
      <c r="E49" s="108"/>
      <c r="F49" s="108"/>
      <c r="G49" s="108"/>
      <c r="H49" s="109"/>
      <c r="I49" s="110"/>
      <c r="J49" s="110"/>
      <c r="K49" s="110"/>
      <c r="L49" s="110"/>
      <c r="M49" s="110"/>
      <c r="N49" s="110"/>
      <c r="O49" s="110"/>
      <c r="P49" s="110"/>
      <c r="Q49" s="110"/>
      <c r="R49" s="110"/>
      <c r="S49" s="110"/>
      <c r="T49" s="109"/>
      <c r="U49" s="110"/>
      <c r="V49" s="110"/>
      <c r="W49" s="110"/>
      <c r="X49" s="110"/>
      <c r="Y49" s="110"/>
      <c r="Z49" s="110"/>
      <c r="AA49" s="110"/>
      <c r="AB49" s="110"/>
      <c r="AC49" s="110"/>
      <c r="AD49" s="110"/>
      <c r="AE49" s="110"/>
      <c r="AF49" s="110"/>
      <c r="AG49" s="110"/>
      <c r="AH49" s="110"/>
      <c r="AI49" s="110"/>
      <c r="AJ49" s="110"/>
      <c r="AK49" s="110"/>
      <c r="AL49" s="110"/>
      <c r="AM49" s="110"/>
      <c r="AN49" s="110"/>
    </row>
    <row r="50" spans="1:40" s="77" customFormat="1" ht="23.1" customHeight="1" thickBot="1">
      <c r="A50" s="308"/>
      <c r="B50" s="308"/>
      <c r="C50" s="251" t="s">
        <v>7</v>
      </c>
      <c r="D50" s="297">
        <f>First_Reporting_Year</f>
        <v>44926</v>
      </c>
      <c r="E50" s="297">
        <f>Second_Reporting_Year</f>
        <v>45291</v>
      </c>
      <c r="F50" s="296">
        <f>Stub_Period</f>
        <v>45565</v>
      </c>
      <c r="G50" s="254"/>
      <c r="H50" s="249">
        <f>EOMONTH(D50,-11)</f>
        <v>44592</v>
      </c>
      <c r="I50" s="249">
        <f t="shared" ref="I50" si="139">EOMONTH(H50,1)</f>
        <v>44620</v>
      </c>
      <c r="J50" s="249">
        <f t="shared" ref="J50" si="140">EOMONTH(I50,1)</f>
        <v>44651</v>
      </c>
      <c r="K50" s="249">
        <f t="shared" ref="K50" si="141">EOMONTH(J50,1)</f>
        <v>44681</v>
      </c>
      <c r="L50" s="249">
        <f t="shared" ref="L50" si="142">EOMONTH(K50,1)</f>
        <v>44712</v>
      </c>
      <c r="M50" s="249">
        <f t="shared" ref="M50" si="143">EOMONTH(L50,1)</f>
        <v>44742</v>
      </c>
      <c r="N50" s="249">
        <f t="shared" ref="N50" si="144">EOMONTH(M50,1)</f>
        <v>44773</v>
      </c>
      <c r="O50" s="249">
        <f t="shared" ref="O50" si="145">EOMONTH(N50,1)</f>
        <v>44804</v>
      </c>
      <c r="P50" s="249">
        <f t="shared" ref="P50" si="146">EOMONTH(O50,1)</f>
        <v>44834</v>
      </c>
      <c r="Q50" s="249">
        <f t="shared" ref="Q50" si="147">EOMONTH(P50,1)</f>
        <v>44865</v>
      </c>
      <c r="R50" s="249">
        <f t="shared" ref="R50" si="148">EOMONTH(Q50,1)</f>
        <v>44895</v>
      </c>
      <c r="S50" s="249">
        <f t="shared" ref="S50" si="149">EOMONTH(R50,1)</f>
        <v>44926</v>
      </c>
      <c r="T50" s="249">
        <f t="shared" ref="T50" si="150">EOMONTH(S50,1)</f>
        <v>44957</v>
      </c>
      <c r="U50" s="249">
        <f t="shared" ref="U50" si="151">EOMONTH(T50,1)</f>
        <v>44985</v>
      </c>
      <c r="V50" s="249">
        <f t="shared" ref="V50" si="152">EOMONTH(U50,1)</f>
        <v>45016</v>
      </c>
      <c r="W50" s="249">
        <f t="shared" ref="W50" si="153">EOMONTH(V50,1)</f>
        <v>45046</v>
      </c>
      <c r="X50" s="249">
        <f t="shared" ref="X50" si="154">EOMONTH(W50,1)</f>
        <v>45077</v>
      </c>
      <c r="Y50" s="249">
        <f t="shared" ref="Y50" si="155">EOMONTH(X50,1)</f>
        <v>45107</v>
      </c>
      <c r="Z50" s="249">
        <f t="shared" ref="Z50" si="156">EOMONTH(Y50,1)</f>
        <v>45138</v>
      </c>
      <c r="AA50" s="249">
        <f t="shared" ref="AA50" si="157">EOMONTH(Z50,1)</f>
        <v>45169</v>
      </c>
      <c r="AB50" s="249">
        <f t="shared" ref="AB50" si="158">EOMONTH(AA50,1)</f>
        <v>45199</v>
      </c>
      <c r="AC50" s="249">
        <f t="shared" ref="AC50" si="159">EOMONTH(AB50,1)</f>
        <v>45230</v>
      </c>
      <c r="AD50" s="249">
        <f t="shared" ref="AD50" si="160">EOMONTH(AC50,1)</f>
        <v>45260</v>
      </c>
      <c r="AE50" s="249">
        <f t="shared" ref="AE50" si="161">EOMONTH(AD50,1)</f>
        <v>45291</v>
      </c>
      <c r="AF50" s="249">
        <f t="shared" ref="AF50" si="162">EOMONTH(AE50,1)</f>
        <v>45322</v>
      </c>
      <c r="AG50" s="249">
        <f t="shared" ref="AG50" si="163">EOMONTH(AF50,1)</f>
        <v>45351</v>
      </c>
      <c r="AH50" s="249">
        <f t="shared" ref="AH50" si="164">EOMONTH(AG50,1)</f>
        <v>45382</v>
      </c>
      <c r="AI50" s="249">
        <f t="shared" ref="AI50:AJ50" si="165">EOMONTH(AH50,1)</f>
        <v>45412</v>
      </c>
      <c r="AJ50" s="249">
        <f t="shared" si="165"/>
        <v>45443</v>
      </c>
      <c r="AK50" s="249">
        <f t="shared" ref="AK50" si="166">EOMONTH(AJ50,1)</f>
        <v>45473</v>
      </c>
      <c r="AL50" s="249">
        <f t="shared" ref="AL50" si="167">EOMONTH(AK50,1)</f>
        <v>45504</v>
      </c>
      <c r="AM50" s="249">
        <f t="shared" ref="AM50" si="168">EOMONTH(AL50,1)</f>
        <v>45535</v>
      </c>
      <c r="AN50" s="249">
        <f t="shared" ref="AN50" si="169">EOMONTH(AM50,1)</f>
        <v>45565</v>
      </c>
    </row>
    <row r="51" spans="1:40" s="113" customFormat="1" ht="13.95" customHeight="1">
      <c r="A51" s="308" t="s">
        <v>210</v>
      </c>
      <c r="B51" s="308" t="s">
        <v>1</v>
      </c>
      <c r="C51" s="60"/>
      <c r="D51" s="293">
        <f t="shared" ref="D51:E56" si="170">SUMIFS($H51:$AN51,$H$5:$AN$5,"&gt;"&amp;EOMONTH(D$5,-12),$H$5:$AN$5,"&lt;="&amp;D$5)</f>
        <v>0</v>
      </c>
      <c r="E51" s="293">
        <f t="shared" si="170"/>
        <v>0</v>
      </c>
      <c r="F51" s="293">
        <f t="shared" ref="F51:F56" si="171">SUMIFS($H51:$AQ51,$H$5:$AQ$5,"&gt;"&amp;EOMONTH(F$5,-12),$H$5:$AQ$5,"&lt;="&amp;F$5)</f>
        <v>0</v>
      </c>
      <c r="G51" s="293"/>
      <c r="H51" s="454"/>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c r="AH51" s="454"/>
      <c r="AI51" s="454"/>
      <c r="AJ51" s="454"/>
      <c r="AK51" s="454"/>
      <c r="AL51" s="454"/>
      <c r="AM51" s="454"/>
      <c r="AN51" s="454"/>
    </row>
    <row r="52" spans="1:40" s="113" customFormat="1" ht="13.95" customHeight="1">
      <c r="A52" s="308"/>
      <c r="B52" s="308" t="s">
        <v>1</v>
      </c>
      <c r="C52" s="60"/>
      <c r="D52" s="293">
        <f t="shared" si="170"/>
        <v>0</v>
      </c>
      <c r="E52" s="293">
        <f t="shared" si="170"/>
        <v>0</v>
      </c>
      <c r="F52" s="293">
        <f t="shared" si="171"/>
        <v>0</v>
      </c>
      <c r="G52" s="293"/>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4"/>
      <c r="AK52" s="454"/>
      <c r="AL52" s="454"/>
      <c r="AM52" s="454"/>
      <c r="AN52" s="454"/>
    </row>
    <row r="53" spans="1:40" s="113" customFormat="1" ht="13.95" customHeight="1">
      <c r="A53" s="308"/>
      <c r="B53" s="308" t="s">
        <v>1</v>
      </c>
      <c r="C53" s="60"/>
      <c r="D53" s="293">
        <f t="shared" si="170"/>
        <v>0</v>
      </c>
      <c r="E53" s="293">
        <f t="shared" si="170"/>
        <v>0</v>
      </c>
      <c r="F53" s="293">
        <f t="shared" si="171"/>
        <v>0</v>
      </c>
      <c r="G53" s="293"/>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454"/>
      <c r="AL53" s="454"/>
      <c r="AM53" s="454"/>
      <c r="AN53" s="454"/>
    </row>
    <row r="54" spans="1:40" s="113" customFormat="1" ht="13.95" customHeight="1">
      <c r="A54" s="308"/>
      <c r="B54" s="308" t="s">
        <v>1</v>
      </c>
      <c r="C54" s="60"/>
      <c r="D54" s="293">
        <f t="shared" si="170"/>
        <v>0</v>
      </c>
      <c r="E54" s="293">
        <f t="shared" si="170"/>
        <v>0</v>
      </c>
      <c r="F54" s="293">
        <f t="shared" si="171"/>
        <v>0</v>
      </c>
      <c r="G54" s="293"/>
      <c r="H54" s="454"/>
      <c r="I54" s="454"/>
      <c r="J54" s="454"/>
      <c r="K54" s="454"/>
      <c r="L54" s="454"/>
      <c r="M54" s="454"/>
      <c r="N54" s="454"/>
      <c r="O54" s="454"/>
      <c r="P54" s="454"/>
      <c r="Q54" s="454"/>
      <c r="R54" s="454"/>
      <c r="S54" s="454"/>
      <c r="T54" s="454"/>
      <c r="U54" s="454"/>
      <c r="V54" s="454"/>
      <c r="W54" s="454"/>
      <c r="X54" s="454"/>
      <c r="Y54" s="454"/>
      <c r="Z54" s="454"/>
      <c r="AA54" s="454"/>
      <c r="AB54" s="454"/>
      <c r="AC54" s="454"/>
      <c r="AD54" s="454"/>
      <c r="AE54" s="454"/>
      <c r="AF54" s="454"/>
      <c r="AG54" s="454"/>
      <c r="AH54" s="454"/>
      <c r="AI54" s="454"/>
      <c r="AJ54" s="454"/>
      <c r="AK54" s="454"/>
      <c r="AL54" s="454"/>
      <c r="AM54" s="454"/>
      <c r="AN54" s="454"/>
    </row>
    <row r="55" spans="1:40" s="116" customFormat="1" ht="13.95" customHeight="1">
      <c r="A55" s="308"/>
      <c r="B55" s="308" t="s">
        <v>1</v>
      </c>
      <c r="C55" s="60"/>
      <c r="D55" s="293">
        <f t="shared" si="170"/>
        <v>0</v>
      </c>
      <c r="E55" s="293">
        <f t="shared" si="170"/>
        <v>0</v>
      </c>
      <c r="F55" s="293">
        <f t="shared" si="171"/>
        <v>0</v>
      </c>
      <c r="G55" s="293"/>
      <c r="H55" s="293"/>
      <c r="I55" s="293"/>
      <c r="J55" s="293"/>
      <c r="K55" s="293"/>
      <c r="L55" s="293"/>
      <c r="M55" s="293"/>
      <c r="N55" s="293"/>
      <c r="O55" s="293"/>
      <c r="P55" s="293"/>
      <c r="Q55" s="293"/>
      <c r="R55" s="293"/>
      <c r="S55" s="293"/>
      <c r="T55" s="293"/>
      <c r="U55" s="293"/>
      <c r="V55" s="293"/>
      <c r="W55" s="293"/>
      <c r="X55" s="293"/>
      <c r="Y55" s="293"/>
      <c r="Z55" s="293"/>
      <c r="AA55" s="293"/>
      <c r="AB55" s="293"/>
      <c r="AC55" s="293"/>
      <c r="AD55" s="293"/>
      <c r="AE55" s="293"/>
      <c r="AF55" s="293"/>
      <c r="AG55" s="293"/>
      <c r="AH55" s="293"/>
      <c r="AI55" s="293"/>
      <c r="AJ55" s="293"/>
      <c r="AK55" s="293"/>
      <c r="AL55" s="293"/>
      <c r="AM55" s="293"/>
      <c r="AN55" s="293"/>
    </row>
    <row r="56" spans="1:40" s="77" customFormat="1" ht="13.95" customHeight="1">
      <c r="A56" s="308"/>
      <c r="B56" s="308" t="s">
        <v>1</v>
      </c>
      <c r="C56" s="60"/>
      <c r="D56" s="295">
        <f t="shared" si="170"/>
        <v>0</v>
      </c>
      <c r="E56" s="295">
        <f t="shared" si="170"/>
        <v>0</v>
      </c>
      <c r="F56" s="295">
        <f t="shared" si="171"/>
        <v>0</v>
      </c>
      <c r="G56" s="293"/>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row>
    <row r="57" spans="1:40" s="77" customFormat="1" ht="13.95" customHeight="1" thickBot="1">
      <c r="A57" s="308"/>
      <c r="B57" s="308"/>
      <c r="C57" s="299" t="s">
        <v>76</v>
      </c>
      <c r="D57" s="301">
        <f>SUM(D51:D56)</f>
        <v>0</v>
      </c>
      <c r="E57" s="301">
        <f>SUM(E51:E56)</f>
        <v>0</v>
      </c>
      <c r="F57" s="301">
        <f>SUM(F51:F56)</f>
        <v>0</v>
      </c>
      <c r="G57" s="293"/>
      <c r="H57" s="301">
        <f t="shared" ref="H57:AI57" si="172">SUM(H51:H56)</f>
        <v>0</v>
      </c>
      <c r="I57" s="301">
        <f t="shared" si="172"/>
        <v>0</v>
      </c>
      <c r="J57" s="301">
        <f t="shared" si="172"/>
        <v>0</v>
      </c>
      <c r="K57" s="301">
        <f t="shared" si="172"/>
        <v>0</v>
      </c>
      <c r="L57" s="301">
        <f t="shared" si="172"/>
        <v>0</v>
      </c>
      <c r="M57" s="301">
        <f t="shared" si="172"/>
        <v>0</v>
      </c>
      <c r="N57" s="301">
        <f t="shared" si="172"/>
        <v>0</v>
      </c>
      <c r="O57" s="301">
        <f t="shared" si="172"/>
        <v>0</v>
      </c>
      <c r="P57" s="301">
        <f t="shared" si="172"/>
        <v>0</v>
      </c>
      <c r="Q57" s="301">
        <f t="shared" si="172"/>
        <v>0</v>
      </c>
      <c r="R57" s="301">
        <f t="shared" si="172"/>
        <v>0</v>
      </c>
      <c r="S57" s="301">
        <f t="shared" si="172"/>
        <v>0</v>
      </c>
      <c r="T57" s="301">
        <f t="shared" si="172"/>
        <v>0</v>
      </c>
      <c r="U57" s="301">
        <f t="shared" si="172"/>
        <v>0</v>
      </c>
      <c r="V57" s="301">
        <f t="shared" si="172"/>
        <v>0</v>
      </c>
      <c r="W57" s="301">
        <f t="shared" si="172"/>
        <v>0</v>
      </c>
      <c r="X57" s="301">
        <f t="shared" si="172"/>
        <v>0</v>
      </c>
      <c r="Y57" s="301">
        <f t="shared" si="172"/>
        <v>0</v>
      </c>
      <c r="Z57" s="301">
        <f t="shared" si="172"/>
        <v>0</v>
      </c>
      <c r="AA57" s="301">
        <f t="shared" si="172"/>
        <v>0</v>
      </c>
      <c r="AB57" s="301">
        <f t="shared" si="172"/>
        <v>0</v>
      </c>
      <c r="AC57" s="301">
        <f t="shared" si="172"/>
        <v>0</v>
      </c>
      <c r="AD57" s="301">
        <f t="shared" si="172"/>
        <v>0</v>
      </c>
      <c r="AE57" s="301">
        <f t="shared" si="172"/>
        <v>0</v>
      </c>
      <c r="AF57" s="301">
        <f t="shared" si="172"/>
        <v>0</v>
      </c>
      <c r="AG57" s="301">
        <f t="shared" si="172"/>
        <v>0</v>
      </c>
      <c r="AH57" s="301">
        <f t="shared" si="172"/>
        <v>0</v>
      </c>
      <c r="AI57" s="301">
        <f t="shared" si="172"/>
        <v>0</v>
      </c>
      <c r="AJ57" s="301">
        <f t="shared" ref="AJ57:AN57" si="173">SUM(AJ51:AJ56)</f>
        <v>0</v>
      </c>
      <c r="AK57" s="301">
        <f t="shared" si="173"/>
        <v>0</v>
      </c>
      <c r="AL57" s="301">
        <f t="shared" si="173"/>
        <v>0</v>
      </c>
      <c r="AM57" s="301">
        <f t="shared" si="173"/>
        <v>0</v>
      </c>
      <c r="AN57" s="301">
        <f t="shared" si="173"/>
        <v>0</v>
      </c>
    </row>
    <row r="58" spans="1:40" s="77" customFormat="1" ht="13.95" customHeight="1">
      <c r="A58" s="308"/>
      <c r="B58" s="308"/>
      <c r="C58" s="93" t="s">
        <v>64</v>
      </c>
      <c r="D58" s="117"/>
      <c r="E58" s="117"/>
      <c r="F58" s="117"/>
    </row>
    <row r="59" spans="1:40" ht="13.95" customHeight="1">
      <c r="A59" s="102"/>
      <c r="B59" s="102"/>
    </row>
    <row r="60" spans="1:40" ht="13.95" customHeight="1">
      <c r="A60" s="308"/>
      <c r="B60" s="308"/>
      <c r="C60" s="82" t="str">
        <f>CONCATENATE('Lead QE'!C21,") ",'Lead QE'!B21)</f>
        <v>6) [Input adjustment]</v>
      </c>
      <c r="D60" s="108"/>
      <c r="E60" s="108"/>
      <c r="F60" s="108"/>
      <c r="G60" s="108"/>
      <c r="H60" s="109"/>
      <c r="I60" s="110"/>
      <c r="J60" s="110"/>
      <c r="K60" s="110"/>
      <c r="L60" s="110"/>
      <c r="M60" s="110"/>
      <c r="N60" s="110"/>
      <c r="O60" s="110"/>
      <c r="P60" s="110"/>
      <c r="Q60" s="110"/>
      <c r="R60" s="110"/>
      <c r="S60" s="110"/>
      <c r="T60" s="109"/>
      <c r="U60" s="110"/>
      <c r="V60" s="110"/>
      <c r="W60" s="110"/>
      <c r="X60" s="110"/>
      <c r="Y60" s="110"/>
      <c r="Z60" s="110"/>
      <c r="AA60" s="110"/>
      <c r="AB60" s="110"/>
      <c r="AC60" s="110"/>
      <c r="AD60" s="110"/>
      <c r="AE60" s="110"/>
      <c r="AF60" s="110"/>
      <c r="AG60" s="110"/>
      <c r="AH60" s="110"/>
      <c r="AI60" s="110"/>
      <c r="AJ60" s="110"/>
      <c r="AK60" s="110"/>
      <c r="AL60" s="110"/>
      <c r="AM60" s="110"/>
      <c r="AN60" s="110"/>
    </row>
    <row r="61" spans="1:40" s="77" customFormat="1" ht="23.1" customHeight="1" thickBot="1">
      <c r="A61" s="308"/>
      <c r="B61" s="308"/>
      <c r="C61" s="251" t="s">
        <v>7</v>
      </c>
      <c r="D61" s="297">
        <f>First_Reporting_Year</f>
        <v>44926</v>
      </c>
      <c r="E61" s="297">
        <f>Second_Reporting_Year</f>
        <v>45291</v>
      </c>
      <c r="F61" s="296">
        <f>Stub_Period</f>
        <v>45565</v>
      </c>
      <c r="G61" s="254"/>
      <c r="H61" s="249">
        <f>EOMONTH(D61,-11)</f>
        <v>44592</v>
      </c>
      <c r="I61" s="249">
        <f t="shared" ref="I61:AJ61" si="174">EOMONTH(H61,1)</f>
        <v>44620</v>
      </c>
      <c r="J61" s="249">
        <f t="shared" si="174"/>
        <v>44651</v>
      </c>
      <c r="K61" s="249">
        <f t="shared" si="174"/>
        <v>44681</v>
      </c>
      <c r="L61" s="249">
        <f t="shared" si="174"/>
        <v>44712</v>
      </c>
      <c r="M61" s="249">
        <f t="shared" si="174"/>
        <v>44742</v>
      </c>
      <c r="N61" s="249">
        <f t="shared" si="174"/>
        <v>44773</v>
      </c>
      <c r="O61" s="249">
        <f t="shared" si="174"/>
        <v>44804</v>
      </c>
      <c r="P61" s="249">
        <f t="shared" si="174"/>
        <v>44834</v>
      </c>
      <c r="Q61" s="249">
        <f t="shared" si="174"/>
        <v>44865</v>
      </c>
      <c r="R61" s="249">
        <f t="shared" si="174"/>
        <v>44895</v>
      </c>
      <c r="S61" s="249">
        <f t="shared" si="174"/>
        <v>44926</v>
      </c>
      <c r="T61" s="249">
        <f t="shared" si="174"/>
        <v>44957</v>
      </c>
      <c r="U61" s="249">
        <f t="shared" si="174"/>
        <v>44985</v>
      </c>
      <c r="V61" s="249">
        <f t="shared" si="174"/>
        <v>45016</v>
      </c>
      <c r="W61" s="249">
        <f t="shared" si="174"/>
        <v>45046</v>
      </c>
      <c r="X61" s="249">
        <f t="shared" si="174"/>
        <v>45077</v>
      </c>
      <c r="Y61" s="249">
        <f t="shared" si="174"/>
        <v>45107</v>
      </c>
      <c r="Z61" s="249">
        <f t="shared" si="174"/>
        <v>45138</v>
      </c>
      <c r="AA61" s="249">
        <f t="shared" si="174"/>
        <v>45169</v>
      </c>
      <c r="AB61" s="249">
        <f t="shared" si="174"/>
        <v>45199</v>
      </c>
      <c r="AC61" s="249">
        <f t="shared" si="174"/>
        <v>45230</v>
      </c>
      <c r="AD61" s="249">
        <f t="shared" si="174"/>
        <v>45260</v>
      </c>
      <c r="AE61" s="249">
        <f t="shared" si="174"/>
        <v>45291</v>
      </c>
      <c r="AF61" s="249">
        <f t="shared" si="174"/>
        <v>45322</v>
      </c>
      <c r="AG61" s="249">
        <f t="shared" si="174"/>
        <v>45351</v>
      </c>
      <c r="AH61" s="249">
        <f t="shared" si="174"/>
        <v>45382</v>
      </c>
      <c r="AI61" s="249">
        <f t="shared" si="174"/>
        <v>45412</v>
      </c>
      <c r="AJ61" s="249">
        <f t="shared" si="174"/>
        <v>45443</v>
      </c>
      <c r="AK61" s="249">
        <f t="shared" ref="AK61" si="175">EOMONTH(AJ61,1)</f>
        <v>45473</v>
      </c>
      <c r="AL61" s="249">
        <f t="shared" ref="AL61" si="176">EOMONTH(AK61,1)</f>
        <v>45504</v>
      </c>
      <c r="AM61" s="249">
        <f t="shared" ref="AM61" si="177">EOMONTH(AL61,1)</f>
        <v>45535</v>
      </c>
      <c r="AN61" s="249">
        <f t="shared" ref="AN61" si="178">EOMONTH(AM61,1)</f>
        <v>45565</v>
      </c>
    </row>
    <row r="62" spans="1:40" s="77" customFormat="1" ht="13.95" customHeight="1">
      <c r="A62" s="449"/>
      <c r="B62" s="449"/>
      <c r="C62" s="60"/>
      <c r="D62" s="444"/>
      <c r="E62" s="444"/>
      <c r="F62" s="444"/>
      <c r="G62" s="444"/>
      <c r="H62" s="444"/>
      <c r="I62" s="444"/>
      <c r="J62" s="444"/>
      <c r="K62" s="444"/>
      <c r="L62" s="444"/>
      <c r="M62" s="444"/>
      <c r="N62" s="444"/>
      <c r="O62" s="444"/>
      <c r="P62" s="444"/>
      <c r="Q62" s="444"/>
      <c r="R62" s="444"/>
      <c r="S62" s="444"/>
      <c r="T62" s="444"/>
      <c r="U62" s="444"/>
      <c r="V62" s="444"/>
      <c r="W62" s="444"/>
      <c r="X62" s="444"/>
      <c r="Y62" s="444"/>
      <c r="Z62" s="444"/>
      <c r="AA62" s="444"/>
      <c r="AB62" s="444"/>
      <c r="AC62" s="444"/>
      <c r="AD62" s="444"/>
      <c r="AE62" s="444"/>
      <c r="AF62" s="444"/>
      <c r="AG62" s="444"/>
      <c r="AH62" s="444"/>
      <c r="AI62" s="444"/>
      <c r="AJ62" s="444"/>
      <c r="AK62" s="444"/>
      <c r="AL62" s="444"/>
      <c r="AM62" s="444"/>
      <c r="AN62" s="444"/>
    </row>
    <row r="63" spans="1:40" s="77" customFormat="1" ht="13.95" customHeight="1">
      <c r="A63" s="308"/>
      <c r="B63" s="308"/>
      <c r="C63" s="60"/>
      <c r="D63" s="445"/>
      <c r="E63" s="445"/>
      <c r="F63" s="445"/>
      <c r="G63" s="444"/>
      <c r="H63" s="445"/>
      <c r="I63" s="445"/>
      <c r="J63" s="445"/>
      <c r="K63" s="445"/>
      <c r="L63" s="445"/>
      <c r="M63" s="445"/>
      <c r="N63" s="445"/>
      <c r="O63" s="445"/>
      <c r="P63" s="445"/>
      <c r="Q63" s="445"/>
      <c r="R63" s="445"/>
      <c r="S63" s="445"/>
      <c r="T63" s="445"/>
      <c r="U63" s="445"/>
      <c r="V63" s="445"/>
      <c r="W63" s="445"/>
      <c r="X63" s="445"/>
      <c r="Y63" s="445"/>
      <c r="Z63" s="445"/>
      <c r="AA63" s="445"/>
      <c r="AB63" s="445"/>
      <c r="AC63" s="445"/>
      <c r="AD63" s="445"/>
      <c r="AE63" s="445"/>
      <c r="AF63" s="445"/>
      <c r="AG63" s="445"/>
      <c r="AH63" s="445"/>
      <c r="AI63" s="445"/>
      <c r="AJ63" s="445"/>
      <c r="AK63" s="445"/>
      <c r="AL63" s="445"/>
      <c r="AM63" s="445"/>
      <c r="AN63" s="445"/>
    </row>
    <row r="64" spans="1:40" s="77" customFormat="1" ht="13.95" customHeight="1" thickBot="1">
      <c r="A64" s="308"/>
      <c r="B64" s="308" t="s">
        <v>171</v>
      </c>
      <c r="C64" s="299" t="s">
        <v>10</v>
      </c>
      <c r="D64" s="446">
        <f>SUM(D62:D63)</f>
        <v>0</v>
      </c>
      <c r="E64" s="446">
        <f t="shared" ref="E64:AI64" si="179">SUM(E62:E63)</f>
        <v>0</v>
      </c>
      <c r="F64" s="446">
        <f t="shared" si="179"/>
        <v>0</v>
      </c>
      <c r="G64" s="444">
        <f t="shared" si="179"/>
        <v>0</v>
      </c>
      <c r="H64" s="446">
        <f t="shared" si="179"/>
        <v>0</v>
      </c>
      <c r="I64" s="446">
        <f t="shared" si="179"/>
        <v>0</v>
      </c>
      <c r="J64" s="446">
        <f t="shared" si="179"/>
        <v>0</v>
      </c>
      <c r="K64" s="446">
        <f t="shared" si="179"/>
        <v>0</v>
      </c>
      <c r="L64" s="446">
        <f t="shared" si="179"/>
        <v>0</v>
      </c>
      <c r="M64" s="446">
        <f t="shared" si="179"/>
        <v>0</v>
      </c>
      <c r="N64" s="446">
        <f t="shared" si="179"/>
        <v>0</v>
      </c>
      <c r="O64" s="446">
        <f t="shared" si="179"/>
        <v>0</v>
      </c>
      <c r="P64" s="446">
        <f t="shared" si="179"/>
        <v>0</v>
      </c>
      <c r="Q64" s="446">
        <f t="shared" si="179"/>
        <v>0</v>
      </c>
      <c r="R64" s="446">
        <f t="shared" si="179"/>
        <v>0</v>
      </c>
      <c r="S64" s="446">
        <f t="shared" si="179"/>
        <v>0</v>
      </c>
      <c r="T64" s="446">
        <f t="shared" si="179"/>
        <v>0</v>
      </c>
      <c r="U64" s="446">
        <f t="shared" si="179"/>
        <v>0</v>
      </c>
      <c r="V64" s="446">
        <f t="shared" si="179"/>
        <v>0</v>
      </c>
      <c r="W64" s="446">
        <f t="shared" si="179"/>
        <v>0</v>
      </c>
      <c r="X64" s="446">
        <f t="shared" si="179"/>
        <v>0</v>
      </c>
      <c r="Y64" s="446">
        <f t="shared" si="179"/>
        <v>0</v>
      </c>
      <c r="Z64" s="446">
        <f t="shared" si="179"/>
        <v>0</v>
      </c>
      <c r="AA64" s="446">
        <f t="shared" si="179"/>
        <v>0</v>
      </c>
      <c r="AB64" s="446">
        <f t="shared" si="179"/>
        <v>0</v>
      </c>
      <c r="AC64" s="446">
        <f t="shared" si="179"/>
        <v>0</v>
      </c>
      <c r="AD64" s="446">
        <f t="shared" si="179"/>
        <v>0</v>
      </c>
      <c r="AE64" s="446">
        <f t="shared" si="179"/>
        <v>0</v>
      </c>
      <c r="AF64" s="446">
        <f t="shared" si="179"/>
        <v>0</v>
      </c>
      <c r="AG64" s="446">
        <f t="shared" si="179"/>
        <v>0</v>
      </c>
      <c r="AH64" s="446">
        <f t="shared" si="179"/>
        <v>0</v>
      </c>
      <c r="AI64" s="446">
        <f t="shared" si="179"/>
        <v>0</v>
      </c>
      <c r="AJ64" s="446">
        <f t="shared" ref="AJ64:AN64" si="180">SUM(AJ62:AJ63)</f>
        <v>0</v>
      </c>
      <c r="AK64" s="446">
        <f t="shared" si="180"/>
        <v>0</v>
      </c>
      <c r="AL64" s="446">
        <f t="shared" si="180"/>
        <v>0</v>
      </c>
      <c r="AM64" s="446">
        <f t="shared" si="180"/>
        <v>0</v>
      </c>
      <c r="AN64" s="446">
        <f t="shared" si="180"/>
        <v>0</v>
      </c>
    </row>
    <row r="65" spans="1:40" s="77" customFormat="1" ht="13.95" customHeight="1">
      <c r="A65" s="308"/>
      <c r="B65" s="308"/>
      <c r="C65" s="93" t="s">
        <v>64</v>
      </c>
      <c r="D65" s="117"/>
      <c r="E65" s="117"/>
      <c r="F65" s="117"/>
    </row>
    <row r="66" spans="1:40" ht="13.95" customHeight="1">
      <c r="A66" s="102"/>
      <c r="B66" s="102"/>
    </row>
    <row r="67" spans="1:40" ht="13.95" customHeight="1">
      <c r="A67" s="308"/>
      <c r="B67" s="308"/>
      <c r="C67" s="82" t="str">
        <f>CONCATENATE('Lead QE'!C22,") ",'Lead QE'!B22)</f>
        <v>7) [Input adjustment]</v>
      </c>
      <c r="D67" s="108"/>
      <c r="E67" s="108"/>
      <c r="F67" s="108"/>
      <c r="G67" s="108"/>
      <c r="H67" s="109"/>
      <c r="I67" s="110"/>
      <c r="J67" s="110"/>
      <c r="K67" s="110"/>
      <c r="L67" s="110"/>
      <c r="M67" s="110"/>
      <c r="N67" s="110"/>
      <c r="O67" s="110"/>
      <c r="P67" s="110"/>
      <c r="Q67" s="110"/>
      <c r="R67" s="110"/>
      <c r="S67" s="110"/>
      <c r="T67" s="109"/>
      <c r="U67" s="110"/>
      <c r="V67" s="110"/>
      <c r="W67" s="110"/>
      <c r="X67" s="110"/>
      <c r="Y67" s="110"/>
      <c r="Z67" s="110"/>
      <c r="AA67" s="110"/>
      <c r="AB67" s="110"/>
      <c r="AC67" s="110"/>
      <c r="AD67" s="110"/>
      <c r="AE67" s="110"/>
      <c r="AF67" s="110"/>
      <c r="AG67" s="110"/>
      <c r="AH67" s="110"/>
      <c r="AI67" s="110"/>
      <c r="AJ67" s="110"/>
      <c r="AK67" s="110"/>
      <c r="AL67" s="110"/>
      <c r="AM67" s="110"/>
      <c r="AN67" s="110"/>
    </row>
    <row r="68" spans="1:40" s="77" customFormat="1" ht="23.1" customHeight="1" thickBot="1">
      <c r="A68" s="308"/>
      <c r="B68" s="308"/>
      <c r="C68" s="251" t="s">
        <v>7</v>
      </c>
      <c r="D68" s="297">
        <f>First_Reporting_Year</f>
        <v>44926</v>
      </c>
      <c r="E68" s="297">
        <f>Second_Reporting_Year</f>
        <v>45291</v>
      </c>
      <c r="F68" s="296">
        <f>Stub_Period</f>
        <v>45565</v>
      </c>
      <c r="G68" s="254"/>
      <c r="H68" s="249">
        <f>EOMONTH(D68,-11)</f>
        <v>44592</v>
      </c>
      <c r="I68" s="249">
        <f t="shared" ref="I68" si="181">EOMONTH(H68,1)</f>
        <v>44620</v>
      </c>
      <c r="J68" s="249">
        <f t="shared" ref="J68" si="182">EOMONTH(I68,1)</f>
        <v>44651</v>
      </c>
      <c r="K68" s="249">
        <f t="shared" ref="K68" si="183">EOMONTH(J68,1)</f>
        <v>44681</v>
      </c>
      <c r="L68" s="249">
        <f t="shared" ref="L68" si="184">EOMONTH(K68,1)</f>
        <v>44712</v>
      </c>
      <c r="M68" s="249">
        <f t="shared" ref="M68" si="185">EOMONTH(L68,1)</f>
        <v>44742</v>
      </c>
      <c r="N68" s="249">
        <f t="shared" ref="N68" si="186">EOMONTH(M68,1)</f>
        <v>44773</v>
      </c>
      <c r="O68" s="249">
        <f t="shared" ref="O68" si="187">EOMONTH(N68,1)</f>
        <v>44804</v>
      </c>
      <c r="P68" s="249">
        <f t="shared" ref="P68" si="188">EOMONTH(O68,1)</f>
        <v>44834</v>
      </c>
      <c r="Q68" s="249">
        <f t="shared" ref="Q68" si="189">EOMONTH(P68,1)</f>
        <v>44865</v>
      </c>
      <c r="R68" s="249">
        <f t="shared" ref="R68" si="190">EOMONTH(Q68,1)</f>
        <v>44895</v>
      </c>
      <c r="S68" s="249">
        <f t="shared" ref="S68" si="191">EOMONTH(R68,1)</f>
        <v>44926</v>
      </c>
      <c r="T68" s="249">
        <f t="shared" ref="T68" si="192">EOMONTH(S68,1)</f>
        <v>44957</v>
      </c>
      <c r="U68" s="249">
        <f t="shared" ref="U68" si="193">EOMONTH(T68,1)</f>
        <v>44985</v>
      </c>
      <c r="V68" s="249">
        <f t="shared" ref="V68" si="194">EOMONTH(U68,1)</f>
        <v>45016</v>
      </c>
      <c r="W68" s="249">
        <f t="shared" ref="W68" si="195">EOMONTH(V68,1)</f>
        <v>45046</v>
      </c>
      <c r="X68" s="249">
        <f t="shared" ref="X68" si="196">EOMONTH(W68,1)</f>
        <v>45077</v>
      </c>
      <c r="Y68" s="249">
        <f t="shared" ref="Y68" si="197">EOMONTH(X68,1)</f>
        <v>45107</v>
      </c>
      <c r="Z68" s="249">
        <f t="shared" ref="Z68" si="198">EOMONTH(Y68,1)</f>
        <v>45138</v>
      </c>
      <c r="AA68" s="249">
        <f t="shared" ref="AA68" si="199">EOMONTH(Z68,1)</f>
        <v>45169</v>
      </c>
      <c r="AB68" s="249">
        <f t="shared" ref="AB68" si="200">EOMONTH(AA68,1)</f>
        <v>45199</v>
      </c>
      <c r="AC68" s="249">
        <f t="shared" ref="AC68" si="201">EOMONTH(AB68,1)</f>
        <v>45230</v>
      </c>
      <c r="AD68" s="249">
        <f t="shared" ref="AD68" si="202">EOMONTH(AC68,1)</f>
        <v>45260</v>
      </c>
      <c r="AE68" s="249">
        <f t="shared" ref="AE68" si="203">EOMONTH(AD68,1)</f>
        <v>45291</v>
      </c>
      <c r="AF68" s="249">
        <f t="shared" ref="AF68" si="204">EOMONTH(AE68,1)</f>
        <v>45322</v>
      </c>
      <c r="AG68" s="249">
        <f t="shared" ref="AG68" si="205">EOMONTH(AF68,1)</f>
        <v>45351</v>
      </c>
      <c r="AH68" s="249">
        <f t="shared" ref="AH68" si="206">EOMONTH(AG68,1)</f>
        <v>45382</v>
      </c>
      <c r="AI68" s="249">
        <f t="shared" ref="AI68:AJ68" si="207">EOMONTH(AH68,1)</f>
        <v>45412</v>
      </c>
      <c r="AJ68" s="249">
        <f t="shared" si="207"/>
        <v>45443</v>
      </c>
      <c r="AK68" s="249">
        <f t="shared" ref="AK68" si="208">EOMONTH(AJ68,1)</f>
        <v>45473</v>
      </c>
      <c r="AL68" s="249">
        <f t="shared" ref="AL68" si="209">EOMONTH(AK68,1)</f>
        <v>45504</v>
      </c>
      <c r="AM68" s="249">
        <f t="shared" ref="AM68" si="210">EOMONTH(AL68,1)</f>
        <v>45535</v>
      </c>
      <c r="AN68" s="249">
        <f t="shared" ref="AN68" si="211">EOMONTH(AM68,1)</f>
        <v>45565</v>
      </c>
    </row>
    <row r="69" spans="1:40" s="77" customFormat="1" ht="13.95" customHeight="1">
      <c r="A69" s="308"/>
      <c r="B69" s="308"/>
      <c r="C69" s="60"/>
      <c r="D69" s="295">
        <f>SUMIFS($H69:$AN69,$H$5:$AN$5,"&gt;"&amp;EOMONTH(D$5,-12),$H$5:$AN$5,"&lt;="&amp;D$5)</f>
        <v>0</v>
      </c>
      <c r="E69" s="295">
        <f>SUMIFS($H69:$AN69,$H$5:$AN$5,"&gt;"&amp;EOMONTH(E$5,-12),$H$5:$AN$5,"&lt;="&amp;E$5)</f>
        <v>0</v>
      </c>
      <c r="F69" s="295">
        <f>SUMIFS($H69:$AQ69,$H$5:$AQ$5,"&gt;"&amp;EOMONTH(F$5,-12),$H$5:$AQ$5,"&lt;="&amp;F$5)</f>
        <v>0</v>
      </c>
      <c r="G69" s="293"/>
      <c r="H69" s="450"/>
      <c r="I69" s="450"/>
      <c r="J69" s="450"/>
      <c r="K69" s="450"/>
      <c r="L69" s="450"/>
      <c r="M69" s="450"/>
      <c r="N69" s="450"/>
      <c r="O69" s="450"/>
      <c r="P69" s="450"/>
      <c r="Q69" s="450"/>
      <c r="R69" s="450"/>
      <c r="S69" s="450"/>
      <c r="T69" s="450"/>
      <c r="U69" s="450"/>
      <c r="V69" s="450"/>
      <c r="W69" s="450"/>
      <c r="X69" s="450"/>
      <c r="Y69" s="450"/>
      <c r="Z69" s="450"/>
      <c r="AA69" s="450"/>
      <c r="AB69" s="450"/>
      <c r="AC69" s="450"/>
      <c r="AD69" s="450"/>
      <c r="AE69" s="450"/>
      <c r="AF69" s="450"/>
      <c r="AG69" s="450"/>
      <c r="AH69" s="450"/>
      <c r="AI69" s="450"/>
      <c r="AJ69" s="450"/>
      <c r="AK69" s="450"/>
      <c r="AL69" s="450"/>
      <c r="AM69" s="450"/>
      <c r="AN69" s="450"/>
    </row>
    <row r="70" spans="1:40" s="77" customFormat="1" ht="13.5" customHeight="1" thickBot="1">
      <c r="A70" s="308"/>
      <c r="B70" s="308" t="s">
        <v>1</v>
      </c>
      <c r="C70" s="299" t="s">
        <v>76</v>
      </c>
      <c r="D70" s="301">
        <f>SUM(D69:D69)</f>
        <v>0</v>
      </c>
      <c r="E70" s="301">
        <f>SUM(E69:E69)</f>
        <v>0</v>
      </c>
      <c r="F70" s="301">
        <f>SUM(F69:F69)</f>
        <v>0</v>
      </c>
      <c r="G70" s="293"/>
      <c r="H70" s="301">
        <f t="shared" ref="H70:AI70" si="212">SUM(H69:H69)</f>
        <v>0</v>
      </c>
      <c r="I70" s="301">
        <f t="shared" si="212"/>
        <v>0</v>
      </c>
      <c r="J70" s="301">
        <f t="shared" si="212"/>
        <v>0</v>
      </c>
      <c r="K70" s="301">
        <f t="shared" si="212"/>
        <v>0</v>
      </c>
      <c r="L70" s="301">
        <f t="shared" si="212"/>
        <v>0</v>
      </c>
      <c r="M70" s="301">
        <f t="shared" si="212"/>
        <v>0</v>
      </c>
      <c r="N70" s="301">
        <f t="shared" si="212"/>
        <v>0</v>
      </c>
      <c r="O70" s="301">
        <f t="shared" si="212"/>
        <v>0</v>
      </c>
      <c r="P70" s="301">
        <f t="shared" si="212"/>
        <v>0</v>
      </c>
      <c r="Q70" s="301">
        <f t="shared" si="212"/>
        <v>0</v>
      </c>
      <c r="R70" s="301">
        <f t="shared" si="212"/>
        <v>0</v>
      </c>
      <c r="S70" s="301">
        <f t="shared" si="212"/>
        <v>0</v>
      </c>
      <c r="T70" s="301">
        <f t="shared" si="212"/>
        <v>0</v>
      </c>
      <c r="U70" s="301">
        <f t="shared" si="212"/>
        <v>0</v>
      </c>
      <c r="V70" s="301">
        <f t="shared" si="212"/>
        <v>0</v>
      </c>
      <c r="W70" s="301">
        <f t="shared" si="212"/>
        <v>0</v>
      </c>
      <c r="X70" s="301">
        <f t="shared" si="212"/>
        <v>0</v>
      </c>
      <c r="Y70" s="301">
        <f t="shared" si="212"/>
        <v>0</v>
      </c>
      <c r="Z70" s="301">
        <f t="shared" si="212"/>
        <v>0</v>
      </c>
      <c r="AA70" s="301">
        <f t="shared" si="212"/>
        <v>0</v>
      </c>
      <c r="AB70" s="301">
        <f t="shared" si="212"/>
        <v>0</v>
      </c>
      <c r="AC70" s="301">
        <f t="shared" si="212"/>
        <v>0</v>
      </c>
      <c r="AD70" s="301">
        <f t="shared" si="212"/>
        <v>0</v>
      </c>
      <c r="AE70" s="301">
        <f t="shared" si="212"/>
        <v>0</v>
      </c>
      <c r="AF70" s="301">
        <f t="shared" si="212"/>
        <v>0</v>
      </c>
      <c r="AG70" s="301">
        <f t="shared" si="212"/>
        <v>0</v>
      </c>
      <c r="AH70" s="301">
        <f t="shared" si="212"/>
        <v>0</v>
      </c>
      <c r="AI70" s="301">
        <f t="shared" si="212"/>
        <v>0</v>
      </c>
      <c r="AJ70" s="301">
        <f t="shared" ref="AJ70:AN70" si="213">SUM(AJ69:AJ69)</f>
        <v>0</v>
      </c>
      <c r="AK70" s="301">
        <f t="shared" si="213"/>
        <v>0</v>
      </c>
      <c r="AL70" s="301">
        <f t="shared" si="213"/>
        <v>0</v>
      </c>
      <c r="AM70" s="301">
        <f t="shared" si="213"/>
        <v>0</v>
      </c>
      <c r="AN70" s="301">
        <f t="shared" si="213"/>
        <v>0</v>
      </c>
    </row>
    <row r="71" spans="1:40" s="77" customFormat="1" ht="13.95" customHeight="1">
      <c r="A71" s="308"/>
      <c r="B71" s="308"/>
      <c r="C71" s="93" t="s">
        <v>64</v>
      </c>
      <c r="D71" s="117"/>
      <c r="E71" s="117"/>
      <c r="F71" s="117"/>
    </row>
    <row r="72" spans="1:40" ht="13.95" customHeight="1">
      <c r="A72" s="102"/>
      <c r="B72" s="102"/>
    </row>
    <row r="73" spans="1:40" ht="13.95" customHeight="1">
      <c r="A73" s="308"/>
      <c r="B73" s="308"/>
      <c r="C73" s="82" t="str">
        <f>CONCATENATE('Lead QE'!C23,") ",'Lead QE'!B23)</f>
        <v>8) [Input adjustment]</v>
      </c>
      <c r="D73" s="108"/>
      <c r="E73" s="108"/>
      <c r="F73" s="108"/>
      <c r="G73" s="108"/>
      <c r="H73" s="109"/>
      <c r="I73" s="110"/>
      <c r="J73" s="110"/>
      <c r="K73" s="110"/>
      <c r="L73" s="110"/>
      <c r="M73" s="110"/>
      <c r="N73" s="110"/>
      <c r="O73" s="110"/>
      <c r="P73" s="110"/>
      <c r="Q73" s="110"/>
      <c r="R73" s="110"/>
      <c r="S73" s="110"/>
      <c r="T73" s="109"/>
      <c r="U73" s="110"/>
      <c r="V73" s="110"/>
      <c r="W73" s="110"/>
      <c r="X73" s="110"/>
      <c r="Y73" s="110"/>
      <c r="Z73" s="110"/>
      <c r="AA73" s="110"/>
      <c r="AB73" s="110"/>
      <c r="AC73" s="110"/>
      <c r="AD73" s="110"/>
      <c r="AE73" s="110"/>
      <c r="AF73" s="110"/>
      <c r="AG73" s="110"/>
      <c r="AH73" s="110"/>
      <c r="AI73" s="110"/>
      <c r="AJ73" s="110"/>
      <c r="AK73" s="110"/>
      <c r="AL73" s="110"/>
      <c r="AM73" s="110"/>
      <c r="AN73" s="110"/>
    </row>
    <row r="74" spans="1:40" s="77" customFormat="1" ht="23.1" customHeight="1" thickBot="1">
      <c r="A74" s="308"/>
      <c r="B74" s="308"/>
      <c r="C74" s="251" t="s">
        <v>7</v>
      </c>
      <c r="D74" s="297">
        <f>First_Reporting_Year</f>
        <v>44926</v>
      </c>
      <c r="E74" s="297">
        <f>Second_Reporting_Year</f>
        <v>45291</v>
      </c>
      <c r="F74" s="296">
        <f>Stub_Period</f>
        <v>45565</v>
      </c>
      <c r="G74" s="254"/>
      <c r="H74" s="249">
        <f>EOMONTH(D74,-11)</f>
        <v>44592</v>
      </c>
      <c r="I74" s="249">
        <f t="shared" ref="I74" si="214">EOMONTH(H74,1)</f>
        <v>44620</v>
      </c>
      <c r="J74" s="249">
        <f t="shared" ref="J74" si="215">EOMONTH(I74,1)</f>
        <v>44651</v>
      </c>
      <c r="K74" s="249">
        <f t="shared" ref="K74" si="216">EOMONTH(J74,1)</f>
        <v>44681</v>
      </c>
      <c r="L74" s="249">
        <f t="shared" ref="L74" si="217">EOMONTH(K74,1)</f>
        <v>44712</v>
      </c>
      <c r="M74" s="249">
        <f t="shared" ref="M74" si="218">EOMONTH(L74,1)</f>
        <v>44742</v>
      </c>
      <c r="N74" s="249">
        <f t="shared" ref="N74" si="219">EOMONTH(M74,1)</f>
        <v>44773</v>
      </c>
      <c r="O74" s="249">
        <f t="shared" ref="O74" si="220">EOMONTH(N74,1)</f>
        <v>44804</v>
      </c>
      <c r="P74" s="249">
        <f t="shared" ref="P74" si="221">EOMONTH(O74,1)</f>
        <v>44834</v>
      </c>
      <c r="Q74" s="249">
        <f t="shared" ref="Q74" si="222">EOMONTH(P74,1)</f>
        <v>44865</v>
      </c>
      <c r="R74" s="249">
        <f t="shared" ref="R74" si="223">EOMONTH(Q74,1)</f>
        <v>44895</v>
      </c>
      <c r="S74" s="249">
        <f t="shared" ref="S74" si="224">EOMONTH(R74,1)</f>
        <v>44926</v>
      </c>
      <c r="T74" s="249">
        <f t="shared" ref="T74" si="225">EOMONTH(S74,1)</f>
        <v>44957</v>
      </c>
      <c r="U74" s="249">
        <f t="shared" ref="U74" si="226">EOMONTH(T74,1)</f>
        <v>44985</v>
      </c>
      <c r="V74" s="249">
        <f t="shared" ref="V74" si="227">EOMONTH(U74,1)</f>
        <v>45016</v>
      </c>
      <c r="W74" s="249">
        <f t="shared" ref="W74" si="228">EOMONTH(V74,1)</f>
        <v>45046</v>
      </c>
      <c r="X74" s="249">
        <f t="shared" ref="X74" si="229">EOMONTH(W74,1)</f>
        <v>45077</v>
      </c>
      <c r="Y74" s="249">
        <f t="shared" ref="Y74" si="230">EOMONTH(X74,1)</f>
        <v>45107</v>
      </c>
      <c r="Z74" s="249">
        <f t="shared" ref="Z74" si="231">EOMONTH(Y74,1)</f>
        <v>45138</v>
      </c>
      <c r="AA74" s="249">
        <f t="shared" ref="AA74" si="232">EOMONTH(Z74,1)</f>
        <v>45169</v>
      </c>
      <c r="AB74" s="249">
        <f t="shared" ref="AB74" si="233">EOMONTH(AA74,1)</f>
        <v>45199</v>
      </c>
      <c r="AC74" s="249">
        <f t="shared" ref="AC74" si="234">EOMONTH(AB74,1)</f>
        <v>45230</v>
      </c>
      <c r="AD74" s="249">
        <f t="shared" ref="AD74" si="235">EOMONTH(AC74,1)</f>
        <v>45260</v>
      </c>
      <c r="AE74" s="249">
        <f t="shared" ref="AE74" si="236">EOMONTH(AD74,1)</f>
        <v>45291</v>
      </c>
      <c r="AF74" s="249">
        <f t="shared" ref="AF74" si="237">EOMONTH(AE74,1)</f>
        <v>45322</v>
      </c>
      <c r="AG74" s="249">
        <f t="shared" ref="AG74" si="238">EOMONTH(AF74,1)</f>
        <v>45351</v>
      </c>
      <c r="AH74" s="249">
        <f t="shared" ref="AH74" si="239">EOMONTH(AG74,1)</f>
        <v>45382</v>
      </c>
      <c r="AI74" s="249">
        <f t="shared" ref="AI74:AJ74" si="240">EOMONTH(AH74,1)</f>
        <v>45412</v>
      </c>
      <c r="AJ74" s="249">
        <f t="shared" si="240"/>
        <v>45443</v>
      </c>
      <c r="AK74" s="249">
        <f t="shared" ref="AK74" si="241">EOMONTH(AJ74,1)</f>
        <v>45473</v>
      </c>
      <c r="AL74" s="249">
        <f t="shared" ref="AL74" si="242">EOMONTH(AK74,1)</f>
        <v>45504</v>
      </c>
      <c r="AM74" s="249">
        <f t="shared" ref="AM74" si="243">EOMONTH(AL74,1)</f>
        <v>45535</v>
      </c>
      <c r="AN74" s="249">
        <f t="shared" ref="AN74" si="244">EOMONTH(AM74,1)</f>
        <v>45565</v>
      </c>
    </row>
    <row r="75" spans="1:40" s="116" customFormat="1" ht="13.95" customHeight="1">
      <c r="A75" s="308"/>
      <c r="B75" s="308"/>
      <c r="C75" s="60"/>
      <c r="D75" s="293"/>
      <c r="E75" s="293"/>
      <c r="F75" s="293"/>
      <c r="G75" s="293"/>
      <c r="H75" s="454"/>
      <c r="I75" s="454"/>
      <c r="J75" s="454"/>
      <c r="K75" s="454"/>
      <c r="L75" s="454"/>
      <c r="M75" s="454"/>
      <c r="N75" s="454"/>
      <c r="O75" s="454"/>
      <c r="P75" s="454"/>
      <c r="Q75" s="454"/>
      <c r="R75" s="454"/>
      <c r="S75" s="454"/>
      <c r="T75" s="454"/>
      <c r="U75" s="454"/>
      <c r="V75" s="454"/>
      <c r="W75" s="454"/>
      <c r="X75" s="454"/>
      <c r="Y75" s="454"/>
      <c r="Z75" s="454"/>
      <c r="AA75" s="454"/>
      <c r="AB75" s="454"/>
      <c r="AC75" s="454"/>
      <c r="AD75" s="454"/>
      <c r="AE75" s="454"/>
      <c r="AF75" s="454"/>
      <c r="AG75" s="454"/>
      <c r="AH75" s="454"/>
      <c r="AI75" s="454"/>
      <c r="AJ75" s="454"/>
      <c r="AK75" s="454"/>
      <c r="AL75" s="454"/>
      <c r="AM75" s="454"/>
      <c r="AN75" s="454"/>
    </row>
    <row r="76" spans="1:40" s="77" customFormat="1" ht="13.95" customHeight="1">
      <c r="A76" s="308"/>
      <c r="B76" s="308"/>
      <c r="C76" s="60"/>
      <c r="D76" s="295"/>
      <c r="E76" s="295"/>
      <c r="F76" s="295"/>
      <c r="G76" s="293"/>
      <c r="H76" s="450"/>
      <c r="I76" s="450"/>
      <c r="J76" s="450"/>
      <c r="K76" s="450"/>
      <c r="L76" s="450"/>
      <c r="M76" s="450"/>
      <c r="N76" s="450"/>
      <c r="O76" s="450"/>
      <c r="P76" s="450"/>
      <c r="Q76" s="450"/>
      <c r="R76" s="450"/>
      <c r="S76" s="450"/>
      <c r="T76" s="450"/>
      <c r="U76" s="450"/>
      <c r="V76" s="450"/>
      <c r="W76" s="450"/>
      <c r="X76" s="450"/>
      <c r="Y76" s="450"/>
      <c r="Z76" s="450"/>
      <c r="AA76" s="450"/>
      <c r="AB76" s="450"/>
      <c r="AC76" s="450"/>
      <c r="AD76" s="450"/>
      <c r="AE76" s="450"/>
      <c r="AF76" s="450"/>
      <c r="AG76" s="450"/>
      <c r="AH76" s="450"/>
      <c r="AI76" s="450"/>
      <c r="AJ76" s="450"/>
      <c r="AK76" s="450"/>
      <c r="AL76" s="450"/>
      <c r="AM76" s="450"/>
      <c r="AN76" s="450"/>
    </row>
    <row r="77" spans="1:40" s="77" customFormat="1" ht="13.95" customHeight="1" thickBot="1">
      <c r="A77" s="308"/>
      <c r="B77" s="308"/>
      <c r="C77" s="299" t="s">
        <v>76</v>
      </c>
      <c r="D77" s="301">
        <f>SUM(D75:D76)</f>
        <v>0</v>
      </c>
      <c r="E77" s="301">
        <f t="shared" ref="E77:AI77" si="245">SUM(E75:E76)</f>
        <v>0</v>
      </c>
      <c r="F77" s="301">
        <f t="shared" si="245"/>
        <v>0</v>
      </c>
      <c r="G77" s="293">
        <f t="shared" si="245"/>
        <v>0</v>
      </c>
      <c r="H77" s="301">
        <f t="shared" si="245"/>
        <v>0</v>
      </c>
      <c r="I77" s="301">
        <f t="shared" si="245"/>
        <v>0</v>
      </c>
      <c r="J77" s="301">
        <f t="shared" si="245"/>
        <v>0</v>
      </c>
      <c r="K77" s="301">
        <f t="shared" si="245"/>
        <v>0</v>
      </c>
      <c r="L77" s="301">
        <f t="shared" si="245"/>
        <v>0</v>
      </c>
      <c r="M77" s="301">
        <f t="shared" si="245"/>
        <v>0</v>
      </c>
      <c r="N77" s="301">
        <f t="shared" si="245"/>
        <v>0</v>
      </c>
      <c r="O77" s="301">
        <f t="shared" si="245"/>
        <v>0</v>
      </c>
      <c r="P77" s="301">
        <f t="shared" si="245"/>
        <v>0</v>
      </c>
      <c r="Q77" s="301">
        <f t="shared" si="245"/>
        <v>0</v>
      </c>
      <c r="R77" s="301">
        <f t="shared" si="245"/>
        <v>0</v>
      </c>
      <c r="S77" s="301">
        <f t="shared" si="245"/>
        <v>0</v>
      </c>
      <c r="T77" s="301">
        <f t="shared" si="245"/>
        <v>0</v>
      </c>
      <c r="U77" s="301">
        <f t="shared" si="245"/>
        <v>0</v>
      </c>
      <c r="V77" s="301">
        <f t="shared" si="245"/>
        <v>0</v>
      </c>
      <c r="W77" s="301">
        <f t="shared" si="245"/>
        <v>0</v>
      </c>
      <c r="X77" s="301">
        <f t="shared" si="245"/>
        <v>0</v>
      </c>
      <c r="Y77" s="301">
        <f t="shared" si="245"/>
        <v>0</v>
      </c>
      <c r="Z77" s="301">
        <f t="shared" si="245"/>
        <v>0</v>
      </c>
      <c r="AA77" s="301">
        <f t="shared" si="245"/>
        <v>0</v>
      </c>
      <c r="AB77" s="301">
        <f t="shared" si="245"/>
        <v>0</v>
      </c>
      <c r="AC77" s="301">
        <f t="shared" si="245"/>
        <v>0</v>
      </c>
      <c r="AD77" s="301">
        <f t="shared" si="245"/>
        <v>0</v>
      </c>
      <c r="AE77" s="301">
        <f t="shared" si="245"/>
        <v>0</v>
      </c>
      <c r="AF77" s="301">
        <f t="shared" si="245"/>
        <v>0</v>
      </c>
      <c r="AG77" s="301">
        <f t="shared" si="245"/>
        <v>0</v>
      </c>
      <c r="AH77" s="301">
        <f t="shared" si="245"/>
        <v>0</v>
      </c>
      <c r="AI77" s="301">
        <f t="shared" si="245"/>
        <v>0</v>
      </c>
      <c r="AJ77" s="301">
        <f t="shared" ref="AJ77:AN77" si="246">SUM(AJ75:AJ76)</f>
        <v>0</v>
      </c>
      <c r="AK77" s="301">
        <f t="shared" si="246"/>
        <v>0</v>
      </c>
      <c r="AL77" s="301">
        <f t="shared" si="246"/>
        <v>0</v>
      </c>
      <c r="AM77" s="301">
        <f t="shared" si="246"/>
        <v>0</v>
      </c>
      <c r="AN77" s="301">
        <f t="shared" si="246"/>
        <v>0</v>
      </c>
    </row>
    <row r="78" spans="1:40" s="77" customFormat="1" ht="13.95" customHeight="1">
      <c r="A78" s="308"/>
      <c r="B78" s="308"/>
      <c r="C78" s="93" t="s">
        <v>64</v>
      </c>
      <c r="D78" s="117"/>
      <c r="E78" s="117"/>
      <c r="F78" s="117"/>
    </row>
    <row r="79" spans="1:40" ht="13.95" customHeight="1">
      <c r="A79" s="102"/>
      <c r="B79" s="102"/>
    </row>
    <row r="80" spans="1:40" ht="13.95" customHeight="1">
      <c r="A80" s="308"/>
      <c r="B80" s="308"/>
      <c r="C80" s="82" t="str">
        <f>CONCATENATE('Lead QE'!C24,") ",'Lead QE'!B24)</f>
        <v>9) [Input adjustment]</v>
      </c>
      <c r="D80" s="108"/>
      <c r="E80" s="108"/>
      <c r="F80" s="108"/>
      <c r="G80" s="108"/>
      <c r="H80" s="109"/>
      <c r="I80" s="110"/>
      <c r="J80" s="110"/>
      <c r="K80" s="110"/>
      <c r="L80" s="110"/>
      <c r="M80" s="110"/>
      <c r="N80" s="110"/>
      <c r="O80" s="110"/>
      <c r="P80" s="110"/>
      <c r="Q80" s="110"/>
      <c r="R80" s="110"/>
      <c r="S80" s="110"/>
      <c r="T80" s="109"/>
      <c r="U80" s="110"/>
      <c r="V80" s="110"/>
      <c r="W80" s="110"/>
      <c r="X80" s="110"/>
      <c r="Y80" s="110"/>
      <c r="Z80" s="110"/>
      <c r="AA80" s="110"/>
      <c r="AB80" s="110"/>
      <c r="AC80" s="110"/>
      <c r="AD80" s="110"/>
      <c r="AE80" s="110"/>
      <c r="AF80" s="110"/>
      <c r="AG80" s="110"/>
      <c r="AH80" s="110"/>
      <c r="AI80" s="110"/>
      <c r="AJ80" s="110"/>
      <c r="AK80" s="110"/>
      <c r="AL80" s="110"/>
      <c r="AM80" s="110"/>
      <c r="AN80" s="110"/>
    </row>
    <row r="81" spans="1:41" s="77" customFormat="1" ht="23.1" customHeight="1" thickBot="1">
      <c r="A81" s="308"/>
      <c r="B81" s="308"/>
      <c r="C81" s="251" t="s">
        <v>7</v>
      </c>
      <c r="D81" s="297">
        <f>First_Reporting_Year</f>
        <v>44926</v>
      </c>
      <c r="E81" s="297">
        <f>Second_Reporting_Year</f>
        <v>45291</v>
      </c>
      <c r="F81" s="296">
        <f>Stub_Period</f>
        <v>45565</v>
      </c>
      <c r="G81" s="254"/>
      <c r="H81" s="249">
        <f>EOMONTH(D81,-11)</f>
        <v>44592</v>
      </c>
      <c r="I81" s="249">
        <f t="shared" ref="I81" si="247">EOMONTH(H81,1)</f>
        <v>44620</v>
      </c>
      <c r="J81" s="249">
        <f t="shared" ref="J81" si="248">EOMONTH(I81,1)</f>
        <v>44651</v>
      </c>
      <c r="K81" s="249">
        <f t="shared" ref="K81" si="249">EOMONTH(J81,1)</f>
        <v>44681</v>
      </c>
      <c r="L81" s="249">
        <f t="shared" ref="L81" si="250">EOMONTH(K81,1)</f>
        <v>44712</v>
      </c>
      <c r="M81" s="249">
        <f t="shared" ref="M81" si="251">EOMONTH(L81,1)</f>
        <v>44742</v>
      </c>
      <c r="N81" s="249">
        <f t="shared" ref="N81" si="252">EOMONTH(M81,1)</f>
        <v>44773</v>
      </c>
      <c r="O81" s="249">
        <f t="shared" ref="O81" si="253">EOMONTH(N81,1)</f>
        <v>44804</v>
      </c>
      <c r="P81" s="249">
        <f t="shared" ref="P81" si="254">EOMONTH(O81,1)</f>
        <v>44834</v>
      </c>
      <c r="Q81" s="249">
        <f t="shared" ref="Q81" si="255">EOMONTH(P81,1)</f>
        <v>44865</v>
      </c>
      <c r="R81" s="249">
        <f t="shared" ref="R81" si="256">EOMONTH(Q81,1)</f>
        <v>44895</v>
      </c>
      <c r="S81" s="249">
        <f t="shared" ref="S81" si="257">EOMONTH(R81,1)</f>
        <v>44926</v>
      </c>
      <c r="T81" s="249">
        <f t="shared" ref="T81" si="258">EOMONTH(S81,1)</f>
        <v>44957</v>
      </c>
      <c r="U81" s="249">
        <f t="shared" ref="U81" si="259">EOMONTH(T81,1)</f>
        <v>44985</v>
      </c>
      <c r="V81" s="249">
        <f t="shared" ref="V81" si="260">EOMONTH(U81,1)</f>
        <v>45016</v>
      </c>
      <c r="W81" s="249">
        <f t="shared" ref="W81" si="261">EOMONTH(V81,1)</f>
        <v>45046</v>
      </c>
      <c r="X81" s="249">
        <f t="shared" ref="X81" si="262">EOMONTH(W81,1)</f>
        <v>45077</v>
      </c>
      <c r="Y81" s="249">
        <f t="shared" ref="Y81" si="263">EOMONTH(X81,1)</f>
        <v>45107</v>
      </c>
      <c r="Z81" s="249">
        <f t="shared" ref="Z81" si="264">EOMONTH(Y81,1)</f>
        <v>45138</v>
      </c>
      <c r="AA81" s="249">
        <f t="shared" ref="AA81" si="265">EOMONTH(Z81,1)</f>
        <v>45169</v>
      </c>
      <c r="AB81" s="249">
        <f t="shared" ref="AB81" si="266">EOMONTH(AA81,1)</f>
        <v>45199</v>
      </c>
      <c r="AC81" s="249">
        <f t="shared" ref="AC81" si="267">EOMONTH(AB81,1)</f>
        <v>45230</v>
      </c>
      <c r="AD81" s="249">
        <f t="shared" ref="AD81" si="268">EOMONTH(AC81,1)</f>
        <v>45260</v>
      </c>
      <c r="AE81" s="249">
        <f t="shared" ref="AE81" si="269">EOMONTH(AD81,1)</f>
        <v>45291</v>
      </c>
      <c r="AF81" s="249">
        <f t="shared" ref="AF81" si="270">EOMONTH(AE81,1)</f>
        <v>45322</v>
      </c>
      <c r="AG81" s="249">
        <f t="shared" ref="AG81" si="271">EOMONTH(AF81,1)</f>
        <v>45351</v>
      </c>
      <c r="AH81" s="249">
        <f t="shared" ref="AH81" si="272">EOMONTH(AG81,1)</f>
        <v>45382</v>
      </c>
      <c r="AI81" s="249">
        <f t="shared" ref="AI81:AJ81" si="273">EOMONTH(AH81,1)</f>
        <v>45412</v>
      </c>
      <c r="AJ81" s="249">
        <f t="shared" si="273"/>
        <v>45443</v>
      </c>
      <c r="AK81" s="249">
        <f t="shared" ref="AK81" si="274">EOMONTH(AJ81,1)</f>
        <v>45473</v>
      </c>
      <c r="AL81" s="249">
        <f t="shared" ref="AL81" si="275">EOMONTH(AK81,1)</f>
        <v>45504</v>
      </c>
      <c r="AM81" s="249">
        <f t="shared" ref="AM81" si="276">EOMONTH(AL81,1)</f>
        <v>45535</v>
      </c>
      <c r="AN81" s="249">
        <f t="shared" ref="AN81" si="277">EOMONTH(AM81,1)</f>
        <v>45565</v>
      </c>
    </row>
    <row r="82" spans="1:41" s="116" customFormat="1" ht="13.95" customHeight="1">
      <c r="A82" s="308"/>
      <c r="B82" s="308"/>
      <c r="C82" s="60"/>
      <c r="D82" s="293"/>
      <c r="E82" s="293"/>
      <c r="F82" s="293"/>
      <c r="G82" s="293"/>
      <c r="H82" s="454"/>
      <c r="I82" s="454"/>
      <c r="J82" s="454"/>
      <c r="K82" s="454"/>
      <c r="L82" s="454"/>
      <c r="M82" s="454"/>
      <c r="N82" s="454"/>
      <c r="O82" s="454"/>
      <c r="P82" s="454"/>
      <c r="Q82" s="454"/>
      <c r="R82" s="454"/>
      <c r="S82" s="454"/>
      <c r="T82" s="454"/>
      <c r="U82" s="454"/>
      <c r="V82" s="454"/>
      <c r="W82" s="454"/>
      <c r="X82" s="454"/>
      <c r="Y82" s="454"/>
      <c r="Z82" s="454"/>
      <c r="AA82" s="454"/>
      <c r="AB82" s="454"/>
      <c r="AC82" s="454"/>
      <c r="AD82" s="454"/>
      <c r="AE82" s="454"/>
      <c r="AF82" s="454"/>
      <c r="AG82" s="454"/>
      <c r="AH82" s="454"/>
      <c r="AI82" s="454"/>
      <c r="AJ82" s="454"/>
      <c r="AK82" s="454"/>
      <c r="AL82" s="454"/>
      <c r="AM82" s="454"/>
      <c r="AN82" s="454"/>
      <c r="AO82" s="453"/>
    </row>
    <row r="83" spans="1:41" s="77" customFormat="1" ht="13.95" customHeight="1" thickBot="1">
      <c r="A83" s="308"/>
      <c r="B83" s="308"/>
      <c r="C83" s="299" t="s">
        <v>76</v>
      </c>
      <c r="D83" s="301">
        <f t="shared" ref="D83:AI83" si="278">SUM(D82:D82)</f>
        <v>0</v>
      </c>
      <c r="E83" s="301">
        <f t="shared" si="278"/>
        <v>0</v>
      </c>
      <c r="F83" s="301">
        <f t="shared" si="278"/>
        <v>0</v>
      </c>
      <c r="G83" s="293">
        <f t="shared" si="278"/>
        <v>0</v>
      </c>
      <c r="H83" s="301">
        <f t="shared" si="278"/>
        <v>0</v>
      </c>
      <c r="I83" s="301">
        <f t="shared" si="278"/>
        <v>0</v>
      </c>
      <c r="J83" s="301">
        <f t="shared" si="278"/>
        <v>0</v>
      </c>
      <c r="K83" s="301">
        <f t="shared" si="278"/>
        <v>0</v>
      </c>
      <c r="L83" s="301">
        <f t="shared" si="278"/>
        <v>0</v>
      </c>
      <c r="M83" s="301">
        <f t="shared" si="278"/>
        <v>0</v>
      </c>
      <c r="N83" s="301">
        <f t="shared" si="278"/>
        <v>0</v>
      </c>
      <c r="O83" s="301">
        <f t="shared" si="278"/>
        <v>0</v>
      </c>
      <c r="P83" s="301">
        <f t="shared" si="278"/>
        <v>0</v>
      </c>
      <c r="Q83" s="301">
        <f t="shared" si="278"/>
        <v>0</v>
      </c>
      <c r="R83" s="301">
        <f t="shared" si="278"/>
        <v>0</v>
      </c>
      <c r="S83" s="301">
        <f t="shared" si="278"/>
        <v>0</v>
      </c>
      <c r="T83" s="301">
        <f t="shared" si="278"/>
        <v>0</v>
      </c>
      <c r="U83" s="301">
        <f t="shared" si="278"/>
        <v>0</v>
      </c>
      <c r="V83" s="301">
        <f t="shared" si="278"/>
        <v>0</v>
      </c>
      <c r="W83" s="301">
        <f t="shared" si="278"/>
        <v>0</v>
      </c>
      <c r="X83" s="301">
        <f t="shared" si="278"/>
        <v>0</v>
      </c>
      <c r="Y83" s="301">
        <f t="shared" si="278"/>
        <v>0</v>
      </c>
      <c r="Z83" s="301">
        <f t="shared" si="278"/>
        <v>0</v>
      </c>
      <c r="AA83" s="301">
        <f t="shared" si="278"/>
        <v>0</v>
      </c>
      <c r="AB83" s="301">
        <f t="shared" si="278"/>
        <v>0</v>
      </c>
      <c r="AC83" s="301">
        <f t="shared" si="278"/>
        <v>0</v>
      </c>
      <c r="AD83" s="301">
        <f t="shared" si="278"/>
        <v>0</v>
      </c>
      <c r="AE83" s="301">
        <f t="shared" si="278"/>
        <v>0</v>
      </c>
      <c r="AF83" s="301">
        <f t="shared" si="278"/>
        <v>0</v>
      </c>
      <c r="AG83" s="301">
        <f t="shared" si="278"/>
        <v>0</v>
      </c>
      <c r="AH83" s="301">
        <f t="shared" si="278"/>
        <v>0</v>
      </c>
      <c r="AI83" s="301">
        <f t="shared" si="278"/>
        <v>0</v>
      </c>
      <c r="AJ83" s="301">
        <f t="shared" ref="AJ83:AN83" si="279">SUM(AJ82:AJ82)</f>
        <v>0</v>
      </c>
      <c r="AK83" s="301">
        <f t="shared" si="279"/>
        <v>0</v>
      </c>
      <c r="AL83" s="301">
        <f t="shared" si="279"/>
        <v>0</v>
      </c>
      <c r="AM83" s="301">
        <f t="shared" si="279"/>
        <v>0</v>
      </c>
      <c r="AN83" s="301">
        <f t="shared" si="279"/>
        <v>0</v>
      </c>
    </row>
    <row r="84" spans="1:41" s="77" customFormat="1" ht="13.95" customHeight="1">
      <c r="A84" s="308"/>
      <c r="B84" s="308"/>
      <c r="C84" s="93" t="s">
        <v>64</v>
      </c>
      <c r="D84" s="117"/>
      <c r="E84" s="117"/>
      <c r="F84" s="117"/>
    </row>
    <row r="86" spans="1:41" ht="13.95" customHeight="1">
      <c r="A86" s="308"/>
      <c r="B86" s="308"/>
      <c r="C86" s="82" t="str">
        <f>CONCATENATE('Lead QE'!C25,") ",'Lead QE'!B25)</f>
        <v>10) [Input adjustment]</v>
      </c>
      <c r="D86" s="108"/>
      <c r="E86" s="108"/>
      <c r="F86" s="108"/>
      <c r="G86" s="108"/>
      <c r="H86" s="109"/>
      <c r="I86" s="110"/>
      <c r="J86" s="110"/>
      <c r="K86" s="110"/>
      <c r="L86" s="110"/>
      <c r="M86" s="110"/>
      <c r="N86" s="110"/>
      <c r="O86" s="110"/>
      <c r="P86" s="110"/>
      <c r="Q86" s="110"/>
      <c r="R86" s="110"/>
      <c r="S86" s="110"/>
      <c r="T86" s="109"/>
      <c r="U86" s="110"/>
      <c r="V86" s="110"/>
      <c r="W86" s="110"/>
      <c r="X86" s="110"/>
      <c r="Y86" s="110"/>
      <c r="Z86" s="110"/>
      <c r="AA86" s="110"/>
      <c r="AB86" s="110"/>
      <c r="AC86" s="110"/>
      <c r="AD86" s="110"/>
      <c r="AE86" s="110"/>
      <c r="AF86" s="110"/>
      <c r="AG86" s="110"/>
      <c r="AH86" s="110"/>
      <c r="AI86" s="110"/>
      <c r="AJ86" s="110"/>
      <c r="AK86" s="110"/>
      <c r="AL86" s="110"/>
      <c r="AM86" s="110"/>
      <c r="AN86" s="110"/>
    </row>
    <row r="87" spans="1:41" s="77" customFormat="1" ht="23.1" customHeight="1" thickBot="1">
      <c r="A87" s="308"/>
      <c r="B87" s="308"/>
      <c r="C87" s="251" t="s">
        <v>7</v>
      </c>
      <c r="D87" s="297">
        <f>First_Reporting_Year</f>
        <v>44926</v>
      </c>
      <c r="E87" s="297">
        <f>Second_Reporting_Year</f>
        <v>45291</v>
      </c>
      <c r="F87" s="296">
        <f>Stub_Period</f>
        <v>45565</v>
      </c>
      <c r="G87" s="254"/>
      <c r="H87" s="249">
        <f>EOMONTH(D87,-11)</f>
        <v>44592</v>
      </c>
      <c r="I87" s="249">
        <f t="shared" ref="I87" si="280">EOMONTH(H87,1)</f>
        <v>44620</v>
      </c>
      <c r="J87" s="249">
        <f t="shared" ref="J87" si="281">EOMONTH(I87,1)</f>
        <v>44651</v>
      </c>
      <c r="K87" s="249">
        <f t="shared" ref="K87" si="282">EOMONTH(J87,1)</f>
        <v>44681</v>
      </c>
      <c r="L87" s="249">
        <f t="shared" ref="L87" si="283">EOMONTH(K87,1)</f>
        <v>44712</v>
      </c>
      <c r="M87" s="249">
        <f t="shared" ref="M87" si="284">EOMONTH(L87,1)</f>
        <v>44742</v>
      </c>
      <c r="N87" s="249">
        <f t="shared" ref="N87" si="285">EOMONTH(M87,1)</f>
        <v>44773</v>
      </c>
      <c r="O87" s="249">
        <f t="shared" ref="O87" si="286">EOMONTH(N87,1)</f>
        <v>44804</v>
      </c>
      <c r="P87" s="249">
        <f t="shared" ref="P87" si="287">EOMONTH(O87,1)</f>
        <v>44834</v>
      </c>
      <c r="Q87" s="249">
        <f t="shared" ref="Q87" si="288">EOMONTH(P87,1)</f>
        <v>44865</v>
      </c>
      <c r="R87" s="249">
        <f t="shared" ref="R87" si="289">EOMONTH(Q87,1)</f>
        <v>44895</v>
      </c>
      <c r="S87" s="249">
        <f t="shared" ref="S87" si="290">EOMONTH(R87,1)</f>
        <v>44926</v>
      </c>
      <c r="T87" s="249">
        <f t="shared" ref="T87" si="291">EOMONTH(S87,1)</f>
        <v>44957</v>
      </c>
      <c r="U87" s="249">
        <f t="shared" ref="U87" si="292">EOMONTH(T87,1)</f>
        <v>44985</v>
      </c>
      <c r="V87" s="249">
        <f t="shared" ref="V87" si="293">EOMONTH(U87,1)</f>
        <v>45016</v>
      </c>
      <c r="W87" s="249">
        <f t="shared" ref="W87" si="294">EOMONTH(V87,1)</f>
        <v>45046</v>
      </c>
      <c r="X87" s="249">
        <f t="shared" ref="X87" si="295">EOMONTH(W87,1)</f>
        <v>45077</v>
      </c>
      <c r="Y87" s="249">
        <f t="shared" ref="Y87" si="296">EOMONTH(X87,1)</f>
        <v>45107</v>
      </c>
      <c r="Z87" s="249">
        <f t="shared" ref="Z87" si="297">EOMONTH(Y87,1)</f>
        <v>45138</v>
      </c>
      <c r="AA87" s="249">
        <f t="shared" ref="AA87" si="298">EOMONTH(Z87,1)</f>
        <v>45169</v>
      </c>
      <c r="AB87" s="249">
        <f t="shared" ref="AB87" si="299">EOMONTH(AA87,1)</f>
        <v>45199</v>
      </c>
      <c r="AC87" s="249">
        <f t="shared" ref="AC87" si="300">EOMONTH(AB87,1)</f>
        <v>45230</v>
      </c>
      <c r="AD87" s="249">
        <f t="shared" ref="AD87" si="301">EOMONTH(AC87,1)</f>
        <v>45260</v>
      </c>
      <c r="AE87" s="249">
        <f t="shared" ref="AE87" si="302">EOMONTH(AD87,1)</f>
        <v>45291</v>
      </c>
      <c r="AF87" s="249">
        <f t="shared" ref="AF87" si="303">EOMONTH(AE87,1)</f>
        <v>45322</v>
      </c>
      <c r="AG87" s="249">
        <f t="shared" ref="AG87" si="304">EOMONTH(AF87,1)</f>
        <v>45351</v>
      </c>
      <c r="AH87" s="249">
        <f t="shared" ref="AH87" si="305">EOMONTH(AG87,1)</f>
        <v>45382</v>
      </c>
      <c r="AI87" s="249">
        <f t="shared" ref="AI87:AJ87" si="306">EOMONTH(AH87,1)</f>
        <v>45412</v>
      </c>
      <c r="AJ87" s="249">
        <f t="shared" si="306"/>
        <v>45443</v>
      </c>
      <c r="AK87" s="249">
        <f t="shared" ref="AK87" si="307">EOMONTH(AJ87,1)</f>
        <v>45473</v>
      </c>
      <c r="AL87" s="249">
        <f t="shared" ref="AL87" si="308">EOMONTH(AK87,1)</f>
        <v>45504</v>
      </c>
      <c r="AM87" s="249">
        <f t="shared" ref="AM87" si="309">EOMONTH(AL87,1)</f>
        <v>45535</v>
      </c>
      <c r="AN87" s="249">
        <f t="shared" ref="AN87" si="310">EOMONTH(AM87,1)</f>
        <v>45565</v>
      </c>
    </row>
    <row r="88" spans="1:41" s="116" customFormat="1" ht="13.95" customHeight="1">
      <c r="A88" s="308"/>
      <c r="B88" s="308"/>
      <c r="C88" s="60"/>
      <c r="D88" s="293">
        <f t="shared" ref="D88:E90" si="311">SUMIFS($H88:$AN88,$H$5:$AN$5,"&gt;"&amp;EOMONTH(D$5,-12),$H$5:$AN$5,"&lt;="&amp;D$5)</f>
        <v>0</v>
      </c>
      <c r="E88" s="293">
        <f t="shared" si="311"/>
        <v>0</v>
      </c>
      <c r="F88" s="293">
        <f>SUMIFS($H88:$AQ88,$H$5:$AQ$5,"&gt;"&amp;EOMONTH(F$5,-12),$H$5:$AQ$5,"&lt;="&amp;F$5)</f>
        <v>0</v>
      </c>
      <c r="G88" s="293"/>
      <c r="H88" s="454"/>
      <c r="I88" s="454"/>
      <c r="J88" s="454"/>
      <c r="K88" s="454"/>
      <c r="L88" s="454"/>
      <c r="M88" s="454"/>
      <c r="N88" s="454"/>
      <c r="O88" s="454"/>
      <c r="P88" s="454"/>
      <c r="Q88" s="454"/>
      <c r="R88" s="454"/>
      <c r="S88" s="454"/>
      <c r="T88" s="454"/>
      <c r="U88" s="454"/>
      <c r="V88" s="454"/>
      <c r="W88" s="454"/>
      <c r="X88" s="454"/>
      <c r="Y88" s="454"/>
      <c r="Z88" s="454"/>
      <c r="AA88" s="454"/>
      <c r="AB88" s="454"/>
      <c r="AC88" s="454"/>
      <c r="AD88" s="454"/>
      <c r="AE88" s="454"/>
      <c r="AF88" s="454"/>
      <c r="AG88" s="454"/>
      <c r="AH88" s="454"/>
      <c r="AI88" s="454"/>
      <c r="AJ88" s="454"/>
      <c r="AK88" s="454"/>
      <c r="AL88" s="454"/>
      <c r="AM88" s="454"/>
      <c r="AN88" s="454"/>
      <c r="AO88" s="453"/>
    </row>
    <row r="89" spans="1:41" s="116" customFormat="1" ht="13.95" customHeight="1">
      <c r="A89" s="308"/>
      <c r="B89" s="308"/>
      <c r="C89" s="60"/>
      <c r="D89" s="293">
        <f t="shared" si="311"/>
        <v>0</v>
      </c>
      <c r="E89" s="293">
        <f t="shared" si="311"/>
        <v>0</v>
      </c>
      <c r="F89" s="293">
        <f>SUMIFS($H89:$AQ89,$H$5:$AQ$5,"&gt;"&amp;EOMONTH(F$5,-12),$H$5:$AQ$5,"&lt;="&amp;F$5)</f>
        <v>0</v>
      </c>
      <c r="G89" s="293"/>
      <c r="H89" s="454"/>
      <c r="I89" s="454"/>
      <c r="J89" s="454"/>
      <c r="K89" s="454"/>
      <c r="L89" s="454"/>
      <c r="M89" s="454"/>
      <c r="N89" s="454"/>
      <c r="O89" s="454"/>
      <c r="P89" s="454"/>
      <c r="Q89" s="454"/>
      <c r="R89" s="454"/>
      <c r="S89" s="454"/>
      <c r="T89" s="454"/>
      <c r="U89" s="454"/>
      <c r="V89" s="454"/>
      <c r="W89" s="454"/>
      <c r="X89" s="454"/>
      <c r="Y89" s="454"/>
      <c r="Z89" s="454"/>
      <c r="AA89" s="454"/>
      <c r="AB89" s="454"/>
      <c r="AC89" s="454"/>
      <c r="AD89" s="454"/>
      <c r="AE89" s="454"/>
      <c r="AF89" s="454"/>
      <c r="AG89" s="454"/>
      <c r="AH89" s="454"/>
      <c r="AI89" s="454"/>
      <c r="AJ89" s="454"/>
      <c r="AK89" s="454"/>
      <c r="AL89" s="454"/>
      <c r="AM89" s="454"/>
      <c r="AN89" s="454"/>
      <c r="AO89" s="453"/>
    </row>
    <row r="90" spans="1:41" s="116" customFormat="1" ht="13.95" customHeight="1">
      <c r="A90" s="308"/>
      <c r="B90" s="308"/>
      <c r="C90" s="60"/>
      <c r="D90" s="293">
        <f t="shared" si="311"/>
        <v>0</v>
      </c>
      <c r="E90" s="293">
        <f t="shared" si="311"/>
        <v>0</v>
      </c>
      <c r="F90" s="293">
        <f>SUMIFS($H90:$AQ90,$H$5:$AQ$5,"&gt;"&amp;EOMONTH(F$5,-12),$H$5:$AQ$5,"&lt;="&amp;F$5)</f>
        <v>0</v>
      </c>
      <c r="G90" s="293"/>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454"/>
      <c r="AL90" s="454"/>
      <c r="AM90" s="454"/>
      <c r="AN90" s="454"/>
      <c r="AO90" s="453"/>
    </row>
    <row r="91" spans="1:41" s="77" customFormat="1" ht="13.95" customHeight="1" thickBot="1">
      <c r="A91" s="308"/>
      <c r="B91" s="308" t="s">
        <v>1</v>
      </c>
      <c r="C91" s="299" t="s">
        <v>76</v>
      </c>
      <c r="D91" s="301">
        <f>SUM(D88:D90)</f>
        <v>0</v>
      </c>
      <c r="E91" s="301">
        <f t="shared" ref="E91:G91" si="312">SUM(E88:E90)</f>
        <v>0</v>
      </c>
      <c r="F91" s="301">
        <f t="shared" si="312"/>
        <v>0</v>
      </c>
      <c r="G91" s="293">
        <f t="shared" si="312"/>
        <v>0</v>
      </c>
      <c r="H91" s="301">
        <f>SUM(H88:H90)</f>
        <v>0</v>
      </c>
      <c r="I91" s="301">
        <f t="shared" ref="I91:AI91" si="313">SUM(I88:I90)</f>
        <v>0</v>
      </c>
      <c r="J91" s="301">
        <f t="shared" si="313"/>
        <v>0</v>
      </c>
      <c r="K91" s="301">
        <f t="shared" si="313"/>
        <v>0</v>
      </c>
      <c r="L91" s="301">
        <f t="shared" si="313"/>
        <v>0</v>
      </c>
      <c r="M91" s="301">
        <f t="shared" si="313"/>
        <v>0</v>
      </c>
      <c r="N91" s="301">
        <f t="shared" si="313"/>
        <v>0</v>
      </c>
      <c r="O91" s="301">
        <f t="shared" si="313"/>
        <v>0</v>
      </c>
      <c r="P91" s="301">
        <f t="shared" si="313"/>
        <v>0</v>
      </c>
      <c r="Q91" s="301">
        <f t="shared" si="313"/>
        <v>0</v>
      </c>
      <c r="R91" s="301">
        <f t="shared" si="313"/>
        <v>0</v>
      </c>
      <c r="S91" s="301">
        <f t="shared" si="313"/>
        <v>0</v>
      </c>
      <c r="T91" s="301">
        <f t="shared" si="313"/>
        <v>0</v>
      </c>
      <c r="U91" s="301">
        <f t="shared" si="313"/>
        <v>0</v>
      </c>
      <c r="V91" s="301">
        <f t="shared" si="313"/>
        <v>0</v>
      </c>
      <c r="W91" s="301">
        <f t="shared" si="313"/>
        <v>0</v>
      </c>
      <c r="X91" s="301">
        <f t="shared" si="313"/>
        <v>0</v>
      </c>
      <c r="Y91" s="301">
        <f t="shared" si="313"/>
        <v>0</v>
      </c>
      <c r="Z91" s="301">
        <f t="shared" si="313"/>
        <v>0</v>
      </c>
      <c r="AA91" s="301">
        <f t="shared" si="313"/>
        <v>0</v>
      </c>
      <c r="AB91" s="301">
        <f t="shared" si="313"/>
        <v>0</v>
      </c>
      <c r="AC91" s="301">
        <f t="shared" si="313"/>
        <v>0</v>
      </c>
      <c r="AD91" s="301">
        <f t="shared" si="313"/>
        <v>0</v>
      </c>
      <c r="AE91" s="301">
        <f t="shared" si="313"/>
        <v>0</v>
      </c>
      <c r="AF91" s="301">
        <f t="shared" si="313"/>
        <v>0</v>
      </c>
      <c r="AG91" s="301">
        <f t="shared" si="313"/>
        <v>0</v>
      </c>
      <c r="AH91" s="301">
        <f t="shared" si="313"/>
        <v>0</v>
      </c>
      <c r="AI91" s="301">
        <f t="shared" si="313"/>
        <v>0</v>
      </c>
      <c r="AJ91" s="301">
        <f t="shared" ref="AJ91:AN91" si="314">SUM(AJ88:AJ90)</f>
        <v>0</v>
      </c>
      <c r="AK91" s="301">
        <f t="shared" si="314"/>
        <v>0</v>
      </c>
      <c r="AL91" s="301">
        <f t="shared" si="314"/>
        <v>0</v>
      </c>
      <c r="AM91" s="301">
        <f t="shared" si="314"/>
        <v>0</v>
      </c>
      <c r="AN91" s="301">
        <f t="shared" si="314"/>
        <v>0</v>
      </c>
    </row>
    <row r="92" spans="1:41" s="77" customFormat="1" ht="13.95" customHeight="1">
      <c r="A92" s="308"/>
      <c r="B92" s="308"/>
      <c r="C92" s="93" t="s">
        <v>64</v>
      </c>
      <c r="D92" s="117"/>
      <c r="E92" s="117"/>
      <c r="F92" s="117"/>
    </row>
  </sheetData>
  <pageMargins left="0.55118110236220497" right="0.55118110236220497" top="0.39370078740157499" bottom="0.55118110236220497" header="0.31496062992126" footer="0.31496062992126"/>
  <pageSetup scale="42" fitToHeight="0" orientation="landscape" r:id="rId1"/>
  <headerFooter scaleWithDoc="0" alignWithMargins="0">
    <oddHeader>&amp;R&amp;11DRAFT</oddHeader>
    <oddFooter xml:space="preserve">&amp;LPage &amp;P    </oddFooter>
  </headerFooter>
  <rowBreaks count="1" manualBreakCount="1">
    <brk id="40" max="39" man="1"/>
  </rowBreaks>
  <ignoredErrors>
    <ignoredError sqref="D23:F25 D41:F42 D46 F46 D47:F48 D38:F38 D22" formulaRange="1"/>
  </ignoredErrors>
</worksheet>
</file>

<file path=xl/worksheets/sheet8.xml><?xml version="1.0" encoding="utf-8"?>
<worksheet xmlns="http://schemas.openxmlformats.org/spreadsheetml/2006/main" xmlns:r="http://schemas.openxmlformats.org/officeDocument/2006/relationships">
  <sheetPr codeName="Sheet20">
    <tabColor rgb="FF262261"/>
  </sheetPr>
  <dimension ref="A10"/>
  <sheetViews>
    <sheetView showGridLines="0" view="pageBreakPreview" zoomScaleNormal="100" zoomScaleSheetLayoutView="100" workbookViewId="0">
      <selection activeCell="A18" sqref="A18"/>
    </sheetView>
  </sheetViews>
  <sheetFormatPr defaultColWidth="7" defaultRowHeight="10.199999999999999"/>
  <cols>
    <col min="1" max="1" width="88.19921875" style="6" customWidth="1"/>
    <col min="2" max="16384" width="7" style="6"/>
  </cols>
  <sheetData>
    <row r="10" spans="1:1" ht="55.2" customHeight="1">
      <c r="A10" s="71" t="str">
        <f ca="1">RIGHT(CELL("filename",A1),LEN(CELL("filename",A1))-FIND("]",CELL("filename",A1)))</f>
        <v>Recast PLs &gt;&gt;&gt;</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sheetPr codeName="Sheet21">
    <pageSetUpPr autoPageBreaks="0" fitToPage="1"/>
  </sheetPr>
  <dimension ref="A1:AM100"/>
  <sheetViews>
    <sheetView showGridLines="0" view="pageBreakPreview" zoomScaleNormal="100" zoomScaleSheetLayoutView="100" workbookViewId="0">
      <pane xSplit="5" ySplit="5" topLeftCell="Z6" activePane="bottomRight" state="frozen"/>
      <selection activeCell="B1" sqref="B1"/>
      <selection pane="topRight" activeCell="G1" sqref="G1"/>
      <selection pane="bottomLeft" activeCell="B6" sqref="B6"/>
      <selection pane="bottomRight" activeCell="AO10" sqref="AO10"/>
    </sheetView>
  </sheetViews>
  <sheetFormatPr defaultColWidth="2.59765625" defaultRowHeight="13.95" customHeight="1" outlineLevelRow="1" outlineLevelCol="1"/>
  <cols>
    <col min="1" max="1" width="17.59765625" style="212" customWidth="1" outlineLevel="1"/>
    <col min="2" max="2" width="27.69921875" style="217" customWidth="1"/>
    <col min="3" max="5" width="5.69921875" style="215" customWidth="1"/>
    <col min="6" max="6" width="1.59765625" style="215" customWidth="1"/>
    <col min="7" max="10" width="5.59765625" style="215" customWidth="1" outlineLevel="1"/>
    <col min="11" max="11" width="6" style="215" customWidth="1" outlineLevel="1"/>
    <col min="12" max="13" width="5.59765625" style="215" customWidth="1" outlineLevel="1"/>
    <col min="14" max="14" width="6" style="215" customWidth="1" outlineLevel="1"/>
    <col min="15" max="30" width="5.59765625" style="215" customWidth="1" outlineLevel="1"/>
    <col min="31" max="39" width="5.59765625" style="215" customWidth="1"/>
    <col min="40" max="16384" width="2.59765625" style="215"/>
  </cols>
  <sheetData>
    <row r="1" spans="1:39" ht="13.95" customHeight="1">
      <c r="A1" s="311"/>
      <c r="B1" s="83" t="str">
        <f>Project&amp;" - "&amp;City&amp;", "&amp;State</f>
        <v>OPEN - OPEN, OPEN</v>
      </c>
      <c r="C1" s="213"/>
      <c r="D1" s="213"/>
      <c r="E1" s="214"/>
      <c r="F1" s="213"/>
      <c r="G1" s="213"/>
      <c r="H1" s="213"/>
      <c r="I1" s="213"/>
      <c r="J1" s="213"/>
      <c r="K1" s="213"/>
      <c r="L1" s="213"/>
      <c r="M1" s="213"/>
      <c r="N1" s="213"/>
    </row>
    <row r="2" spans="1:39" s="213" customFormat="1" ht="13.95" customHeight="1">
      <c r="A2" s="311"/>
      <c r="B2" s="432" t="str">
        <f ca="1">MID(CELL("filename",B1),FIND("]",CELL("filename",B1))+1,255)</f>
        <v>Recast Reported</v>
      </c>
    </row>
    <row r="3" spans="1:39" s="216" customFormat="1" ht="13.95" customHeight="1">
      <c r="A3" s="311"/>
      <c r="B3" s="49"/>
    </row>
    <row r="4" spans="1:39" s="220" customFormat="1" ht="13.95" customHeight="1">
      <c r="A4" s="310" t="s">
        <v>99</v>
      </c>
      <c r="B4" s="82" t="s">
        <v>67</v>
      </c>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row>
    <row r="5" spans="1:39" s="260" customFormat="1" ht="13.5" customHeight="1" thickBot="1">
      <c r="A5" s="389"/>
      <c r="B5" s="261" t="s">
        <v>7</v>
      </c>
      <c r="C5" s="297">
        <f>First_Reporting_Year</f>
        <v>44926</v>
      </c>
      <c r="D5" s="297">
        <f>Second_Reporting_Year</f>
        <v>45291</v>
      </c>
      <c r="E5" s="296">
        <f>Stub_Period</f>
        <v>45565</v>
      </c>
      <c r="F5" s="259"/>
      <c r="G5" s="249">
        <f>EOMONTH(C5,-11)</f>
        <v>44592</v>
      </c>
      <c r="H5" s="249">
        <f t="shared" ref="H5" si="0">EOMONTH(G5,1)</f>
        <v>44620</v>
      </c>
      <c r="I5" s="249">
        <f t="shared" ref="I5" si="1">EOMONTH(H5,1)</f>
        <v>44651</v>
      </c>
      <c r="J5" s="249">
        <f t="shared" ref="J5" si="2">EOMONTH(I5,1)</f>
        <v>44681</v>
      </c>
      <c r="K5" s="249">
        <f t="shared" ref="K5" si="3">EOMONTH(J5,1)</f>
        <v>44712</v>
      </c>
      <c r="L5" s="249">
        <f t="shared" ref="L5" si="4">EOMONTH(K5,1)</f>
        <v>44742</v>
      </c>
      <c r="M5" s="249">
        <f t="shared" ref="M5" si="5">EOMONTH(L5,1)</f>
        <v>44773</v>
      </c>
      <c r="N5" s="249">
        <f t="shared" ref="N5" si="6">EOMONTH(M5,1)</f>
        <v>44804</v>
      </c>
      <c r="O5" s="249">
        <f t="shared" ref="O5" si="7">EOMONTH(N5,1)</f>
        <v>44834</v>
      </c>
      <c r="P5" s="249">
        <f t="shared" ref="P5" si="8">EOMONTH(O5,1)</f>
        <v>44865</v>
      </c>
      <c r="Q5" s="249">
        <f t="shared" ref="Q5" si="9">EOMONTH(P5,1)</f>
        <v>44895</v>
      </c>
      <c r="R5" s="249">
        <f t="shared" ref="R5" si="10">EOMONTH(Q5,1)</f>
        <v>44926</v>
      </c>
      <c r="S5" s="249">
        <f t="shared" ref="S5" si="11">EOMONTH(R5,1)</f>
        <v>44957</v>
      </c>
      <c r="T5" s="249">
        <f t="shared" ref="T5" si="12">EOMONTH(S5,1)</f>
        <v>44985</v>
      </c>
      <c r="U5" s="249">
        <f t="shared" ref="U5" si="13">EOMONTH(T5,1)</f>
        <v>45016</v>
      </c>
      <c r="V5" s="249">
        <f t="shared" ref="V5" si="14">EOMONTH(U5,1)</f>
        <v>45046</v>
      </c>
      <c r="W5" s="249">
        <f t="shared" ref="W5" si="15">EOMONTH(V5,1)</f>
        <v>45077</v>
      </c>
      <c r="X5" s="249">
        <f t="shared" ref="X5" si="16">EOMONTH(W5,1)</f>
        <v>45107</v>
      </c>
      <c r="Y5" s="249">
        <f t="shared" ref="Y5" si="17">EOMONTH(X5,1)</f>
        <v>45138</v>
      </c>
      <c r="Z5" s="249">
        <f t="shared" ref="Z5" si="18">EOMONTH(Y5,1)</f>
        <v>45169</v>
      </c>
      <c r="AA5" s="249">
        <f t="shared" ref="AA5" si="19">EOMONTH(Z5,1)</f>
        <v>45199</v>
      </c>
      <c r="AB5" s="249">
        <f t="shared" ref="AB5" si="20">EOMONTH(AA5,1)</f>
        <v>45230</v>
      </c>
      <c r="AC5" s="249">
        <f t="shared" ref="AC5" si="21">EOMONTH(AB5,1)</f>
        <v>45260</v>
      </c>
      <c r="AD5" s="249">
        <f t="shared" ref="AD5" si="22">EOMONTH(AC5,1)</f>
        <v>45291</v>
      </c>
      <c r="AE5" s="249">
        <f t="shared" ref="AE5" si="23">EOMONTH(AD5,1)</f>
        <v>45322</v>
      </c>
      <c r="AF5" s="249">
        <f t="shared" ref="AF5" si="24">EOMONTH(AE5,1)</f>
        <v>45351</v>
      </c>
      <c r="AG5" s="249">
        <f t="shared" ref="AG5" si="25">EOMONTH(AF5,1)</f>
        <v>45382</v>
      </c>
      <c r="AH5" s="249">
        <f t="shared" ref="AH5" si="26">EOMONTH(AG5,1)</f>
        <v>45412</v>
      </c>
      <c r="AI5" s="249">
        <f t="shared" ref="AI5" si="27">EOMONTH(AH5,1)</f>
        <v>45443</v>
      </c>
      <c r="AJ5" s="249">
        <f t="shared" ref="AJ5" si="28">EOMONTH(AI5,1)</f>
        <v>45473</v>
      </c>
      <c r="AK5" s="249">
        <f t="shared" ref="AK5" si="29">EOMONTH(AJ5,1)</f>
        <v>45504</v>
      </c>
      <c r="AL5" s="249">
        <f t="shared" ref="AL5" si="30">EOMONTH(AK5,1)</f>
        <v>45535</v>
      </c>
      <c r="AM5" s="249">
        <f t="shared" ref="AM5" si="31">EOMONTH(AL5,1)</f>
        <v>45565</v>
      </c>
    </row>
    <row r="6" spans="1:39" s="262" customFormat="1" ht="13.95" customHeight="1">
      <c r="A6" s="311" t="s">
        <v>12</v>
      </c>
      <c r="B6" s="302" t="s">
        <v>12</v>
      </c>
      <c r="C6" s="304">
        <f>SUMIFS($G6:$BC6,$G$5:$BC$5,"&lt;="&amp;EOMONTH(C$5,0),$G$6:$BC$6,"&lt;="&amp;C$5)</f>
        <v>0</v>
      </c>
      <c r="D6" s="304">
        <f t="shared" ref="D6:E9" si="32">SUMIFS($G6:$AT6,$G$5:$AT$5,"&gt;"&amp;EOMONTH(D$5,-12),$G$5:$AT$5,"&lt;="&amp;D$5)</f>
        <v>0</v>
      </c>
      <c r="E6" s="304">
        <f t="shared" si="32"/>
        <v>0</v>
      </c>
      <c r="F6" s="342"/>
      <c r="G6" s="342">
        <f>SUMIFS(PL!L:L,PL!$B:$B,$B6)</f>
        <v>0</v>
      </c>
      <c r="H6" s="342">
        <f>SUMIFS(PL!M:M,PL!$B:$B,$B6)</f>
        <v>0</v>
      </c>
      <c r="I6" s="342">
        <f>SUMIFS(PL!N:N,PL!$B:$B,$B6)</f>
        <v>0</v>
      </c>
      <c r="J6" s="342">
        <f>SUMIFS(PL!O:O,PL!$B:$B,$B6)</f>
        <v>0</v>
      </c>
      <c r="K6" s="342">
        <f>SUMIFS(PL!P:P,PL!$B:$B,$B6)</f>
        <v>0</v>
      </c>
      <c r="L6" s="342">
        <f>SUMIFS(PL!Q:Q,PL!$B:$B,$B6)</f>
        <v>0</v>
      </c>
      <c r="M6" s="342">
        <f>SUMIFS(PL!R:R,PL!$B:$B,$B6)</f>
        <v>0</v>
      </c>
      <c r="N6" s="342">
        <f>SUMIFS(PL!S:S,PL!$B:$B,$B6)</f>
        <v>0</v>
      </c>
      <c r="O6" s="342">
        <f>SUMIFS(PL!T:T,PL!$B:$B,$B6)</f>
        <v>0</v>
      </c>
      <c r="P6" s="342">
        <f>SUMIFS(PL!U:U,PL!$B:$B,$B6)</f>
        <v>0</v>
      </c>
      <c r="Q6" s="342">
        <f>SUMIFS(PL!V:V,PL!$B:$B,$B6)</f>
        <v>0</v>
      </c>
      <c r="R6" s="342">
        <f>SUMIFS(PL!W:W,PL!$B:$B,$B6)</f>
        <v>0</v>
      </c>
      <c r="S6" s="342">
        <f>SUMIFS(PL!X:X,PL!$B:$B,$B6)</f>
        <v>0</v>
      </c>
      <c r="T6" s="342">
        <f>SUMIFS(PL!Y:Y,PL!$B:$B,$B6)</f>
        <v>0</v>
      </c>
      <c r="U6" s="342">
        <f>SUMIFS(PL!Z:Z,PL!$B:$B,$B6)</f>
        <v>0</v>
      </c>
      <c r="V6" s="342">
        <f>SUMIFS(PL!AA:AA,PL!$B:$B,$B6)</f>
        <v>0</v>
      </c>
      <c r="W6" s="342">
        <f>SUMIFS(PL!AB:AB,PL!$B:$B,$B6)</f>
        <v>0</v>
      </c>
      <c r="X6" s="342">
        <f>SUMIFS(PL!AC:AC,PL!$B:$B,$B6)</f>
        <v>0</v>
      </c>
      <c r="Y6" s="342">
        <f>SUMIFS(PL!AD:AD,PL!$B:$B,$B6)</f>
        <v>0</v>
      </c>
      <c r="Z6" s="342">
        <f>SUMIFS(PL!AE:AE,PL!$B:$B,$B6)</f>
        <v>0</v>
      </c>
      <c r="AA6" s="342">
        <f>SUMIFS(PL!AF:AF,PL!$B:$B,$B6)</f>
        <v>0</v>
      </c>
      <c r="AB6" s="342">
        <f>SUMIFS(PL!AG:AG,PL!$B:$B,$B6)</f>
        <v>0</v>
      </c>
      <c r="AC6" s="342">
        <f>SUMIFS(PL!AH:AH,PL!$B:$B,$B6)</f>
        <v>0</v>
      </c>
      <c r="AD6" s="342">
        <f>SUMIFS(PL!AI:AI,PL!$B:$B,$B6)</f>
        <v>0</v>
      </c>
      <c r="AE6" s="342">
        <f>SUMIFS(PL!AJ:AJ,PL!$B:$B,$B6)</f>
        <v>0</v>
      </c>
      <c r="AF6" s="342">
        <f>SUMIFS(PL!AK:AK,PL!$B:$B,$B6)</f>
        <v>0</v>
      </c>
      <c r="AG6" s="342">
        <f>SUMIFS(PL!AL:AL,PL!$B:$B,$B6)</f>
        <v>0</v>
      </c>
      <c r="AH6" s="342">
        <f>SUMIFS(PL!AM:AM,PL!$B:$B,$B6)</f>
        <v>0</v>
      </c>
      <c r="AI6" s="342">
        <f>SUMIFS(PL!AN:AN,PL!$B:$B,$B6)</f>
        <v>0</v>
      </c>
      <c r="AJ6" s="342">
        <f>SUMIFS(PL!AS:AS,PL!$B:$B,$B6)</f>
        <v>0</v>
      </c>
      <c r="AK6" s="342">
        <f>SUMIFS(PL!AT:AT,PL!$B:$B,$B6)</f>
        <v>0</v>
      </c>
      <c r="AL6" s="342">
        <f>SUMIFS(PL!AU:AU,PL!$B:$B,$B6)</f>
        <v>0</v>
      </c>
      <c r="AM6" s="342">
        <f>SUMIFS(PL!AV:AV,PL!$B:$B,$B6)</f>
        <v>0</v>
      </c>
    </row>
    <row r="7" spans="1:39" s="262" customFormat="1" ht="13.95" customHeight="1">
      <c r="A7" s="311" t="s">
        <v>168</v>
      </c>
      <c r="B7" s="223" t="s">
        <v>168</v>
      </c>
      <c r="C7" s="323">
        <f>SUMIFS($G7:$BC7,$G$5:$BC$5,"&lt;="&amp;EOMONTH(C$5,0),$G$6:$BC$6,"&lt;="&amp;C$5)</f>
        <v>0</v>
      </c>
      <c r="D7" s="323">
        <f t="shared" si="32"/>
        <v>0</v>
      </c>
      <c r="E7" s="323">
        <f t="shared" si="32"/>
        <v>0</v>
      </c>
      <c r="F7" s="334"/>
      <c r="G7" s="335">
        <f>SUMIFS(PL!L:L,PL!$B:$B,$B7)</f>
        <v>0</v>
      </c>
      <c r="H7" s="335">
        <f>SUMIFS(PL!M:M,PL!$B:$B,$B7)</f>
        <v>0</v>
      </c>
      <c r="I7" s="335">
        <f>SUMIFS(PL!N:N,PL!$B:$B,$B7)</f>
        <v>0</v>
      </c>
      <c r="J7" s="335">
        <f>SUMIFS(PL!O:O,PL!$B:$B,$B7)</f>
        <v>0</v>
      </c>
      <c r="K7" s="335">
        <f>SUMIFS(PL!P:P,PL!$B:$B,$B7)</f>
        <v>0</v>
      </c>
      <c r="L7" s="335">
        <f>SUMIFS(PL!Q:Q,PL!$B:$B,$B7)</f>
        <v>0</v>
      </c>
      <c r="M7" s="335">
        <f>SUMIFS(PL!R:R,PL!$B:$B,$B7)</f>
        <v>0</v>
      </c>
      <c r="N7" s="335">
        <f>SUMIFS(PL!S:S,PL!$B:$B,$B7)</f>
        <v>0</v>
      </c>
      <c r="O7" s="335">
        <f>SUMIFS(PL!T:T,PL!$B:$B,$B7)</f>
        <v>0</v>
      </c>
      <c r="P7" s="335">
        <f>SUMIFS(PL!U:U,PL!$B:$B,$B7)</f>
        <v>0</v>
      </c>
      <c r="Q7" s="335">
        <f>SUMIFS(PL!V:V,PL!$B:$B,$B7)</f>
        <v>0</v>
      </c>
      <c r="R7" s="335">
        <f>SUMIFS(PL!W:W,PL!$B:$B,$B7)</f>
        <v>0</v>
      </c>
      <c r="S7" s="335">
        <f>SUMIFS(PL!X:X,PL!$B:$B,$B7)</f>
        <v>0</v>
      </c>
      <c r="T7" s="335">
        <f>SUMIFS(PL!Y:Y,PL!$B:$B,$B7)</f>
        <v>0</v>
      </c>
      <c r="U7" s="335">
        <f>SUMIFS(PL!Z:Z,PL!$B:$B,$B7)</f>
        <v>0</v>
      </c>
      <c r="V7" s="335">
        <f>SUMIFS(PL!AA:AA,PL!$B:$B,$B7)</f>
        <v>0</v>
      </c>
      <c r="W7" s="335">
        <f>SUMIFS(PL!AB:AB,PL!$B:$B,$B7)</f>
        <v>0</v>
      </c>
      <c r="X7" s="335">
        <f>SUMIFS(PL!AC:AC,PL!$B:$B,$B7)</f>
        <v>0</v>
      </c>
      <c r="Y7" s="335">
        <f>SUMIFS(PL!AD:AD,PL!$B:$B,$B7)</f>
        <v>0</v>
      </c>
      <c r="Z7" s="335">
        <f>SUMIFS(PL!AE:AE,PL!$B:$B,$B7)</f>
        <v>0</v>
      </c>
      <c r="AA7" s="335">
        <f>SUMIFS(PL!AF:AF,PL!$B:$B,$B7)</f>
        <v>0</v>
      </c>
      <c r="AB7" s="335">
        <f>SUMIFS(PL!AG:AG,PL!$B:$B,$B7)</f>
        <v>0</v>
      </c>
      <c r="AC7" s="335">
        <f>SUMIFS(PL!AH:AH,PL!$B:$B,$B7)</f>
        <v>0</v>
      </c>
      <c r="AD7" s="335">
        <f>SUMIFS(PL!AI:AI,PL!$B:$B,$B7)</f>
        <v>0</v>
      </c>
      <c r="AE7" s="335">
        <f>SUMIFS(PL!AJ:AJ,PL!$B:$B,$B7)</f>
        <v>0</v>
      </c>
      <c r="AF7" s="335">
        <f>SUMIFS(PL!AK:AK,PL!$B:$B,$B7)</f>
        <v>0</v>
      </c>
      <c r="AG7" s="335">
        <f>SUMIFS(PL!AL:AL,PL!$B:$B,$B7)</f>
        <v>0</v>
      </c>
      <c r="AH7" s="335">
        <f>SUMIFS(PL!AM:AM,PL!$B:$B,$B7)</f>
        <v>0</v>
      </c>
      <c r="AI7" s="335">
        <f>SUMIFS(PL!AN:AN,PL!$B:$B,$B7)</f>
        <v>0</v>
      </c>
      <c r="AJ7" s="335">
        <f>SUMIFS(PL!AS:AS,PL!$B:$B,$B7)</f>
        <v>0</v>
      </c>
      <c r="AK7" s="335">
        <f>SUMIFS(PL!AT:AT,PL!$B:$B,$B7)</f>
        <v>0</v>
      </c>
      <c r="AL7" s="335">
        <f>SUMIFS(PL!AU:AU,PL!$B:$B,$B7)</f>
        <v>0</v>
      </c>
      <c r="AM7" s="335">
        <f>SUMIFS(PL!AV:AV,PL!$B:$B,$B7)</f>
        <v>0</v>
      </c>
    </row>
    <row r="8" spans="1:39" s="262" customFormat="1" ht="13.95" customHeight="1">
      <c r="A8" s="311" t="s">
        <v>169</v>
      </c>
      <c r="B8" s="223" t="s">
        <v>169</v>
      </c>
      <c r="C8" s="323">
        <f>SUMIFS($G8:$BC8,$G$5:$BC$5,"&lt;="&amp;EOMONTH(C$5,0),$G$6:$BC$6,"&lt;="&amp;C$5)</f>
        <v>0</v>
      </c>
      <c r="D8" s="323">
        <f t="shared" si="32"/>
        <v>0</v>
      </c>
      <c r="E8" s="323">
        <f t="shared" si="32"/>
        <v>0</v>
      </c>
      <c r="F8" s="335"/>
      <c r="G8" s="335">
        <f>SUMIFS(PL!L:L,PL!$B:$B,$B8)</f>
        <v>0</v>
      </c>
      <c r="H8" s="335">
        <f>SUMIFS(PL!M:M,PL!$B:$B,$B8)</f>
        <v>0</v>
      </c>
      <c r="I8" s="335">
        <f>SUMIFS(PL!N:N,PL!$B:$B,$B8)</f>
        <v>0</v>
      </c>
      <c r="J8" s="335">
        <f>SUMIFS(PL!O:O,PL!$B:$B,$B8)</f>
        <v>0</v>
      </c>
      <c r="K8" s="335">
        <f>SUMIFS(PL!P:P,PL!$B:$B,$B8)</f>
        <v>0</v>
      </c>
      <c r="L8" s="335">
        <f>SUMIFS(PL!Q:Q,PL!$B:$B,$B8)</f>
        <v>0</v>
      </c>
      <c r="M8" s="335">
        <f>SUMIFS(PL!R:R,PL!$B:$B,$B8)</f>
        <v>0</v>
      </c>
      <c r="N8" s="335">
        <f>SUMIFS(PL!S:S,PL!$B:$B,$B8)</f>
        <v>0</v>
      </c>
      <c r="O8" s="335">
        <f>SUMIFS(PL!T:T,PL!$B:$B,$B8)</f>
        <v>0</v>
      </c>
      <c r="P8" s="335">
        <f>SUMIFS(PL!U:U,PL!$B:$B,$B8)</f>
        <v>0</v>
      </c>
      <c r="Q8" s="335">
        <f>SUMIFS(PL!V:V,PL!$B:$B,$B8)</f>
        <v>0</v>
      </c>
      <c r="R8" s="335">
        <f>SUMIFS(PL!W:W,PL!$B:$B,$B8)</f>
        <v>0</v>
      </c>
      <c r="S8" s="335">
        <f>SUMIFS(PL!X:X,PL!$B:$B,$B8)</f>
        <v>0</v>
      </c>
      <c r="T8" s="335">
        <f>SUMIFS(PL!Y:Y,PL!$B:$B,$B8)</f>
        <v>0</v>
      </c>
      <c r="U8" s="335">
        <f>SUMIFS(PL!Z:Z,PL!$B:$B,$B8)</f>
        <v>0</v>
      </c>
      <c r="V8" s="335">
        <f>SUMIFS(PL!AA:AA,PL!$B:$B,$B8)</f>
        <v>0</v>
      </c>
      <c r="W8" s="335">
        <f>SUMIFS(PL!AB:AB,PL!$B:$B,$B8)</f>
        <v>0</v>
      </c>
      <c r="X8" s="335">
        <f>SUMIFS(PL!AC:AC,PL!$B:$B,$B8)</f>
        <v>0</v>
      </c>
      <c r="Y8" s="335">
        <f>SUMIFS(PL!AD:AD,PL!$B:$B,$B8)</f>
        <v>0</v>
      </c>
      <c r="Z8" s="335">
        <f>SUMIFS(PL!AE:AE,PL!$B:$B,$B8)</f>
        <v>0</v>
      </c>
      <c r="AA8" s="335">
        <f>SUMIFS(PL!AF:AF,PL!$B:$B,$B8)</f>
        <v>0</v>
      </c>
      <c r="AB8" s="335">
        <f>SUMIFS(PL!AG:AG,PL!$B:$B,$B8)</f>
        <v>0</v>
      </c>
      <c r="AC8" s="335">
        <f>SUMIFS(PL!AH:AH,PL!$B:$B,$B8)</f>
        <v>0</v>
      </c>
      <c r="AD8" s="335">
        <f>SUMIFS(PL!AI:AI,PL!$B:$B,$B8)</f>
        <v>0</v>
      </c>
      <c r="AE8" s="335">
        <f>SUMIFS(PL!AJ:AJ,PL!$B:$B,$B8)</f>
        <v>0</v>
      </c>
      <c r="AF8" s="335">
        <f>SUMIFS(PL!AK:AK,PL!$B:$B,$B8)</f>
        <v>0</v>
      </c>
      <c r="AG8" s="335">
        <f>SUMIFS(PL!AL:AL,PL!$B:$B,$B8)</f>
        <v>0</v>
      </c>
      <c r="AH8" s="335">
        <f>SUMIFS(PL!AM:AM,PL!$B:$B,$B8)</f>
        <v>0</v>
      </c>
      <c r="AI8" s="335">
        <f>SUMIFS(PL!AN:AN,PL!$B:$B,$B8)</f>
        <v>0</v>
      </c>
      <c r="AJ8" s="335">
        <f>SUMIFS(PL!AS:AS,PL!$B:$B,$B8)</f>
        <v>0</v>
      </c>
      <c r="AK8" s="335">
        <f>SUMIFS(PL!AT:AT,PL!$B:$B,$B8)</f>
        <v>0</v>
      </c>
      <c r="AL8" s="335">
        <f>SUMIFS(PL!AU:AU,PL!$B:$B,$B8)</f>
        <v>0</v>
      </c>
      <c r="AM8" s="335">
        <f>SUMIFS(PL!AV:AV,PL!$B:$B,$B8)</f>
        <v>0</v>
      </c>
    </row>
    <row r="9" spans="1:39" s="262" customFormat="1" ht="13.95" customHeight="1">
      <c r="A9" s="311" t="s">
        <v>74</v>
      </c>
      <c r="B9" s="424" t="s">
        <v>74</v>
      </c>
      <c r="C9" s="350">
        <f>SUMIFS($G9:$BC9,$G$5:$BC$5,"&lt;="&amp;EOMONTH(C$5,0),$G$6:$BC$6,"&lt;="&amp;C$5)</f>
        <v>0</v>
      </c>
      <c r="D9" s="350">
        <f t="shared" si="32"/>
        <v>0</v>
      </c>
      <c r="E9" s="350">
        <f t="shared" si="32"/>
        <v>0</v>
      </c>
      <c r="F9" s="335"/>
      <c r="G9" s="425">
        <f>SUMIFS(PL!L:L,PL!$B:$B,$B9)</f>
        <v>0</v>
      </c>
      <c r="H9" s="425">
        <f>SUMIFS(PL!M:M,PL!$B:$B,$B9)</f>
        <v>0</v>
      </c>
      <c r="I9" s="425">
        <f>SUMIFS(PL!N:N,PL!$B:$B,$B9)</f>
        <v>0</v>
      </c>
      <c r="J9" s="425">
        <f>SUMIFS(PL!O:O,PL!$B:$B,$B9)</f>
        <v>0</v>
      </c>
      <c r="K9" s="425">
        <f>SUMIFS(PL!P:P,PL!$B:$B,$B9)</f>
        <v>0</v>
      </c>
      <c r="L9" s="425">
        <f>SUMIFS(PL!Q:Q,PL!$B:$B,$B9)</f>
        <v>0</v>
      </c>
      <c r="M9" s="425">
        <f>SUMIFS(PL!R:R,PL!$B:$B,$B9)</f>
        <v>0</v>
      </c>
      <c r="N9" s="425">
        <f>SUMIFS(PL!S:S,PL!$B:$B,$B9)</f>
        <v>0</v>
      </c>
      <c r="O9" s="425">
        <f>SUMIFS(PL!T:T,PL!$B:$B,$B9)</f>
        <v>0</v>
      </c>
      <c r="P9" s="425">
        <f>SUMIFS(PL!U:U,PL!$B:$B,$B9)</f>
        <v>0</v>
      </c>
      <c r="Q9" s="425">
        <f>SUMIFS(PL!V:V,PL!$B:$B,$B9)</f>
        <v>0</v>
      </c>
      <c r="R9" s="425">
        <f>SUMIFS(PL!W:W,PL!$B:$B,$B9)</f>
        <v>0</v>
      </c>
      <c r="S9" s="425">
        <f>SUMIFS(PL!X:X,PL!$B:$B,$B9)</f>
        <v>0</v>
      </c>
      <c r="T9" s="425">
        <f>SUMIFS(PL!Y:Y,PL!$B:$B,$B9)</f>
        <v>0</v>
      </c>
      <c r="U9" s="425">
        <f>SUMIFS(PL!Z:Z,PL!$B:$B,$B9)</f>
        <v>0</v>
      </c>
      <c r="V9" s="425">
        <f>SUMIFS(PL!AA:AA,PL!$B:$B,$B9)</f>
        <v>0</v>
      </c>
      <c r="W9" s="425">
        <f>SUMIFS(PL!AB:AB,PL!$B:$B,$B9)</f>
        <v>0</v>
      </c>
      <c r="X9" s="425">
        <f>SUMIFS(PL!AC:AC,PL!$B:$B,$B9)</f>
        <v>0</v>
      </c>
      <c r="Y9" s="425">
        <f>SUMIFS(PL!AD:AD,PL!$B:$B,$B9)</f>
        <v>0</v>
      </c>
      <c r="Z9" s="425">
        <f>SUMIFS(PL!AE:AE,PL!$B:$B,$B9)</f>
        <v>0</v>
      </c>
      <c r="AA9" s="425">
        <f>SUMIFS(PL!AF:AF,PL!$B:$B,$B9)</f>
        <v>0</v>
      </c>
      <c r="AB9" s="425">
        <f>SUMIFS(PL!AG:AG,PL!$B:$B,$B9)</f>
        <v>0</v>
      </c>
      <c r="AC9" s="425">
        <f>SUMIFS(PL!AH:AH,PL!$B:$B,$B9)</f>
        <v>0</v>
      </c>
      <c r="AD9" s="425">
        <f>SUMIFS(PL!AI:AI,PL!$B:$B,$B9)</f>
        <v>0</v>
      </c>
      <c r="AE9" s="425">
        <f>SUMIFS(PL!AJ:AJ,PL!$B:$B,$B9)</f>
        <v>0</v>
      </c>
      <c r="AF9" s="425">
        <f>SUMIFS(PL!AK:AK,PL!$B:$B,$B9)</f>
        <v>0</v>
      </c>
      <c r="AG9" s="425">
        <f>SUMIFS(PL!AL:AL,PL!$B:$B,$B9)</f>
        <v>0</v>
      </c>
      <c r="AH9" s="425">
        <f>SUMIFS(PL!AM:AM,PL!$B:$B,$B9)</f>
        <v>0</v>
      </c>
      <c r="AI9" s="425">
        <f>SUMIFS(PL!AN:AN,PL!$B:$B,$B9)</f>
        <v>0</v>
      </c>
      <c r="AJ9" s="425">
        <f>SUMIFS(PL!AS:AS,PL!$B:$B,$B9)</f>
        <v>0</v>
      </c>
      <c r="AK9" s="425">
        <f>SUMIFS(PL!AT:AT,PL!$B:$B,$B9)</f>
        <v>0</v>
      </c>
      <c r="AL9" s="425">
        <f>SUMIFS(PL!AU:AU,PL!$B:$B,$B9)</f>
        <v>0</v>
      </c>
      <c r="AM9" s="425">
        <f>SUMIFS(PL!AV:AV,PL!$B:$B,$B9)</f>
        <v>0</v>
      </c>
    </row>
    <row r="10" spans="1:39" s="264" customFormat="1" ht="13.95" customHeight="1">
      <c r="A10" s="435"/>
      <c r="B10" s="434" t="s">
        <v>29</v>
      </c>
      <c r="C10" s="319">
        <f t="shared" ref="C10:E10" si="33">SUM(C7:C9)</f>
        <v>0</v>
      </c>
      <c r="D10" s="319">
        <f t="shared" si="33"/>
        <v>0</v>
      </c>
      <c r="E10" s="319">
        <f t="shared" si="33"/>
        <v>0</v>
      </c>
      <c r="F10" s="529"/>
      <c r="G10" s="529">
        <f t="shared" ref="G10:AE10" si="34">SUM(G7:G9)</f>
        <v>0</v>
      </c>
      <c r="H10" s="529">
        <f t="shared" si="34"/>
        <v>0</v>
      </c>
      <c r="I10" s="529">
        <f t="shared" si="34"/>
        <v>0</v>
      </c>
      <c r="J10" s="529">
        <f t="shared" si="34"/>
        <v>0</v>
      </c>
      <c r="K10" s="529">
        <f t="shared" si="34"/>
        <v>0</v>
      </c>
      <c r="L10" s="529">
        <f t="shared" si="34"/>
        <v>0</v>
      </c>
      <c r="M10" s="529">
        <f t="shared" si="34"/>
        <v>0</v>
      </c>
      <c r="N10" s="529">
        <f t="shared" si="34"/>
        <v>0</v>
      </c>
      <c r="O10" s="529">
        <f t="shared" si="34"/>
        <v>0</v>
      </c>
      <c r="P10" s="529">
        <f t="shared" si="34"/>
        <v>0</v>
      </c>
      <c r="Q10" s="529">
        <f t="shared" si="34"/>
        <v>0</v>
      </c>
      <c r="R10" s="529">
        <f t="shared" si="34"/>
        <v>0</v>
      </c>
      <c r="S10" s="529">
        <f t="shared" si="34"/>
        <v>0</v>
      </c>
      <c r="T10" s="529">
        <f t="shared" si="34"/>
        <v>0</v>
      </c>
      <c r="U10" s="529">
        <f t="shared" si="34"/>
        <v>0</v>
      </c>
      <c r="V10" s="529">
        <f t="shared" si="34"/>
        <v>0</v>
      </c>
      <c r="W10" s="529">
        <f t="shared" si="34"/>
        <v>0</v>
      </c>
      <c r="X10" s="529">
        <f t="shared" si="34"/>
        <v>0</v>
      </c>
      <c r="Y10" s="529">
        <f t="shared" si="34"/>
        <v>0</v>
      </c>
      <c r="Z10" s="529">
        <f t="shared" si="34"/>
        <v>0</v>
      </c>
      <c r="AA10" s="529">
        <f t="shared" si="34"/>
        <v>0</v>
      </c>
      <c r="AB10" s="529">
        <f t="shared" si="34"/>
        <v>0</v>
      </c>
      <c r="AC10" s="529">
        <f t="shared" si="34"/>
        <v>0</v>
      </c>
      <c r="AD10" s="529">
        <f t="shared" si="34"/>
        <v>0</v>
      </c>
      <c r="AE10" s="529">
        <f t="shared" si="34"/>
        <v>0</v>
      </c>
      <c r="AF10" s="529">
        <f t="shared" ref="AF10:AM10" si="35">SUM(AF7:AF9)</f>
        <v>0</v>
      </c>
      <c r="AG10" s="529">
        <f t="shared" si="35"/>
        <v>0</v>
      </c>
      <c r="AH10" s="529">
        <f t="shared" si="35"/>
        <v>0</v>
      </c>
      <c r="AI10" s="529">
        <f t="shared" si="35"/>
        <v>0</v>
      </c>
      <c r="AJ10" s="529">
        <f t="shared" si="35"/>
        <v>0</v>
      </c>
      <c r="AK10" s="529">
        <f t="shared" si="35"/>
        <v>0</v>
      </c>
      <c r="AL10" s="529">
        <f t="shared" si="35"/>
        <v>0</v>
      </c>
      <c r="AM10" s="529">
        <f t="shared" si="35"/>
        <v>0</v>
      </c>
    </row>
    <row r="11" spans="1:39" s="264" customFormat="1" ht="13.95" customHeight="1">
      <c r="A11" s="435"/>
      <c r="B11" s="236" t="s">
        <v>11</v>
      </c>
      <c r="C11" s="336">
        <f t="shared" ref="C11:E11" si="36">C6-SUM(C7:C9)</f>
        <v>0</v>
      </c>
      <c r="D11" s="336">
        <f t="shared" si="36"/>
        <v>0</v>
      </c>
      <c r="E11" s="336">
        <f t="shared" si="36"/>
        <v>0</v>
      </c>
      <c r="F11" s="337"/>
      <c r="G11" s="336">
        <f t="shared" ref="G11:AE11" si="37">G6-SUM(G7:G9)</f>
        <v>0</v>
      </c>
      <c r="H11" s="336">
        <f t="shared" si="37"/>
        <v>0</v>
      </c>
      <c r="I11" s="336">
        <f t="shared" si="37"/>
        <v>0</v>
      </c>
      <c r="J11" s="336">
        <f t="shared" si="37"/>
        <v>0</v>
      </c>
      <c r="K11" s="336">
        <f t="shared" si="37"/>
        <v>0</v>
      </c>
      <c r="L11" s="336">
        <f t="shared" si="37"/>
        <v>0</v>
      </c>
      <c r="M11" s="336">
        <f t="shared" si="37"/>
        <v>0</v>
      </c>
      <c r="N11" s="336">
        <f t="shared" si="37"/>
        <v>0</v>
      </c>
      <c r="O11" s="336">
        <f t="shared" si="37"/>
        <v>0</v>
      </c>
      <c r="P11" s="336">
        <f t="shared" si="37"/>
        <v>0</v>
      </c>
      <c r="Q11" s="336">
        <f t="shared" si="37"/>
        <v>0</v>
      </c>
      <c r="R11" s="336">
        <f t="shared" si="37"/>
        <v>0</v>
      </c>
      <c r="S11" s="336">
        <f t="shared" si="37"/>
        <v>0</v>
      </c>
      <c r="T11" s="336">
        <f t="shared" si="37"/>
        <v>0</v>
      </c>
      <c r="U11" s="336">
        <f t="shared" si="37"/>
        <v>0</v>
      </c>
      <c r="V11" s="336">
        <f t="shared" si="37"/>
        <v>0</v>
      </c>
      <c r="W11" s="336">
        <f t="shared" si="37"/>
        <v>0</v>
      </c>
      <c r="X11" s="336">
        <f t="shared" si="37"/>
        <v>0</v>
      </c>
      <c r="Y11" s="336">
        <f t="shared" si="37"/>
        <v>0</v>
      </c>
      <c r="Z11" s="336">
        <f t="shared" si="37"/>
        <v>0</v>
      </c>
      <c r="AA11" s="336">
        <f t="shared" si="37"/>
        <v>0</v>
      </c>
      <c r="AB11" s="336">
        <f t="shared" si="37"/>
        <v>0</v>
      </c>
      <c r="AC11" s="336">
        <f t="shared" si="37"/>
        <v>0</v>
      </c>
      <c r="AD11" s="336">
        <f t="shared" si="37"/>
        <v>0</v>
      </c>
      <c r="AE11" s="336">
        <f t="shared" si="37"/>
        <v>0</v>
      </c>
      <c r="AF11" s="336">
        <f t="shared" ref="AF11:AM11" si="38">AF6-SUM(AF7:AF9)</f>
        <v>0</v>
      </c>
      <c r="AG11" s="336">
        <f t="shared" si="38"/>
        <v>0</v>
      </c>
      <c r="AH11" s="336">
        <f t="shared" si="38"/>
        <v>0</v>
      </c>
      <c r="AI11" s="336">
        <f t="shared" si="38"/>
        <v>0</v>
      </c>
      <c r="AJ11" s="336">
        <f t="shared" si="38"/>
        <v>0</v>
      </c>
      <c r="AK11" s="336">
        <f t="shared" si="38"/>
        <v>0</v>
      </c>
      <c r="AL11" s="336">
        <f t="shared" si="38"/>
        <v>0</v>
      </c>
      <c r="AM11" s="336">
        <f t="shared" si="38"/>
        <v>0</v>
      </c>
    </row>
    <row r="12" spans="1:39" s="262" customFormat="1" ht="5.25" customHeight="1">
      <c r="A12" s="311"/>
      <c r="B12" s="240"/>
      <c r="C12" s="319"/>
      <c r="D12" s="319"/>
      <c r="E12" s="319"/>
      <c r="F12" s="337"/>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row>
    <row r="13" spans="1:39" s="262" customFormat="1" ht="13.95" customHeight="1">
      <c r="A13" s="311" t="s">
        <v>72</v>
      </c>
      <c r="B13" s="223" t="s">
        <v>72</v>
      </c>
      <c r="C13" s="323">
        <f>SUMIFS($G13:$BC13,$G$5:$BC$5,"&lt;="&amp;EOMONTH(C$5,0),$G$6:$BC$6,"&lt;="&amp;C$5)</f>
        <v>0</v>
      </c>
      <c r="D13" s="323">
        <f t="shared" ref="D13:E15" si="39">SUMIFS($G13:$AT13,$G$5:$AT$5,"&gt;"&amp;EOMONTH(D$5,-12),$G$5:$AT$5,"&lt;="&amp;D$5)</f>
        <v>0</v>
      </c>
      <c r="E13" s="323">
        <f t="shared" si="39"/>
        <v>0</v>
      </c>
      <c r="F13" s="334"/>
      <c r="G13" s="323">
        <f>SUMIFS(PL!L:L,PL!$B:$B,$B13)</f>
        <v>0</v>
      </c>
      <c r="H13" s="323">
        <f>SUMIFS(PL!M:M,PL!$B:$B,$B13)</f>
        <v>0</v>
      </c>
      <c r="I13" s="323">
        <f>SUMIFS(PL!N:N,PL!$B:$B,$B13)</f>
        <v>0</v>
      </c>
      <c r="J13" s="323">
        <f>SUMIFS(PL!O:O,PL!$B:$B,$B13)</f>
        <v>0</v>
      </c>
      <c r="K13" s="323">
        <f>SUMIFS(PL!P:P,PL!$B:$B,$B13)</f>
        <v>0</v>
      </c>
      <c r="L13" s="323">
        <f>SUMIFS(PL!Q:Q,PL!$B:$B,$B13)</f>
        <v>0</v>
      </c>
      <c r="M13" s="323">
        <f>SUMIFS(PL!R:R,PL!$B:$B,$B13)</f>
        <v>0</v>
      </c>
      <c r="N13" s="323">
        <f>SUMIFS(PL!S:S,PL!$B:$B,$B13)</f>
        <v>0</v>
      </c>
      <c r="O13" s="323">
        <f>SUMIFS(PL!T:T,PL!$B:$B,$B13)</f>
        <v>0</v>
      </c>
      <c r="P13" s="323">
        <f>SUMIFS(PL!U:U,PL!$B:$B,$B13)</f>
        <v>0</v>
      </c>
      <c r="Q13" s="323">
        <f>SUMIFS(PL!V:V,PL!$B:$B,$B13)</f>
        <v>0</v>
      </c>
      <c r="R13" s="323">
        <f>SUMIFS(PL!W:W,PL!$B:$B,$B13)</f>
        <v>0</v>
      </c>
      <c r="S13" s="323">
        <f>SUMIFS(PL!X:X,PL!$B:$B,$B13)</f>
        <v>0</v>
      </c>
      <c r="T13" s="323">
        <f>SUMIFS(PL!Y:Y,PL!$B:$B,$B13)</f>
        <v>0</v>
      </c>
      <c r="U13" s="323">
        <f>SUMIFS(PL!Z:Z,PL!$B:$B,$B13)</f>
        <v>0</v>
      </c>
      <c r="V13" s="323">
        <f>SUMIFS(PL!AA:AA,PL!$B:$B,$B13)</f>
        <v>0</v>
      </c>
      <c r="W13" s="323">
        <f>SUMIFS(PL!AB:AB,PL!$B:$B,$B13)</f>
        <v>0</v>
      </c>
      <c r="X13" s="323">
        <f>SUMIFS(PL!AC:AC,PL!$B:$B,$B13)</f>
        <v>0</v>
      </c>
      <c r="Y13" s="323">
        <f>SUMIFS(PL!AD:AD,PL!$B:$B,$B13)</f>
        <v>0</v>
      </c>
      <c r="Z13" s="323">
        <f>SUMIFS(PL!AE:AE,PL!$B:$B,$B13)</f>
        <v>0</v>
      </c>
      <c r="AA13" s="323">
        <f>SUMIFS(PL!AF:AF,PL!$B:$B,$B13)</f>
        <v>0</v>
      </c>
      <c r="AB13" s="323">
        <f>SUMIFS(PL!AG:AG,PL!$B:$B,$B13)</f>
        <v>0</v>
      </c>
      <c r="AC13" s="323">
        <f>SUMIFS(PL!AH:AH,PL!$B:$B,$B13)</f>
        <v>0</v>
      </c>
      <c r="AD13" s="323">
        <f>SUMIFS(PL!AI:AI,PL!$B:$B,$B13)</f>
        <v>0</v>
      </c>
      <c r="AE13" s="323">
        <f>SUMIFS(PL!AJ:AJ,PL!$B:$B,$B13)</f>
        <v>0</v>
      </c>
      <c r="AF13" s="323">
        <f>SUMIFS(PL!AK:AK,PL!$B:$B,$B13)</f>
        <v>0</v>
      </c>
      <c r="AG13" s="323">
        <f>SUMIFS(PL!AL:AL,PL!$B:$B,$B13)</f>
        <v>0</v>
      </c>
      <c r="AH13" s="323">
        <f>SUMIFS(PL!AM:AM,PL!$B:$B,$B13)</f>
        <v>0</v>
      </c>
      <c r="AI13" s="323">
        <f>SUMIFS(PL!AN:AN,PL!$B:$B,$B13)</f>
        <v>0</v>
      </c>
      <c r="AJ13" s="323">
        <f>SUMIFS(PL!AS:AS,PL!$B:$B,$B13)</f>
        <v>0</v>
      </c>
      <c r="AK13" s="323">
        <f>SUMIFS(PL!AT:AT,PL!$B:$B,$B13)</f>
        <v>0</v>
      </c>
      <c r="AL13" s="323">
        <f>SUMIFS(PL!AU:AU,PL!$B:$B,$B13)</f>
        <v>0</v>
      </c>
      <c r="AM13" s="323">
        <f>SUMIFS(PL!AV:AV,PL!$B:$B,$B13)</f>
        <v>0</v>
      </c>
    </row>
    <row r="14" spans="1:39" s="262" customFormat="1" ht="13.95" customHeight="1">
      <c r="A14" s="311" t="s">
        <v>174</v>
      </c>
      <c r="B14" s="223" t="s">
        <v>174</v>
      </c>
      <c r="C14" s="323">
        <f>SUMIFS($G14:$BC14,$G$5:$BC$5,"&lt;="&amp;EOMONTH(C$5,0),$G$6:$BC$6,"&lt;="&amp;C$5)</f>
        <v>0</v>
      </c>
      <c r="D14" s="323">
        <f t="shared" si="39"/>
        <v>0</v>
      </c>
      <c r="E14" s="323">
        <f t="shared" si="39"/>
        <v>0</v>
      </c>
      <c r="F14" s="334"/>
      <c r="G14" s="323">
        <f>SUMIFS(PL!L:L,PL!$B:$B,$B14)</f>
        <v>0</v>
      </c>
      <c r="H14" s="323">
        <f>SUMIFS(PL!M:M,PL!$B:$B,$B14)</f>
        <v>0</v>
      </c>
      <c r="I14" s="323">
        <f>SUMIFS(PL!N:N,PL!$B:$B,$B14)</f>
        <v>0</v>
      </c>
      <c r="J14" s="323">
        <f>SUMIFS(PL!O:O,PL!$B:$B,$B14)</f>
        <v>0</v>
      </c>
      <c r="K14" s="323">
        <f>SUMIFS(PL!P:P,PL!$B:$B,$B14)</f>
        <v>0</v>
      </c>
      <c r="L14" s="323">
        <f>SUMIFS(PL!Q:Q,PL!$B:$B,$B14)</f>
        <v>0</v>
      </c>
      <c r="M14" s="323">
        <f>SUMIFS(PL!R:R,PL!$B:$B,$B14)</f>
        <v>0</v>
      </c>
      <c r="N14" s="323">
        <f>SUMIFS(PL!S:S,PL!$B:$B,$B14)</f>
        <v>0</v>
      </c>
      <c r="O14" s="323">
        <f>SUMIFS(PL!T:T,PL!$B:$B,$B14)</f>
        <v>0</v>
      </c>
      <c r="P14" s="323">
        <f>SUMIFS(PL!U:U,PL!$B:$B,$B14)</f>
        <v>0</v>
      </c>
      <c r="Q14" s="323">
        <f>SUMIFS(PL!V:V,PL!$B:$B,$B14)</f>
        <v>0</v>
      </c>
      <c r="R14" s="323">
        <f>SUMIFS(PL!W:W,PL!$B:$B,$B14)</f>
        <v>0</v>
      </c>
      <c r="S14" s="323">
        <f>SUMIFS(PL!X:X,PL!$B:$B,$B14)</f>
        <v>0</v>
      </c>
      <c r="T14" s="323">
        <f>SUMIFS(PL!Y:Y,PL!$B:$B,$B14)</f>
        <v>0</v>
      </c>
      <c r="U14" s="323">
        <f>SUMIFS(PL!Z:Z,PL!$B:$B,$B14)</f>
        <v>0</v>
      </c>
      <c r="V14" s="323">
        <f>SUMIFS(PL!AA:AA,PL!$B:$B,$B14)</f>
        <v>0</v>
      </c>
      <c r="W14" s="323">
        <f>SUMIFS(PL!AB:AB,PL!$B:$B,$B14)</f>
        <v>0</v>
      </c>
      <c r="X14" s="323">
        <f>SUMIFS(PL!AC:AC,PL!$B:$B,$B14)</f>
        <v>0</v>
      </c>
      <c r="Y14" s="323">
        <f>SUMIFS(PL!AD:AD,PL!$B:$B,$B14)</f>
        <v>0</v>
      </c>
      <c r="Z14" s="323">
        <f>SUMIFS(PL!AE:AE,PL!$B:$B,$B14)</f>
        <v>0</v>
      </c>
      <c r="AA14" s="323">
        <f>SUMIFS(PL!AF:AF,PL!$B:$B,$B14)</f>
        <v>0</v>
      </c>
      <c r="AB14" s="323">
        <f>SUMIFS(PL!AG:AG,PL!$B:$B,$B14)</f>
        <v>0</v>
      </c>
      <c r="AC14" s="323">
        <f>SUMIFS(PL!AH:AH,PL!$B:$B,$B14)</f>
        <v>0</v>
      </c>
      <c r="AD14" s="323">
        <f>SUMIFS(PL!AI:AI,PL!$B:$B,$B14)</f>
        <v>0</v>
      </c>
      <c r="AE14" s="323">
        <f>SUMIFS(PL!AJ:AJ,PL!$B:$B,$B14)</f>
        <v>0</v>
      </c>
      <c r="AF14" s="323">
        <f>SUMIFS(PL!AK:AK,PL!$B:$B,$B14)</f>
        <v>0</v>
      </c>
      <c r="AG14" s="323">
        <f>SUMIFS(PL!AL:AL,PL!$B:$B,$B14)</f>
        <v>0</v>
      </c>
      <c r="AH14" s="323">
        <f>SUMIFS(PL!AM:AM,PL!$B:$B,$B14)</f>
        <v>0</v>
      </c>
      <c r="AI14" s="323">
        <f>SUMIFS(PL!AN:AN,PL!$B:$B,$B14)</f>
        <v>0</v>
      </c>
      <c r="AJ14" s="323">
        <f>SUMIFS(PL!AS:AS,PL!$B:$B,$B14)</f>
        <v>0</v>
      </c>
      <c r="AK14" s="323">
        <f>SUMIFS(PL!AT:AT,PL!$B:$B,$B14)</f>
        <v>0</v>
      </c>
      <c r="AL14" s="323">
        <f>SUMIFS(PL!AU:AU,PL!$B:$B,$B14)</f>
        <v>0</v>
      </c>
      <c r="AM14" s="323">
        <f>SUMIFS(PL!AV:AV,PL!$B:$B,$B14)</f>
        <v>0</v>
      </c>
    </row>
    <row r="15" spans="1:39" s="262" customFormat="1" ht="13.95" customHeight="1">
      <c r="A15" s="311" t="s">
        <v>175</v>
      </c>
      <c r="B15" s="424" t="s">
        <v>175</v>
      </c>
      <c r="C15" s="350">
        <f>SUMIFS($G15:$BC15,$G$5:$BC$5,"&lt;="&amp;EOMONTH(C$5,0),$G$6:$BC$6,"&lt;="&amp;C$5)</f>
        <v>0</v>
      </c>
      <c r="D15" s="350">
        <f t="shared" si="39"/>
        <v>0</v>
      </c>
      <c r="E15" s="350">
        <f t="shared" si="39"/>
        <v>0</v>
      </c>
      <c r="F15" s="334"/>
      <c r="G15" s="350">
        <f>SUMIFS(PL!L:L,PL!$B:$B,$B15)</f>
        <v>0</v>
      </c>
      <c r="H15" s="350">
        <f>SUMIFS(PL!M:M,PL!$B:$B,$B15)</f>
        <v>0</v>
      </c>
      <c r="I15" s="350">
        <f>SUMIFS(PL!N:N,PL!$B:$B,$B15)</f>
        <v>0</v>
      </c>
      <c r="J15" s="350">
        <f>SUMIFS(PL!O:O,PL!$B:$B,$B15)</f>
        <v>0</v>
      </c>
      <c r="K15" s="350">
        <f>SUMIFS(PL!P:P,PL!$B:$B,$B15)</f>
        <v>0</v>
      </c>
      <c r="L15" s="350">
        <f>SUMIFS(PL!Q:Q,PL!$B:$B,$B15)</f>
        <v>0</v>
      </c>
      <c r="M15" s="350">
        <f>SUMIFS(PL!R:R,PL!$B:$B,$B15)</f>
        <v>0</v>
      </c>
      <c r="N15" s="350">
        <f>SUMIFS(PL!S:S,PL!$B:$B,$B15)</f>
        <v>0</v>
      </c>
      <c r="O15" s="350">
        <f>SUMIFS(PL!T:T,PL!$B:$B,$B15)</f>
        <v>0</v>
      </c>
      <c r="P15" s="350">
        <f>SUMIFS(PL!U:U,PL!$B:$B,$B15)</f>
        <v>0</v>
      </c>
      <c r="Q15" s="350">
        <f>SUMIFS(PL!V:V,PL!$B:$B,$B15)</f>
        <v>0</v>
      </c>
      <c r="R15" s="350">
        <f>SUMIFS(PL!W:W,PL!$B:$B,$B15)</f>
        <v>0</v>
      </c>
      <c r="S15" s="350">
        <f>SUMIFS(PL!X:X,PL!$B:$B,$B15)</f>
        <v>0</v>
      </c>
      <c r="T15" s="350">
        <f>SUMIFS(PL!Y:Y,PL!$B:$B,$B15)</f>
        <v>0</v>
      </c>
      <c r="U15" s="350">
        <f>SUMIFS(PL!Z:Z,PL!$B:$B,$B15)</f>
        <v>0</v>
      </c>
      <c r="V15" s="350">
        <f>SUMIFS(PL!AA:AA,PL!$B:$B,$B15)</f>
        <v>0</v>
      </c>
      <c r="W15" s="350">
        <f>SUMIFS(PL!AB:AB,PL!$B:$B,$B15)</f>
        <v>0</v>
      </c>
      <c r="X15" s="350">
        <f>SUMIFS(PL!AC:AC,PL!$B:$B,$B15)</f>
        <v>0</v>
      </c>
      <c r="Y15" s="350">
        <f>SUMIFS(PL!AD:AD,PL!$B:$B,$B15)</f>
        <v>0</v>
      </c>
      <c r="Z15" s="350">
        <f>SUMIFS(PL!AE:AE,PL!$B:$B,$B15)</f>
        <v>0</v>
      </c>
      <c r="AA15" s="350">
        <f>SUMIFS(PL!AF:AF,PL!$B:$B,$B15)</f>
        <v>0</v>
      </c>
      <c r="AB15" s="350">
        <f>SUMIFS(PL!AG:AG,PL!$B:$B,$B15)</f>
        <v>0</v>
      </c>
      <c r="AC15" s="350">
        <f>SUMIFS(PL!AH:AH,PL!$B:$B,$B15)</f>
        <v>0</v>
      </c>
      <c r="AD15" s="350">
        <f>SUMIFS(PL!AI:AI,PL!$B:$B,$B15)</f>
        <v>0</v>
      </c>
      <c r="AE15" s="350">
        <f>SUMIFS(PL!AJ:AJ,PL!$B:$B,$B15)</f>
        <v>0</v>
      </c>
      <c r="AF15" s="350">
        <f>SUMIFS(PL!AK:AK,PL!$B:$B,$B15)</f>
        <v>0</v>
      </c>
      <c r="AG15" s="350">
        <f>SUMIFS(PL!AL:AL,PL!$B:$B,$B15)</f>
        <v>0</v>
      </c>
      <c r="AH15" s="350">
        <f>SUMIFS(PL!AM:AM,PL!$B:$B,$B15)</f>
        <v>0</v>
      </c>
      <c r="AI15" s="350">
        <f>SUMIFS(PL!AN:AN,PL!$B:$B,$B15)</f>
        <v>0</v>
      </c>
      <c r="AJ15" s="350">
        <f>SUMIFS(PL!AS:AS,PL!$B:$B,$B15)</f>
        <v>0</v>
      </c>
      <c r="AK15" s="350">
        <f>SUMIFS(PL!AT:AT,PL!$B:$B,$B15)</f>
        <v>0</v>
      </c>
      <c r="AL15" s="350">
        <f>SUMIFS(PL!AU:AU,PL!$B:$B,$B15)</f>
        <v>0</v>
      </c>
      <c r="AM15" s="350">
        <f>SUMIFS(PL!AV:AV,PL!$B:$B,$B15)</f>
        <v>0</v>
      </c>
    </row>
    <row r="16" spans="1:39" s="264" customFormat="1" ht="13.95" customHeight="1">
      <c r="A16" s="435"/>
      <c r="B16" s="434" t="s">
        <v>170</v>
      </c>
      <c r="C16" s="319">
        <f>SUBTOTAL(9,C13:C15)</f>
        <v>0</v>
      </c>
      <c r="D16" s="319">
        <f>SUBTOTAL(9,D13:D15)</f>
        <v>0</v>
      </c>
      <c r="E16" s="319">
        <f>SUBTOTAL(9,E13:E15)</f>
        <v>0</v>
      </c>
      <c r="F16" s="337"/>
      <c r="G16" s="319">
        <f t="shared" ref="G16:AE16" si="40">SUBTOTAL(9,G13:G15)</f>
        <v>0</v>
      </c>
      <c r="H16" s="319">
        <f t="shared" si="40"/>
        <v>0</v>
      </c>
      <c r="I16" s="319">
        <f t="shared" si="40"/>
        <v>0</v>
      </c>
      <c r="J16" s="319">
        <f t="shared" si="40"/>
        <v>0</v>
      </c>
      <c r="K16" s="319">
        <f t="shared" si="40"/>
        <v>0</v>
      </c>
      <c r="L16" s="319">
        <f t="shared" si="40"/>
        <v>0</v>
      </c>
      <c r="M16" s="319">
        <f t="shared" si="40"/>
        <v>0</v>
      </c>
      <c r="N16" s="319">
        <f t="shared" si="40"/>
        <v>0</v>
      </c>
      <c r="O16" s="319">
        <f t="shared" si="40"/>
        <v>0</v>
      </c>
      <c r="P16" s="319">
        <f t="shared" si="40"/>
        <v>0</v>
      </c>
      <c r="Q16" s="319">
        <f t="shared" si="40"/>
        <v>0</v>
      </c>
      <c r="R16" s="319">
        <f t="shared" si="40"/>
        <v>0</v>
      </c>
      <c r="S16" s="319">
        <f t="shared" si="40"/>
        <v>0</v>
      </c>
      <c r="T16" s="319">
        <f t="shared" si="40"/>
        <v>0</v>
      </c>
      <c r="U16" s="319">
        <f t="shared" si="40"/>
        <v>0</v>
      </c>
      <c r="V16" s="319">
        <f t="shared" si="40"/>
        <v>0</v>
      </c>
      <c r="W16" s="319">
        <f t="shared" si="40"/>
        <v>0</v>
      </c>
      <c r="X16" s="319">
        <f t="shared" si="40"/>
        <v>0</v>
      </c>
      <c r="Y16" s="319">
        <f t="shared" si="40"/>
        <v>0</v>
      </c>
      <c r="Z16" s="319">
        <f t="shared" si="40"/>
        <v>0</v>
      </c>
      <c r="AA16" s="319">
        <f t="shared" si="40"/>
        <v>0</v>
      </c>
      <c r="AB16" s="319">
        <f t="shared" si="40"/>
        <v>0</v>
      </c>
      <c r="AC16" s="319">
        <f t="shared" si="40"/>
        <v>0</v>
      </c>
      <c r="AD16" s="319">
        <f t="shared" si="40"/>
        <v>0</v>
      </c>
      <c r="AE16" s="319">
        <f t="shared" si="40"/>
        <v>0</v>
      </c>
      <c r="AF16" s="319">
        <f t="shared" ref="AF16:AM16" si="41">SUBTOTAL(9,AF13:AF15)</f>
        <v>0</v>
      </c>
      <c r="AG16" s="319">
        <f t="shared" si="41"/>
        <v>0</v>
      </c>
      <c r="AH16" s="319">
        <f t="shared" si="41"/>
        <v>0</v>
      </c>
      <c r="AI16" s="319">
        <f t="shared" si="41"/>
        <v>0</v>
      </c>
      <c r="AJ16" s="319">
        <f t="shared" si="41"/>
        <v>0</v>
      </c>
      <c r="AK16" s="319">
        <f t="shared" si="41"/>
        <v>0</v>
      </c>
      <c r="AL16" s="319">
        <f t="shared" si="41"/>
        <v>0</v>
      </c>
      <c r="AM16" s="319">
        <f t="shared" si="41"/>
        <v>0</v>
      </c>
    </row>
    <row r="17" spans="1:39" s="262" customFormat="1" ht="13.95" customHeight="1">
      <c r="A17" s="311" t="s">
        <v>171</v>
      </c>
      <c r="B17" s="223" t="s">
        <v>171</v>
      </c>
      <c r="C17" s="323">
        <f>SUMIFS($G17:$BC17,$G$5:$BC$5,"&lt;="&amp;EOMONTH(C$5,0),$G$6:$BC$6,"&lt;="&amp;C$5)</f>
        <v>0</v>
      </c>
      <c r="D17" s="323">
        <f t="shared" ref="D17:E19" si="42">SUMIFS($G17:$AT17,$G$5:$AT$5,"&gt;"&amp;EOMONTH(D$5,-12),$G$5:$AT$5,"&lt;="&amp;D$5)</f>
        <v>0</v>
      </c>
      <c r="E17" s="323">
        <f t="shared" si="42"/>
        <v>0</v>
      </c>
      <c r="F17" s="334"/>
      <c r="G17" s="323">
        <f>SUMIFS(PL!L:L,PL!$B:$B,$B17)</f>
        <v>0</v>
      </c>
      <c r="H17" s="323">
        <f>SUMIFS(PL!M:M,PL!$B:$B,$B17)</f>
        <v>0</v>
      </c>
      <c r="I17" s="323">
        <f>SUMIFS(PL!N:N,PL!$B:$B,$B17)</f>
        <v>0</v>
      </c>
      <c r="J17" s="323">
        <f>SUMIFS(PL!O:O,PL!$B:$B,$B17)</f>
        <v>0</v>
      </c>
      <c r="K17" s="323">
        <f>SUMIFS(PL!P:P,PL!$B:$B,$B17)</f>
        <v>0</v>
      </c>
      <c r="L17" s="323">
        <f>SUMIFS(PL!Q:Q,PL!$B:$B,$B17)</f>
        <v>0</v>
      </c>
      <c r="M17" s="323">
        <f>SUMIFS(PL!R:R,PL!$B:$B,$B17)</f>
        <v>0</v>
      </c>
      <c r="N17" s="323">
        <f>SUMIFS(PL!S:S,PL!$B:$B,$B17)</f>
        <v>0</v>
      </c>
      <c r="O17" s="323">
        <f>SUMIFS(PL!T:T,PL!$B:$B,$B17)</f>
        <v>0</v>
      </c>
      <c r="P17" s="323">
        <f>SUMIFS(PL!U:U,PL!$B:$B,$B17)</f>
        <v>0</v>
      </c>
      <c r="Q17" s="323">
        <f>SUMIFS(PL!V:V,PL!$B:$B,$B17)</f>
        <v>0</v>
      </c>
      <c r="R17" s="323">
        <f>SUMIFS(PL!W:W,PL!$B:$B,$B17)</f>
        <v>0</v>
      </c>
      <c r="S17" s="323">
        <f>SUMIFS(PL!X:X,PL!$B:$B,$B17)</f>
        <v>0</v>
      </c>
      <c r="T17" s="323">
        <f>SUMIFS(PL!Y:Y,PL!$B:$B,$B17)</f>
        <v>0</v>
      </c>
      <c r="U17" s="323">
        <f>SUMIFS(PL!Z:Z,PL!$B:$B,$B17)</f>
        <v>0</v>
      </c>
      <c r="V17" s="323">
        <f>SUMIFS(PL!AA:AA,PL!$B:$B,$B17)</f>
        <v>0</v>
      </c>
      <c r="W17" s="323">
        <f>SUMIFS(PL!AB:AB,PL!$B:$B,$B17)</f>
        <v>0</v>
      </c>
      <c r="X17" s="323">
        <f>SUMIFS(PL!AC:AC,PL!$B:$B,$B17)</f>
        <v>0</v>
      </c>
      <c r="Y17" s="323">
        <f>SUMIFS(PL!AD:AD,PL!$B:$B,$B17)</f>
        <v>0</v>
      </c>
      <c r="Z17" s="323">
        <f>SUMIFS(PL!AE:AE,PL!$B:$B,$B17)</f>
        <v>0</v>
      </c>
      <c r="AA17" s="323">
        <f>SUMIFS(PL!AF:AF,PL!$B:$B,$B17)</f>
        <v>0</v>
      </c>
      <c r="AB17" s="323">
        <f>SUMIFS(PL!AG:AG,PL!$B:$B,$B17)</f>
        <v>0</v>
      </c>
      <c r="AC17" s="323">
        <f>SUMIFS(PL!AH:AH,PL!$B:$B,$B17)</f>
        <v>0</v>
      </c>
      <c r="AD17" s="323">
        <f>SUMIFS(PL!AI:AI,PL!$B:$B,$B17)</f>
        <v>0</v>
      </c>
      <c r="AE17" s="323">
        <f>SUMIFS(PL!AJ:AJ,PL!$B:$B,$B17)</f>
        <v>0</v>
      </c>
      <c r="AF17" s="323">
        <f>SUMIFS(PL!AK:AK,PL!$B:$B,$B17)</f>
        <v>0</v>
      </c>
      <c r="AG17" s="323">
        <f>SUMIFS(PL!AL:AL,PL!$B:$B,$B17)</f>
        <v>0</v>
      </c>
      <c r="AH17" s="323">
        <f>SUMIFS(PL!AM:AM,PL!$B:$B,$B17)</f>
        <v>0</v>
      </c>
      <c r="AI17" s="323">
        <f>SUMIFS(PL!AN:AN,PL!$B:$B,$B17)</f>
        <v>0</v>
      </c>
      <c r="AJ17" s="323">
        <f>SUMIFS(PL!AS:AS,PL!$B:$B,$B17)</f>
        <v>0</v>
      </c>
      <c r="AK17" s="323">
        <f>SUMIFS(PL!AT:AT,PL!$B:$B,$B17)</f>
        <v>0</v>
      </c>
      <c r="AL17" s="323">
        <f>SUMIFS(PL!AU:AU,PL!$B:$B,$B17)</f>
        <v>0</v>
      </c>
      <c r="AM17" s="323">
        <f>SUMIFS(PL!AV:AV,PL!$B:$B,$B17)</f>
        <v>0</v>
      </c>
    </row>
    <row r="18" spans="1:39" s="262" customFormat="1" ht="13.95" customHeight="1">
      <c r="A18" s="311" t="s">
        <v>49</v>
      </c>
      <c r="B18" s="223" t="s">
        <v>49</v>
      </c>
      <c r="C18" s="323">
        <f>SUMIFS($G18:$BC18,$G$5:$BC$5,"&lt;="&amp;EOMONTH(C$5,0),$G$6:$BC$6,"&lt;="&amp;C$5)</f>
        <v>0</v>
      </c>
      <c r="D18" s="323">
        <f t="shared" si="42"/>
        <v>0</v>
      </c>
      <c r="E18" s="323">
        <f t="shared" si="42"/>
        <v>0</v>
      </c>
      <c r="F18" s="334"/>
      <c r="G18" s="323">
        <f>SUMIFS(PL!L:L,PL!$B:$B,$B18)</f>
        <v>0</v>
      </c>
      <c r="H18" s="323">
        <f>SUMIFS(PL!M:M,PL!$B:$B,$B18)</f>
        <v>0</v>
      </c>
      <c r="I18" s="323">
        <f>SUMIFS(PL!N:N,PL!$B:$B,$B18)</f>
        <v>0</v>
      </c>
      <c r="J18" s="323">
        <f>SUMIFS(PL!O:O,PL!$B:$B,$B18)</f>
        <v>0</v>
      </c>
      <c r="K18" s="323">
        <f>SUMIFS(PL!P:P,PL!$B:$B,$B18)</f>
        <v>0</v>
      </c>
      <c r="L18" s="323">
        <f>SUMIFS(PL!Q:Q,PL!$B:$B,$B18)</f>
        <v>0</v>
      </c>
      <c r="M18" s="323">
        <f>SUMIFS(PL!R:R,PL!$B:$B,$B18)</f>
        <v>0</v>
      </c>
      <c r="N18" s="323">
        <f>SUMIFS(PL!S:S,PL!$B:$B,$B18)</f>
        <v>0</v>
      </c>
      <c r="O18" s="323">
        <f>SUMIFS(PL!T:T,PL!$B:$B,$B18)</f>
        <v>0</v>
      </c>
      <c r="P18" s="323">
        <f>SUMIFS(PL!U:U,PL!$B:$B,$B18)</f>
        <v>0</v>
      </c>
      <c r="Q18" s="323">
        <f>SUMIFS(PL!V:V,PL!$B:$B,$B18)</f>
        <v>0</v>
      </c>
      <c r="R18" s="323">
        <f>SUMIFS(PL!W:W,PL!$B:$B,$B18)</f>
        <v>0</v>
      </c>
      <c r="S18" s="323">
        <f>SUMIFS(PL!X:X,PL!$B:$B,$B18)</f>
        <v>0</v>
      </c>
      <c r="T18" s="323">
        <f>SUMIFS(PL!Y:Y,PL!$B:$B,$B18)</f>
        <v>0</v>
      </c>
      <c r="U18" s="323">
        <f>SUMIFS(PL!Z:Z,PL!$B:$B,$B18)</f>
        <v>0</v>
      </c>
      <c r="V18" s="323">
        <f>SUMIFS(PL!AA:AA,PL!$B:$B,$B18)</f>
        <v>0</v>
      </c>
      <c r="W18" s="323">
        <f>SUMIFS(PL!AB:AB,PL!$B:$B,$B18)</f>
        <v>0</v>
      </c>
      <c r="X18" s="323">
        <f>SUMIFS(PL!AC:AC,PL!$B:$B,$B18)</f>
        <v>0</v>
      </c>
      <c r="Y18" s="323">
        <f>SUMIFS(PL!AD:AD,PL!$B:$B,$B18)</f>
        <v>0</v>
      </c>
      <c r="Z18" s="323">
        <f>SUMIFS(PL!AE:AE,PL!$B:$B,$B18)</f>
        <v>0</v>
      </c>
      <c r="AA18" s="323">
        <f>SUMIFS(PL!AF:AF,PL!$B:$B,$B18)</f>
        <v>0</v>
      </c>
      <c r="AB18" s="323">
        <f>SUMIFS(PL!AG:AG,PL!$B:$B,$B18)</f>
        <v>0</v>
      </c>
      <c r="AC18" s="323">
        <f>SUMIFS(PL!AH:AH,PL!$B:$B,$B18)</f>
        <v>0</v>
      </c>
      <c r="AD18" s="323">
        <f>SUMIFS(PL!AI:AI,PL!$B:$B,$B18)</f>
        <v>0</v>
      </c>
      <c r="AE18" s="323">
        <f>SUMIFS(PL!AJ:AJ,PL!$B:$B,$B18)</f>
        <v>0</v>
      </c>
      <c r="AF18" s="323">
        <f>SUMIFS(PL!AK:AK,PL!$B:$B,$B18)</f>
        <v>0</v>
      </c>
      <c r="AG18" s="323">
        <f>SUMIFS(PL!AL:AL,PL!$B:$B,$B18)</f>
        <v>0</v>
      </c>
      <c r="AH18" s="323">
        <f>SUMIFS(PL!AM:AM,PL!$B:$B,$B18)</f>
        <v>0</v>
      </c>
      <c r="AI18" s="323">
        <f>SUMIFS(PL!AN:AN,PL!$B:$B,$B18)</f>
        <v>0</v>
      </c>
      <c r="AJ18" s="323">
        <f>SUMIFS(PL!AS:AS,PL!$B:$B,$B18)</f>
        <v>0</v>
      </c>
      <c r="AK18" s="323">
        <f>SUMIFS(PL!AT:AT,PL!$B:$B,$B18)</f>
        <v>0</v>
      </c>
      <c r="AL18" s="323">
        <f>SUMIFS(PL!AU:AU,PL!$B:$B,$B18)</f>
        <v>0</v>
      </c>
      <c r="AM18" s="323">
        <f>SUMIFS(PL!AV:AV,PL!$B:$B,$B18)</f>
        <v>0</v>
      </c>
    </row>
    <row r="19" spans="1:39" s="262" customFormat="1" ht="13.95" customHeight="1">
      <c r="A19" s="311" t="s">
        <v>176</v>
      </c>
      <c r="B19" s="424" t="s">
        <v>176</v>
      </c>
      <c r="C19" s="350">
        <f>SUMIFS($G19:$BC19,$G$5:$BC$5,"&lt;="&amp;EOMONTH(C$5,0),$G$6:$BC$6,"&lt;="&amp;C$5)</f>
        <v>0</v>
      </c>
      <c r="D19" s="350">
        <f t="shared" si="42"/>
        <v>0</v>
      </c>
      <c r="E19" s="350">
        <f t="shared" si="42"/>
        <v>0</v>
      </c>
      <c r="F19" s="334"/>
      <c r="G19" s="350">
        <f>SUMIFS(PL!L:L,PL!$B:$B,$B19)</f>
        <v>0</v>
      </c>
      <c r="H19" s="350">
        <f>SUMIFS(PL!M:M,PL!$B:$B,$B19)</f>
        <v>0</v>
      </c>
      <c r="I19" s="350">
        <f>SUMIFS(PL!N:N,PL!$B:$B,$B19)</f>
        <v>0</v>
      </c>
      <c r="J19" s="350">
        <f>SUMIFS(PL!O:O,PL!$B:$B,$B19)</f>
        <v>0</v>
      </c>
      <c r="K19" s="350">
        <f>SUMIFS(PL!P:P,PL!$B:$B,$B19)</f>
        <v>0</v>
      </c>
      <c r="L19" s="350">
        <f>SUMIFS(PL!Q:Q,PL!$B:$B,$B19)</f>
        <v>0</v>
      </c>
      <c r="M19" s="350">
        <f>SUMIFS(PL!R:R,PL!$B:$B,$B19)</f>
        <v>0</v>
      </c>
      <c r="N19" s="350">
        <f>SUMIFS(PL!S:S,PL!$B:$B,$B19)</f>
        <v>0</v>
      </c>
      <c r="O19" s="350">
        <f>SUMIFS(PL!T:T,PL!$B:$B,$B19)</f>
        <v>0</v>
      </c>
      <c r="P19" s="350">
        <f>SUMIFS(PL!U:U,PL!$B:$B,$B19)</f>
        <v>0</v>
      </c>
      <c r="Q19" s="350">
        <f>SUMIFS(PL!V:V,PL!$B:$B,$B19)</f>
        <v>0</v>
      </c>
      <c r="R19" s="350">
        <f>SUMIFS(PL!W:W,PL!$B:$B,$B19)</f>
        <v>0</v>
      </c>
      <c r="S19" s="350">
        <f>SUMIFS(PL!X:X,PL!$B:$B,$B19)</f>
        <v>0</v>
      </c>
      <c r="T19" s="350">
        <f>SUMIFS(PL!Y:Y,PL!$B:$B,$B19)</f>
        <v>0</v>
      </c>
      <c r="U19" s="350">
        <f>SUMIFS(PL!Z:Z,PL!$B:$B,$B19)</f>
        <v>0</v>
      </c>
      <c r="V19" s="350">
        <f>SUMIFS(PL!AA:AA,PL!$B:$B,$B19)</f>
        <v>0</v>
      </c>
      <c r="W19" s="350">
        <f>SUMIFS(PL!AB:AB,PL!$B:$B,$B19)</f>
        <v>0</v>
      </c>
      <c r="X19" s="350">
        <f>SUMIFS(PL!AC:AC,PL!$B:$B,$B19)</f>
        <v>0</v>
      </c>
      <c r="Y19" s="350">
        <f>SUMIFS(PL!AD:AD,PL!$B:$B,$B19)</f>
        <v>0</v>
      </c>
      <c r="Z19" s="350">
        <f>SUMIFS(PL!AE:AE,PL!$B:$B,$B19)</f>
        <v>0</v>
      </c>
      <c r="AA19" s="350">
        <f>SUMIFS(PL!AF:AF,PL!$B:$B,$B19)</f>
        <v>0</v>
      </c>
      <c r="AB19" s="350">
        <f>SUMIFS(PL!AG:AG,PL!$B:$B,$B19)</f>
        <v>0</v>
      </c>
      <c r="AC19" s="350">
        <f>SUMIFS(PL!AH:AH,PL!$B:$B,$B19)</f>
        <v>0</v>
      </c>
      <c r="AD19" s="350">
        <f>SUMIFS(PL!AI:AI,PL!$B:$B,$B19)</f>
        <v>0</v>
      </c>
      <c r="AE19" s="350">
        <f>SUMIFS(PL!AJ:AJ,PL!$B:$B,$B19)</f>
        <v>0</v>
      </c>
      <c r="AF19" s="350">
        <f>SUMIFS(PL!AK:AK,PL!$B:$B,$B19)</f>
        <v>0</v>
      </c>
      <c r="AG19" s="350">
        <f>SUMIFS(PL!AL:AL,PL!$B:$B,$B19)</f>
        <v>0</v>
      </c>
      <c r="AH19" s="350">
        <f>SUMIFS(PL!AM:AM,PL!$B:$B,$B19)</f>
        <v>0</v>
      </c>
      <c r="AI19" s="350">
        <f>SUMIFS(PL!AN:AN,PL!$B:$B,$B19)</f>
        <v>0</v>
      </c>
      <c r="AJ19" s="350">
        <f>SUMIFS(PL!AS:AS,PL!$B:$B,$B19)</f>
        <v>0</v>
      </c>
      <c r="AK19" s="350">
        <f>SUMIFS(PL!AT:AT,PL!$B:$B,$B19)</f>
        <v>0</v>
      </c>
      <c r="AL19" s="350">
        <f>SUMIFS(PL!AU:AU,PL!$B:$B,$B19)</f>
        <v>0</v>
      </c>
      <c r="AM19" s="350">
        <f>SUMIFS(PL!AV:AV,PL!$B:$B,$B19)</f>
        <v>0</v>
      </c>
    </row>
    <row r="20" spans="1:39" s="264" customFormat="1" ht="13.95" customHeight="1">
      <c r="A20" s="435"/>
      <c r="B20" s="434" t="s">
        <v>172</v>
      </c>
      <c r="C20" s="319">
        <f>SUM(C16:C19)</f>
        <v>0</v>
      </c>
      <c r="D20" s="319">
        <f>SUM(D16:D19)</f>
        <v>0</v>
      </c>
      <c r="E20" s="319">
        <f>SUM(E16:E19)</f>
        <v>0</v>
      </c>
      <c r="F20" s="337"/>
      <c r="G20" s="319">
        <f t="shared" ref="G20:AE20" si="43">SUM(G16:G19)</f>
        <v>0</v>
      </c>
      <c r="H20" s="319">
        <f t="shared" si="43"/>
        <v>0</v>
      </c>
      <c r="I20" s="319">
        <f t="shared" si="43"/>
        <v>0</v>
      </c>
      <c r="J20" s="319">
        <f t="shared" si="43"/>
        <v>0</v>
      </c>
      <c r="K20" s="319">
        <f t="shared" si="43"/>
        <v>0</v>
      </c>
      <c r="L20" s="319">
        <f t="shared" si="43"/>
        <v>0</v>
      </c>
      <c r="M20" s="319">
        <f t="shared" si="43"/>
        <v>0</v>
      </c>
      <c r="N20" s="319">
        <f t="shared" si="43"/>
        <v>0</v>
      </c>
      <c r="O20" s="319">
        <f t="shared" si="43"/>
        <v>0</v>
      </c>
      <c r="P20" s="319">
        <f t="shared" si="43"/>
        <v>0</v>
      </c>
      <c r="Q20" s="319">
        <f t="shared" si="43"/>
        <v>0</v>
      </c>
      <c r="R20" s="319">
        <f t="shared" si="43"/>
        <v>0</v>
      </c>
      <c r="S20" s="319">
        <f t="shared" si="43"/>
        <v>0</v>
      </c>
      <c r="T20" s="319">
        <f t="shared" si="43"/>
        <v>0</v>
      </c>
      <c r="U20" s="319">
        <f t="shared" si="43"/>
        <v>0</v>
      </c>
      <c r="V20" s="319">
        <f t="shared" si="43"/>
        <v>0</v>
      </c>
      <c r="W20" s="319">
        <f t="shared" si="43"/>
        <v>0</v>
      </c>
      <c r="X20" s="319">
        <f t="shared" si="43"/>
        <v>0</v>
      </c>
      <c r="Y20" s="319">
        <f t="shared" si="43"/>
        <v>0</v>
      </c>
      <c r="Z20" s="319">
        <f t="shared" si="43"/>
        <v>0</v>
      </c>
      <c r="AA20" s="319">
        <f t="shared" si="43"/>
        <v>0</v>
      </c>
      <c r="AB20" s="319">
        <f t="shared" si="43"/>
        <v>0</v>
      </c>
      <c r="AC20" s="319">
        <f t="shared" si="43"/>
        <v>0</v>
      </c>
      <c r="AD20" s="319">
        <f t="shared" si="43"/>
        <v>0</v>
      </c>
      <c r="AE20" s="319">
        <f t="shared" si="43"/>
        <v>0</v>
      </c>
      <c r="AF20" s="319">
        <f t="shared" ref="AF20:AM20" si="44">SUM(AF16:AF19)</f>
        <v>0</v>
      </c>
      <c r="AG20" s="319">
        <f t="shared" si="44"/>
        <v>0</v>
      </c>
      <c r="AH20" s="319">
        <f t="shared" si="44"/>
        <v>0</v>
      </c>
      <c r="AI20" s="319">
        <f t="shared" si="44"/>
        <v>0</v>
      </c>
      <c r="AJ20" s="319">
        <f t="shared" si="44"/>
        <v>0</v>
      </c>
      <c r="AK20" s="319">
        <f t="shared" si="44"/>
        <v>0</v>
      </c>
      <c r="AL20" s="319">
        <f t="shared" si="44"/>
        <v>0</v>
      </c>
      <c r="AM20" s="319">
        <f t="shared" si="44"/>
        <v>0</v>
      </c>
    </row>
    <row r="21" spans="1:39" s="264" customFormat="1" ht="13.95" customHeight="1">
      <c r="A21" s="311"/>
      <c r="B21" s="223" t="s">
        <v>177</v>
      </c>
      <c r="C21" s="323">
        <f>SUMIFS($G21:$BC21,$G$5:$BC$5,"&lt;="&amp;EOMONTH(C$5,0),$G$6:$BC$6,"&lt;="&amp;C$5)</f>
        <v>0</v>
      </c>
      <c r="D21" s="323">
        <f t="shared" ref="D21:E24" si="45">SUMIFS($G21:$AT21,$G$5:$AT$5,"&gt;"&amp;EOMONTH(D$5,-12),$G$5:$AT$5,"&lt;="&amp;D$5)</f>
        <v>0</v>
      </c>
      <c r="E21" s="323">
        <f t="shared" si="45"/>
        <v>0</v>
      </c>
      <c r="F21" s="334"/>
      <c r="G21" s="323">
        <f>SUMIFS(PL!L:L,PL!$B:$B,$B21)</f>
        <v>0</v>
      </c>
      <c r="H21" s="323">
        <f>SUMIFS(PL!M:M,PL!$B:$B,$B21)</f>
        <v>0</v>
      </c>
      <c r="I21" s="323">
        <f>SUMIFS(PL!N:N,PL!$B:$B,$B21)</f>
        <v>0</v>
      </c>
      <c r="J21" s="323">
        <f>SUMIFS(PL!O:O,PL!$B:$B,$B21)</f>
        <v>0</v>
      </c>
      <c r="K21" s="323">
        <f>SUMIFS(PL!P:P,PL!$B:$B,$B21)</f>
        <v>0</v>
      </c>
      <c r="L21" s="323">
        <f>SUMIFS(PL!Q:Q,PL!$B:$B,$B21)</f>
        <v>0</v>
      </c>
      <c r="M21" s="323">
        <f>SUMIFS(PL!R:R,PL!$B:$B,$B21)</f>
        <v>0</v>
      </c>
      <c r="N21" s="323">
        <f>SUMIFS(PL!S:S,PL!$B:$B,$B21)</f>
        <v>0</v>
      </c>
      <c r="O21" s="323">
        <f>SUMIFS(PL!T:T,PL!$B:$B,$B21)</f>
        <v>0</v>
      </c>
      <c r="P21" s="323">
        <f>SUMIFS(PL!U:U,PL!$B:$B,$B21)</f>
        <v>0</v>
      </c>
      <c r="Q21" s="323">
        <f>SUMIFS(PL!V:V,PL!$B:$B,$B21)</f>
        <v>0</v>
      </c>
      <c r="R21" s="323">
        <f>SUMIFS(PL!W:W,PL!$B:$B,$B21)</f>
        <v>0</v>
      </c>
      <c r="S21" s="323">
        <f>SUMIFS(PL!X:X,PL!$B:$B,$B21)</f>
        <v>0</v>
      </c>
      <c r="T21" s="323">
        <f>SUMIFS(PL!Y:Y,PL!$B:$B,$B21)</f>
        <v>0</v>
      </c>
      <c r="U21" s="323">
        <f>SUMIFS(PL!Z:Z,PL!$B:$B,$B21)</f>
        <v>0</v>
      </c>
      <c r="V21" s="323">
        <f>SUMIFS(PL!AA:AA,PL!$B:$B,$B21)</f>
        <v>0</v>
      </c>
      <c r="W21" s="323">
        <f>SUMIFS(PL!AB:AB,PL!$B:$B,$B21)</f>
        <v>0</v>
      </c>
      <c r="X21" s="323">
        <f>SUMIFS(PL!AC:AC,PL!$B:$B,$B21)</f>
        <v>0</v>
      </c>
      <c r="Y21" s="323">
        <f>SUMIFS(PL!AD:AD,PL!$B:$B,$B21)</f>
        <v>0</v>
      </c>
      <c r="Z21" s="323">
        <f>SUMIFS(PL!AE:AE,PL!$B:$B,$B21)</f>
        <v>0</v>
      </c>
      <c r="AA21" s="323">
        <f>SUMIFS(PL!AF:AF,PL!$B:$B,$B21)</f>
        <v>0</v>
      </c>
      <c r="AB21" s="323">
        <f>SUMIFS(PL!AG:AG,PL!$B:$B,$B21)</f>
        <v>0</v>
      </c>
      <c r="AC21" s="323">
        <f>SUMIFS(PL!AH:AH,PL!$B:$B,$B21)</f>
        <v>0</v>
      </c>
      <c r="AD21" s="323">
        <f>SUMIFS(PL!AI:AI,PL!$B:$B,$B21)</f>
        <v>0</v>
      </c>
      <c r="AE21" s="323">
        <f>SUMIFS(PL!AJ:AJ,PL!$B:$B,$B21)</f>
        <v>0</v>
      </c>
      <c r="AF21" s="323">
        <f>SUMIFS(PL!AK:AK,PL!$B:$B,$B21)</f>
        <v>0</v>
      </c>
      <c r="AG21" s="323">
        <f>SUMIFS(PL!AL:AL,PL!$B:$B,$B21)</f>
        <v>0</v>
      </c>
      <c r="AH21" s="323">
        <f>SUMIFS(PL!AM:AM,PL!$B:$B,$B21)</f>
        <v>0</v>
      </c>
      <c r="AI21" s="323">
        <f>SUMIFS(PL!AN:AN,PL!$B:$B,$B21)</f>
        <v>0</v>
      </c>
      <c r="AJ21" s="323">
        <f>SUMIFS(PL!AS:AS,PL!$B:$B,$B21)</f>
        <v>0</v>
      </c>
      <c r="AK21" s="323">
        <f>SUMIFS(PL!AT:AT,PL!$B:$B,$B21)</f>
        <v>0</v>
      </c>
      <c r="AL21" s="323">
        <f>SUMIFS(PL!AU:AU,PL!$B:$B,$B21)</f>
        <v>0</v>
      </c>
      <c r="AM21" s="323">
        <f>SUMIFS(PL!AV:AV,PL!$B:$B,$B21)</f>
        <v>0</v>
      </c>
    </row>
    <row r="22" spans="1:39" s="264" customFormat="1" ht="13.95" customHeight="1">
      <c r="A22" s="311"/>
      <c r="B22" s="223" t="s">
        <v>181</v>
      </c>
      <c r="C22" s="323">
        <f>SUMIFS($G22:$BC22,$G$5:$BC$5,"&lt;="&amp;EOMONTH(C$5,0),$G$6:$BC$6,"&lt;="&amp;C$5)</f>
        <v>0</v>
      </c>
      <c r="D22" s="323">
        <f t="shared" si="45"/>
        <v>0</v>
      </c>
      <c r="E22" s="323">
        <f t="shared" si="45"/>
        <v>0</v>
      </c>
      <c r="F22" s="334"/>
      <c r="G22" s="323">
        <f>SUMIFS(PL!L:L,PL!$B:$B,$B22)</f>
        <v>0</v>
      </c>
      <c r="H22" s="323">
        <f>SUMIFS(PL!M:M,PL!$B:$B,$B22)</f>
        <v>0</v>
      </c>
      <c r="I22" s="323">
        <f>SUMIFS(PL!N:N,PL!$B:$B,$B22)</f>
        <v>0</v>
      </c>
      <c r="J22" s="323">
        <f>SUMIFS(PL!O:O,PL!$B:$B,$B22)</f>
        <v>0</v>
      </c>
      <c r="K22" s="323">
        <f>SUMIFS(PL!P:P,PL!$B:$B,$B22)</f>
        <v>0</v>
      </c>
      <c r="L22" s="323">
        <f>SUMIFS(PL!Q:Q,PL!$B:$B,$B22)</f>
        <v>0</v>
      </c>
      <c r="M22" s="323">
        <f>SUMIFS(PL!R:R,PL!$B:$B,$B22)</f>
        <v>0</v>
      </c>
      <c r="N22" s="323">
        <f>SUMIFS(PL!S:S,PL!$B:$B,$B22)</f>
        <v>0</v>
      </c>
      <c r="O22" s="323">
        <f>SUMIFS(PL!T:T,PL!$B:$B,$B22)</f>
        <v>0</v>
      </c>
      <c r="P22" s="323">
        <f>SUMIFS(PL!U:U,PL!$B:$B,$B22)</f>
        <v>0</v>
      </c>
      <c r="Q22" s="323">
        <f>SUMIFS(PL!V:V,PL!$B:$B,$B22)</f>
        <v>0</v>
      </c>
      <c r="R22" s="323">
        <f>SUMIFS(PL!W:W,PL!$B:$B,$B22)</f>
        <v>0</v>
      </c>
      <c r="S22" s="323">
        <f>SUMIFS(PL!X:X,PL!$B:$B,$B22)</f>
        <v>0</v>
      </c>
      <c r="T22" s="323">
        <f>SUMIFS(PL!Y:Y,PL!$B:$B,$B22)</f>
        <v>0</v>
      </c>
      <c r="U22" s="323">
        <f>SUMIFS(PL!Z:Z,PL!$B:$B,$B22)</f>
        <v>0</v>
      </c>
      <c r="V22" s="323">
        <f>SUMIFS(PL!AA:AA,PL!$B:$B,$B22)</f>
        <v>0</v>
      </c>
      <c r="W22" s="323">
        <f>SUMIFS(PL!AB:AB,PL!$B:$B,$B22)</f>
        <v>0</v>
      </c>
      <c r="X22" s="323">
        <f>SUMIFS(PL!AC:AC,PL!$B:$B,$B22)</f>
        <v>0</v>
      </c>
      <c r="Y22" s="323">
        <f>SUMIFS(PL!AD:AD,PL!$B:$B,$B22)</f>
        <v>0</v>
      </c>
      <c r="Z22" s="323">
        <f>SUMIFS(PL!AE:AE,PL!$B:$B,$B22)</f>
        <v>0</v>
      </c>
      <c r="AA22" s="323">
        <f>SUMIFS(PL!AF:AF,PL!$B:$B,$B22)</f>
        <v>0</v>
      </c>
      <c r="AB22" s="323">
        <f>SUMIFS(PL!AG:AG,PL!$B:$B,$B22)</f>
        <v>0</v>
      </c>
      <c r="AC22" s="323">
        <f>SUMIFS(PL!AH:AH,PL!$B:$B,$B22)</f>
        <v>0</v>
      </c>
      <c r="AD22" s="323">
        <f>SUMIFS(PL!AI:AI,PL!$B:$B,$B22)</f>
        <v>0</v>
      </c>
      <c r="AE22" s="323">
        <f>SUMIFS(PL!AJ:AJ,PL!$B:$B,$B22)</f>
        <v>0</v>
      </c>
      <c r="AF22" s="323">
        <f>SUMIFS(PL!AK:AK,PL!$B:$B,$B22)</f>
        <v>0</v>
      </c>
      <c r="AG22" s="323">
        <f>SUMIFS(PL!AL:AL,PL!$B:$B,$B22)</f>
        <v>0</v>
      </c>
      <c r="AH22" s="323">
        <f>SUMIFS(PL!AM:AM,PL!$B:$B,$B22)</f>
        <v>0</v>
      </c>
      <c r="AI22" s="323">
        <f>SUMIFS(PL!AN:AN,PL!$B:$B,$B22)</f>
        <v>0</v>
      </c>
      <c r="AJ22" s="323">
        <f>SUMIFS(PL!AS:AS,PL!$B:$B,$B22)</f>
        <v>0</v>
      </c>
      <c r="AK22" s="323">
        <f>SUMIFS(PL!AT:AT,PL!$B:$B,$B22)</f>
        <v>0</v>
      </c>
      <c r="AL22" s="323">
        <f>SUMIFS(PL!AU:AU,PL!$B:$B,$B22)</f>
        <v>0</v>
      </c>
      <c r="AM22" s="323">
        <f>SUMIFS(PL!AV:AV,PL!$B:$B,$B22)</f>
        <v>0</v>
      </c>
    </row>
    <row r="23" spans="1:39" s="264" customFormat="1" ht="13.95" customHeight="1">
      <c r="A23" s="311"/>
      <c r="B23" s="223" t="s">
        <v>178</v>
      </c>
      <c r="C23" s="323">
        <f>SUMIFS($G23:$BC23,$G$5:$BC$5,"&lt;="&amp;EOMONTH(C$5,0),$G$6:$BC$6,"&lt;="&amp;C$5)</f>
        <v>0</v>
      </c>
      <c r="D23" s="323">
        <f t="shared" si="45"/>
        <v>0</v>
      </c>
      <c r="E23" s="323">
        <f t="shared" si="45"/>
        <v>0</v>
      </c>
      <c r="F23" s="334"/>
      <c r="G23" s="323">
        <f>SUMIFS(PL!L:L,PL!$B:$B,$B23)</f>
        <v>0</v>
      </c>
      <c r="H23" s="323">
        <f>SUMIFS(PL!M:M,PL!$B:$B,$B23)</f>
        <v>0</v>
      </c>
      <c r="I23" s="323">
        <f>SUMIFS(PL!N:N,PL!$B:$B,$B23)</f>
        <v>0</v>
      </c>
      <c r="J23" s="323">
        <f>SUMIFS(PL!O:O,PL!$B:$B,$B23)</f>
        <v>0</v>
      </c>
      <c r="K23" s="323">
        <f>SUMIFS(PL!P:P,PL!$B:$B,$B23)</f>
        <v>0</v>
      </c>
      <c r="L23" s="323">
        <f>SUMIFS(PL!Q:Q,PL!$B:$B,$B23)</f>
        <v>0</v>
      </c>
      <c r="M23" s="323">
        <f>SUMIFS(PL!R:R,PL!$B:$B,$B23)</f>
        <v>0</v>
      </c>
      <c r="N23" s="323">
        <f>SUMIFS(PL!S:S,PL!$B:$B,$B23)</f>
        <v>0</v>
      </c>
      <c r="O23" s="323">
        <f>SUMIFS(PL!T:T,PL!$B:$B,$B23)</f>
        <v>0</v>
      </c>
      <c r="P23" s="323">
        <f>SUMIFS(PL!U:U,PL!$B:$B,$B23)</f>
        <v>0</v>
      </c>
      <c r="Q23" s="323">
        <f>SUMIFS(PL!V:V,PL!$B:$B,$B23)</f>
        <v>0</v>
      </c>
      <c r="R23" s="323">
        <f>SUMIFS(PL!W:W,PL!$B:$B,$B23)</f>
        <v>0</v>
      </c>
      <c r="S23" s="323">
        <f>SUMIFS(PL!X:X,PL!$B:$B,$B23)</f>
        <v>0</v>
      </c>
      <c r="T23" s="323">
        <f>SUMIFS(PL!Y:Y,PL!$B:$B,$B23)</f>
        <v>0</v>
      </c>
      <c r="U23" s="323">
        <f>SUMIFS(PL!Z:Z,PL!$B:$B,$B23)</f>
        <v>0</v>
      </c>
      <c r="V23" s="323">
        <f>SUMIFS(PL!AA:AA,PL!$B:$B,$B23)</f>
        <v>0</v>
      </c>
      <c r="W23" s="323">
        <f>SUMIFS(PL!AB:AB,PL!$B:$B,$B23)</f>
        <v>0</v>
      </c>
      <c r="X23" s="323">
        <f>SUMIFS(PL!AC:AC,PL!$B:$B,$B23)</f>
        <v>0</v>
      </c>
      <c r="Y23" s="323">
        <f>SUMIFS(PL!AD:AD,PL!$B:$B,$B23)</f>
        <v>0</v>
      </c>
      <c r="Z23" s="323">
        <f>SUMIFS(PL!AE:AE,PL!$B:$B,$B23)</f>
        <v>0</v>
      </c>
      <c r="AA23" s="323">
        <f>SUMIFS(PL!AF:AF,PL!$B:$B,$B23)</f>
        <v>0</v>
      </c>
      <c r="AB23" s="323">
        <f>SUMIFS(PL!AG:AG,PL!$B:$B,$B23)</f>
        <v>0</v>
      </c>
      <c r="AC23" s="323">
        <f>SUMIFS(PL!AH:AH,PL!$B:$B,$B23)</f>
        <v>0</v>
      </c>
      <c r="AD23" s="323">
        <f>SUMIFS(PL!AI:AI,PL!$B:$B,$B23)</f>
        <v>0</v>
      </c>
      <c r="AE23" s="323">
        <f>SUMIFS(PL!AJ:AJ,PL!$B:$B,$B23)</f>
        <v>0</v>
      </c>
      <c r="AF23" s="323">
        <f>SUMIFS(PL!AK:AK,PL!$B:$B,$B23)</f>
        <v>0</v>
      </c>
      <c r="AG23" s="323">
        <f>SUMIFS(PL!AL:AL,PL!$B:$B,$B23)</f>
        <v>0</v>
      </c>
      <c r="AH23" s="323">
        <f>SUMIFS(PL!AM:AM,PL!$B:$B,$B23)</f>
        <v>0</v>
      </c>
      <c r="AI23" s="323">
        <f>SUMIFS(PL!AN:AN,PL!$B:$B,$B23)</f>
        <v>0</v>
      </c>
      <c r="AJ23" s="323">
        <f>SUMIFS(PL!AS:AS,PL!$B:$B,$B23)</f>
        <v>0</v>
      </c>
      <c r="AK23" s="323">
        <f>SUMIFS(PL!AT:AT,PL!$B:$B,$B23)</f>
        <v>0</v>
      </c>
      <c r="AL23" s="323">
        <f>SUMIFS(PL!AU:AU,PL!$B:$B,$B23)</f>
        <v>0</v>
      </c>
      <c r="AM23" s="323">
        <f>SUMIFS(PL!AV:AV,PL!$B:$B,$B23)</f>
        <v>0</v>
      </c>
    </row>
    <row r="24" spans="1:39" s="262" customFormat="1" ht="13.95" customHeight="1">
      <c r="A24" s="311"/>
      <c r="B24" s="424" t="s">
        <v>179</v>
      </c>
      <c r="C24" s="350">
        <f>SUMIFS($G24:$BC24,$G$5:$BC$5,"&lt;="&amp;EOMONTH(C$5,0),$G$6:$BC$6,"&lt;="&amp;C$5)</f>
        <v>0</v>
      </c>
      <c r="D24" s="350">
        <f t="shared" si="45"/>
        <v>0</v>
      </c>
      <c r="E24" s="350">
        <f t="shared" si="45"/>
        <v>0</v>
      </c>
      <c r="F24" s="334"/>
      <c r="G24" s="350">
        <f>SUMIFS(PL!L:L,PL!$B:$B,$B24)</f>
        <v>0</v>
      </c>
      <c r="H24" s="350">
        <f>SUMIFS(PL!M:M,PL!$B:$B,$B24)</f>
        <v>0</v>
      </c>
      <c r="I24" s="350">
        <f>SUMIFS(PL!N:N,PL!$B:$B,$B24)</f>
        <v>0</v>
      </c>
      <c r="J24" s="350">
        <f>SUMIFS(PL!O:O,PL!$B:$B,$B24)</f>
        <v>0</v>
      </c>
      <c r="K24" s="350">
        <f>SUMIFS(PL!P:P,PL!$B:$B,$B24)</f>
        <v>0</v>
      </c>
      <c r="L24" s="350">
        <f>SUMIFS(PL!Q:Q,PL!$B:$B,$B24)</f>
        <v>0</v>
      </c>
      <c r="M24" s="350">
        <f>SUMIFS(PL!R:R,PL!$B:$B,$B24)</f>
        <v>0</v>
      </c>
      <c r="N24" s="350">
        <f>SUMIFS(PL!S:S,PL!$B:$B,$B24)</f>
        <v>0</v>
      </c>
      <c r="O24" s="350">
        <f>SUMIFS(PL!T:T,PL!$B:$B,$B24)</f>
        <v>0</v>
      </c>
      <c r="P24" s="350">
        <f>SUMIFS(PL!U:U,PL!$B:$B,$B24)</f>
        <v>0</v>
      </c>
      <c r="Q24" s="350">
        <f>SUMIFS(PL!V:V,PL!$B:$B,$B24)</f>
        <v>0</v>
      </c>
      <c r="R24" s="350">
        <f>SUMIFS(PL!W:W,PL!$B:$B,$B24)</f>
        <v>0</v>
      </c>
      <c r="S24" s="350">
        <f>SUMIFS(PL!X:X,PL!$B:$B,$B24)</f>
        <v>0</v>
      </c>
      <c r="T24" s="350">
        <f>SUMIFS(PL!Y:Y,PL!$B:$B,$B24)</f>
        <v>0</v>
      </c>
      <c r="U24" s="350">
        <f>SUMIFS(PL!Z:Z,PL!$B:$B,$B24)</f>
        <v>0</v>
      </c>
      <c r="V24" s="350">
        <f>SUMIFS(PL!AA:AA,PL!$B:$B,$B24)</f>
        <v>0</v>
      </c>
      <c r="W24" s="350">
        <f>SUMIFS(PL!AB:AB,PL!$B:$B,$B24)</f>
        <v>0</v>
      </c>
      <c r="X24" s="350">
        <f>SUMIFS(PL!AC:AC,PL!$B:$B,$B24)</f>
        <v>0</v>
      </c>
      <c r="Y24" s="350">
        <f>SUMIFS(PL!AD:AD,PL!$B:$B,$B24)</f>
        <v>0</v>
      </c>
      <c r="Z24" s="350">
        <f>SUMIFS(PL!AE:AE,PL!$B:$B,$B24)</f>
        <v>0</v>
      </c>
      <c r="AA24" s="350">
        <f>SUMIFS(PL!AF:AF,PL!$B:$B,$B24)</f>
        <v>0</v>
      </c>
      <c r="AB24" s="350">
        <f>SUMIFS(PL!AG:AG,PL!$B:$B,$B24)</f>
        <v>0</v>
      </c>
      <c r="AC24" s="350">
        <f>SUMIFS(PL!AH:AH,PL!$B:$B,$B24)</f>
        <v>0</v>
      </c>
      <c r="AD24" s="350">
        <f>SUMIFS(PL!AI:AI,PL!$B:$B,$B24)</f>
        <v>0</v>
      </c>
      <c r="AE24" s="350">
        <f>SUMIFS(PL!AJ:AJ,PL!$B:$B,$B24)</f>
        <v>0</v>
      </c>
      <c r="AF24" s="350">
        <f>SUMIFS(PL!AK:AK,PL!$B:$B,$B24)</f>
        <v>0</v>
      </c>
      <c r="AG24" s="350">
        <f>SUMIFS(PL!AL:AL,PL!$B:$B,$B24)</f>
        <v>0</v>
      </c>
      <c r="AH24" s="350">
        <f>SUMIFS(PL!AM:AM,PL!$B:$B,$B24)</f>
        <v>0</v>
      </c>
      <c r="AI24" s="350">
        <f>SUMIFS(PL!AN:AN,PL!$B:$B,$B24)</f>
        <v>0</v>
      </c>
      <c r="AJ24" s="350">
        <f>SUMIFS(PL!AS:AS,PL!$B:$B,$B24)</f>
        <v>0</v>
      </c>
      <c r="AK24" s="350">
        <f>SUMIFS(PL!AT:AT,PL!$B:$B,$B24)</f>
        <v>0</v>
      </c>
      <c r="AL24" s="350">
        <f>SUMIFS(PL!AU:AU,PL!$B:$B,$B24)</f>
        <v>0</v>
      </c>
      <c r="AM24" s="350">
        <f>SUMIFS(PL!AV:AV,PL!$B:$B,$B24)</f>
        <v>0</v>
      </c>
    </row>
    <row r="25" spans="1:39" s="264" customFormat="1" ht="13.95" customHeight="1">
      <c r="A25" s="435"/>
      <c r="B25" s="434" t="s">
        <v>180</v>
      </c>
      <c r="C25" s="319">
        <f>SUM(C21:C24)</f>
        <v>0</v>
      </c>
      <c r="D25" s="319">
        <f>SUM(D21:D24)</f>
        <v>0</v>
      </c>
      <c r="E25" s="319">
        <f>SUM(E21:E24)</f>
        <v>0</v>
      </c>
      <c r="F25" s="337"/>
      <c r="G25" s="319">
        <f t="shared" ref="G25:AE25" si="46">SUM(G21:G24)</f>
        <v>0</v>
      </c>
      <c r="H25" s="319">
        <f t="shared" si="46"/>
        <v>0</v>
      </c>
      <c r="I25" s="319">
        <f t="shared" si="46"/>
        <v>0</v>
      </c>
      <c r="J25" s="319">
        <f t="shared" si="46"/>
        <v>0</v>
      </c>
      <c r="K25" s="319">
        <f t="shared" si="46"/>
        <v>0</v>
      </c>
      <c r="L25" s="319">
        <f t="shared" si="46"/>
        <v>0</v>
      </c>
      <c r="M25" s="319">
        <f t="shared" si="46"/>
        <v>0</v>
      </c>
      <c r="N25" s="319">
        <f t="shared" si="46"/>
        <v>0</v>
      </c>
      <c r="O25" s="319">
        <f t="shared" si="46"/>
        <v>0</v>
      </c>
      <c r="P25" s="319">
        <f t="shared" si="46"/>
        <v>0</v>
      </c>
      <c r="Q25" s="319">
        <f t="shared" si="46"/>
        <v>0</v>
      </c>
      <c r="R25" s="319">
        <f t="shared" si="46"/>
        <v>0</v>
      </c>
      <c r="S25" s="319">
        <f t="shared" si="46"/>
        <v>0</v>
      </c>
      <c r="T25" s="319">
        <f t="shared" si="46"/>
        <v>0</v>
      </c>
      <c r="U25" s="319">
        <f t="shared" si="46"/>
        <v>0</v>
      </c>
      <c r="V25" s="319">
        <f t="shared" si="46"/>
        <v>0</v>
      </c>
      <c r="W25" s="319">
        <f t="shared" si="46"/>
        <v>0</v>
      </c>
      <c r="X25" s="319">
        <f t="shared" si="46"/>
        <v>0</v>
      </c>
      <c r="Y25" s="319">
        <f t="shared" si="46"/>
        <v>0</v>
      </c>
      <c r="Z25" s="319">
        <f t="shared" si="46"/>
        <v>0</v>
      </c>
      <c r="AA25" s="319">
        <f t="shared" si="46"/>
        <v>0</v>
      </c>
      <c r="AB25" s="319">
        <f t="shared" si="46"/>
        <v>0</v>
      </c>
      <c r="AC25" s="319">
        <f t="shared" si="46"/>
        <v>0</v>
      </c>
      <c r="AD25" s="319">
        <f t="shared" si="46"/>
        <v>0</v>
      </c>
      <c r="AE25" s="319">
        <f t="shared" si="46"/>
        <v>0</v>
      </c>
      <c r="AF25" s="319">
        <f t="shared" ref="AF25:AM25" si="47">SUM(AF21:AF24)</f>
        <v>0</v>
      </c>
      <c r="AG25" s="319">
        <f t="shared" si="47"/>
        <v>0</v>
      </c>
      <c r="AH25" s="319">
        <f t="shared" si="47"/>
        <v>0</v>
      </c>
      <c r="AI25" s="319">
        <f t="shared" si="47"/>
        <v>0</v>
      </c>
      <c r="AJ25" s="319">
        <f t="shared" si="47"/>
        <v>0</v>
      </c>
      <c r="AK25" s="319">
        <f t="shared" si="47"/>
        <v>0</v>
      </c>
      <c r="AL25" s="319">
        <f t="shared" si="47"/>
        <v>0</v>
      </c>
      <c r="AM25" s="319">
        <f t="shared" si="47"/>
        <v>0</v>
      </c>
    </row>
    <row r="26" spans="1:39" s="262" customFormat="1" ht="13.95" customHeight="1">
      <c r="A26" s="311" t="s">
        <v>0</v>
      </c>
      <c r="B26" s="223" t="s">
        <v>0</v>
      </c>
      <c r="C26" s="323">
        <f>SUMIFS($G26:$BC26,$G$5:$BC$5,"&lt;="&amp;EOMONTH(C$5,0),$G$6:$BC$6,"&lt;="&amp;C$5)</f>
        <v>0</v>
      </c>
      <c r="D26" s="323">
        <f>SUMIFS($G26:$AT26,$G$5:$AT$5,"&gt;"&amp;EOMONTH(D$5,-12),$G$5:$AT$5,"&lt;="&amp;D$5)</f>
        <v>0</v>
      </c>
      <c r="E26" s="323">
        <f>SUMIFS($G26:$AT26,$G$5:$AT$5,"&gt;"&amp;EOMONTH(E$5,-12),$G$5:$AT$5,"&lt;="&amp;E$5)</f>
        <v>0</v>
      </c>
      <c r="F26" s="334"/>
      <c r="G26" s="323">
        <f>SUMIFS(PL!L:L,PL!$B:$B,$B26)</f>
        <v>0</v>
      </c>
      <c r="H26" s="323">
        <f>SUMIFS(PL!M:M,PL!$B:$B,$B26)</f>
        <v>0</v>
      </c>
      <c r="I26" s="323">
        <f>SUMIFS(PL!N:N,PL!$B:$B,$B26)</f>
        <v>0</v>
      </c>
      <c r="J26" s="323">
        <f>SUMIFS(PL!O:O,PL!$B:$B,$B26)</f>
        <v>0</v>
      </c>
      <c r="K26" s="323">
        <f>SUMIFS(PL!P:P,PL!$B:$B,$B26)</f>
        <v>0</v>
      </c>
      <c r="L26" s="323">
        <f>SUMIFS(PL!Q:Q,PL!$B:$B,$B26)</f>
        <v>0</v>
      </c>
      <c r="M26" s="323">
        <f>SUMIFS(PL!R:R,PL!$B:$B,$B26)</f>
        <v>0</v>
      </c>
      <c r="N26" s="323">
        <f>SUMIFS(PL!S:S,PL!$B:$B,$B26)</f>
        <v>0</v>
      </c>
      <c r="O26" s="323">
        <f>SUMIFS(PL!T:T,PL!$B:$B,$B26)</f>
        <v>0</v>
      </c>
      <c r="P26" s="323">
        <f>SUMIFS(PL!U:U,PL!$B:$B,$B26)</f>
        <v>0</v>
      </c>
      <c r="Q26" s="323">
        <f>SUMIFS(PL!V:V,PL!$B:$B,$B26)</f>
        <v>0</v>
      </c>
      <c r="R26" s="323">
        <f>SUMIFS(PL!W:W,PL!$B:$B,$B26)</f>
        <v>0</v>
      </c>
      <c r="S26" s="323">
        <f>SUMIFS(PL!X:X,PL!$B:$B,$B26)</f>
        <v>0</v>
      </c>
      <c r="T26" s="323">
        <f>SUMIFS(PL!Y:Y,PL!$B:$B,$B26)</f>
        <v>0</v>
      </c>
      <c r="U26" s="323">
        <f>SUMIFS(PL!Z:Z,PL!$B:$B,$B26)</f>
        <v>0</v>
      </c>
      <c r="V26" s="323">
        <f>SUMIFS(PL!AA:AA,PL!$B:$B,$B26)</f>
        <v>0</v>
      </c>
      <c r="W26" s="323">
        <f>SUMIFS(PL!AB:AB,PL!$B:$B,$B26)</f>
        <v>0</v>
      </c>
      <c r="X26" s="323">
        <f>SUMIFS(PL!AC:AC,PL!$B:$B,$B26)</f>
        <v>0</v>
      </c>
      <c r="Y26" s="323">
        <f>SUMIFS(PL!AD:AD,PL!$B:$B,$B26)</f>
        <v>0</v>
      </c>
      <c r="Z26" s="323">
        <f>SUMIFS(PL!AE:AE,PL!$B:$B,$B26)</f>
        <v>0</v>
      </c>
      <c r="AA26" s="323">
        <f>SUMIFS(PL!AF:AF,PL!$B:$B,$B26)</f>
        <v>0</v>
      </c>
      <c r="AB26" s="323">
        <f>SUMIFS(PL!AG:AG,PL!$B:$B,$B26)</f>
        <v>0</v>
      </c>
      <c r="AC26" s="323">
        <f>SUMIFS(PL!AH:AH,PL!$B:$B,$B26)</f>
        <v>0</v>
      </c>
      <c r="AD26" s="323">
        <f>SUMIFS(PL!AI:AI,PL!$B:$B,$B26)</f>
        <v>0</v>
      </c>
      <c r="AE26" s="323">
        <f>SUMIFS(PL!AJ:AJ,PL!$B:$B,$B26)</f>
        <v>0</v>
      </c>
      <c r="AF26" s="323">
        <f>SUMIFS(PL!AK:AK,PL!$B:$B,$B26)</f>
        <v>0</v>
      </c>
      <c r="AG26" s="323">
        <f>SUMIFS(PL!AL:AL,PL!$B:$B,$B26)</f>
        <v>0</v>
      </c>
      <c r="AH26" s="323">
        <f>SUMIFS(PL!AM:AM,PL!$B:$B,$B26)</f>
        <v>0</v>
      </c>
      <c r="AI26" s="323">
        <f>SUMIFS(PL!AN:AN,PL!$B:$B,$B26)</f>
        <v>0</v>
      </c>
      <c r="AJ26" s="323">
        <f>SUMIFS(PL!AS:AS,PL!$B:$B,$B26)</f>
        <v>0</v>
      </c>
      <c r="AK26" s="323">
        <f>SUMIFS(PL!AT:AT,PL!$B:$B,$B26)</f>
        <v>0</v>
      </c>
      <c r="AL26" s="323">
        <f>SUMIFS(PL!AU:AU,PL!$B:$B,$B26)</f>
        <v>0</v>
      </c>
      <c r="AM26" s="323">
        <f>SUMIFS(PL!AV:AV,PL!$B:$B,$B26)</f>
        <v>0</v>
      </c>
    </row>
    <row r="27" spans="1:39" s="262" customFormat="1" ht="13.95" customHeight="1">
      <c r="A27" s="311"/>
      <c r="B27" s="223" t="s">
        <v>1</v>
      </c>
      <c r="C27" s="323">
        <f>SUBTOTAL(9,C28:C42)</f>
        <v>0</v>
      </c>
      <c r="D27" s="323">
        <f t="shared" ref="D27:AE27" si="48">SUBTOTAL(9,D28:D42)</f>
        <v>0</v>
      </c>
      <c r="E27" s="323">
        <f t="shared" si="48"/>
        <v>0</v>
      </c>
      <c r="F27" s="334"/>
      <c r="G27" s="323">
        <f t="shared" si="48"/>
        <v>0</v>
      </c>
      <c r="H27" s="323">
        <f t="shared" si="48"/>
        <v>0</v>
      </c>
      <c r="I27" s="323">
        <f t="shared" si="48"/>
        <v>0</v>
      </c>
      <c r="J27" s="323">
        <f t="shared" si="48"/>
        <v>0</v>
      </c>
      <c r="K27" s="323">
        <f t="shared" si="48"/>
        <v>0</v>
      </c>
      <c r="L27" s="323">
        <f t="shared" si="48"/>
        <v>0</v>
      </c>
      <c r="M27" s="323">
        <f t="shared" si="48"/>
        <v>0</v>
      </c>
      <c r="N27" s="323">
        <f t="shared" si="48"/>
        <v>0</v>
      </c>
      <c r="O27" s="323">
        <f t="shared" si="48"/>
        <v>0</v>
      </c>
      <c r="P27" s="323">
        <f t="shared" si="48"/>
        <v>0</v>
      </c>
      <c r="Q27" s="323">
        <f t="shared" si="48"/>
        <v>0</v>
      </c>
      <c r="R27" s="323">
        <f t="shared" si="48"/>
        <v>0</v>
      </c>
      <c r="S27" s="323">
        <f t="shared" si="48"/>
        <v>0</v>
      </c>
      <c r="T27" s="323">
        <f t="shared" si="48"/>
        <v>0</v>
      </c>
      <c r="U27" s="323">
        <f t="shared" si="48"/>
        <v>0</v>
      </c>
      <c r="V27" s="323">
        <f t="shared" si="48"/>
        <v>0</v>
      </c>
      <c r="W27" s="323">
        <f t="shared" si="48"/>
        <v>0</v>
      </c>
      <c r="X27" s="323">
        <f t="shared" si="48"/>
        <v>0</v>
      </c>
      <c r="Y27" s="323">
        <f t="shared" si="48"/>
        <v>0</v>
      </c>
      <c r="Z27" s="323">
        <f t="shared" si="48"/>
        <v>0</v>
      </c>
      <c r="AA27" s="323">
        <f t="shared" si="48"/>
        <v>0</v>
      </c>
      <c r="AB27" s="323">
        <f t="shared" si="48"/>
        <v>0</v>
      </c>
      <c r="AC27" s="323">
        <f t="shared" si="48"/>
        <v>0</v>
      </c>
      <c r="AD27" s="323">
        <f t="shared" si="48"/>
        <v>0</v>
      </c>
      <c r="AE27" s="323">
        <f t="shared" si="48"/>
        <v>0</v>
      </c>
      <c r="AF27" s="323">
        <f t="shared" ref="AF27" si="49">SUBTOTAL(9,AF28:AF42)</f>
        <v>0</v>
      </c>
      <c r="AG27" s="323">
        <f t="shared" ref="AG27" si="50">SUBTOTAL(9,AG28:AG42)</f>
        <v>0</v>
      </c>
      <c r="AH27" s="323">
        <f t="shared" ref="AH27" si="51">SUBTOTAL(9,AH28:AH42)</f>
        <v>0</v>
      </c>
      <c r="AI27" s="323">
        <f t="shared" ref="AI27" si="52">SUBTOTAL(9,AI28:AI42)</f>
        <v>0</v>
      </c>
      <c r="AJ27" s="323">
        <f t="shared" ref="AJ27" si="53">SUBTOTAL(9,AJ28:AJ42)</f>
        <v>0</v>
      </c>
      <c r="AK27" s="323">
        <f t="shared" ref="AK27" si="54">SUBTOTAL(9,AK28:AK42)</f>
        <v>0</v>
      </c>
      <c r="AL27" s="323">
        <f t="shared" ref="AL27" si="55">SUBTOTAL(9,AL28:AL42)</f>
        <v>0</v>
      </c>
      <c r="AM27" s="323">
        <f t="shared" ref="AM27" si="56">SUBTOTAL(9,AM28:AM42)</f>
        <v>0</v>
      </c>
    </row>
    <row r="28" spans="1:39" s="262" customFormat="1" ht="13.95" customHeight="1" outlineLevel="1">
      <c r="A28" s="311" t="s">
        <v>1</v>
      </c>
      <c r="B28" s="531" t="s">
        <v>211</v>
      </c>
      <c r="C28" s="323">
        <f t="shared" ref="C28:C42" si="57">SUMIFS($G28:$BC28,$G$5:$BC$5,"&lt;="&amp;EOMONTH(C$5,0),$G$6:$BC$6,"&lt;="&amp;C$5)</f>
        <v>0</v>
      </c>
      <c r="D28" s="323">
        <f t="shared" ref="D28:E42" si="58">SUMIFS($G28:$AT28,$G$5:$AT$5,"&gt;"&amp;EOMONTH(D$5,-12),$G$5:$AT$5,"&lt;="&amp;D$5)</f>
        <v>0</v>
      </c>
      <c r="E28" s="323">
        <f t="shared" si="58"/>
        <v>0</v>
      </c>
      <c r="F28" s="334"/>
      <c r="G28" s="323">
        <f>SUMIFS(PL!L:L,PL!$B:$B,$B28,PL!$A:$A,$A28)</f>
        <v>0</v>
      </c>
      <c r="H28" s="323">
        <f>SUMIFS(PL!M:M,PL!$B:$B,$B28,PL!$A:$A,$A28)</f>
        <v>0</v>
      </c>
      <c r="I28" s="323">
        <f>SUMIFS(PL!N:N,PL!$B:$B,$B28,PL!$A:$A,$A28)</f>
        <v>0</v>
      </c>
      <c r="J28" s="323">
        <f>SUMIFS(PL!O:O,PL!$B:$B,$B28,PL!$A:$A,$A28)</f>
        <v>0</v>
      </c>
      <c r="K28" s="323">
        <f>SUMIFS(PL!P:P,PL!$B:$B,$B28,PL!$A:$A,$A28)</f>
        <v>0</v>
      </c>
      <c r="L28" s="323">
        <f>SUMIFS(PL!Q:Q,PL!$B:$B,$B28,PL!$A:$A,$A28)</f>
        <v>0</v>
      </c>
      <c r="M28" s="323">
        <f>SUMIFS(PL!R:R,PL!$B:$B,$B28,PL!$A:$A,$A28)</f>
        <v>0</v>
      </c>
      <c r="N28" s="323">
        <f>SUMIFS(PL!S:S,PL!$B:$B,$B28,PL!$A:$A,$A28)</f>
        <v>0</v>
      </c>
      <c r="O28" s="323">
        <f>SUMIFS(PL!T:T,PL!$B:$B,$B28,PL!$A:$A,$A28)</f>
        <v>0</v>
      </c>
      <c r="P28" s="323">
        <f>SUMIFS(PL!U:U,PL!$B:$B,$B28,PL!$A:$A,$A28)</f>
        <v>0</v>
      </c>
      <c r="Q28" s="323">
        <f>SUMIFS(PL!V:V,PL!$B:$B,$B28,PL!$A:$A,$A28)</f>
        <v>0</v>
      </c>
      <c r="R28" s="323">
        <f>SUMIFS(PL!W:W,PL!$B:$B,$B28,PL!$A:$A,$A28)</f>
        <v>0</v>
      </c>
      <c r="S28" s="323">
        <f>SUMIFS(PL!X:X,PL!$B:$B,$B28,PL!$A:$A,$A28)</f>
        <v>0</v>
      </c>
      <c r="T28" s="323">
        <f>SUMIFS(PL!Y:Y,PL!$B:$B,$B28,PL!$A:$A,$A28)</f>
        <v>0</v>
      </c>
      <c r="U28" s="323">
        <f>SUMIFS(PL!Z:Z,PL!$B:$B,$B28,PL!$A:$A,$A28)</f>
        <v>0</v>
      </c>
      <c r="V28" s="323">
        <f>SUMIFS(PL!AA:AA,PL!$B:$B,$B28,PL!$A:$A,$A28)</f>
        <v>0</v>
      </c>
      <c r="W28" s="323">
        <f>SUMIFS(PL!AB:AB,PL!$B:$B,$B28,PL!$A:$A,$A28)</f>
        <v>0</v>
      </c>
      <c r="X28" s="323">
        <f>SUMIFS(PL!AC:AC,PL!$B:$B,$B28,PL!$A:$A,$A28)</f>
        <v>0</v>
      </c>
      <c r="Y28" s="323">
        <f>SUMIFS(PL!AD:AD,PL!$B:$B,$B28,PL!$A:$A,$A28)</f>
        <v>0</v>
      </c>
      <c r="Z28" s="323">
        <f>SUMIFS(PL!AE:AE,PL!$B:$B,$B28,PL!$A:$A,$A28)</f>
        <v>0</v>
      </c>
      <c r="AA28" s="323">
        <f>SUMIFS(PL!AF:AF,PL!$B:$B,$B28,PL!$A:$A,$A28)</f>
        <v>0</v>
      </c>
      <c r="AB28" s="323">
        <f>SUMIFS(PL!AG:AG,PL!$B:$B,$B28,PL!$A:$A,$A28)</f>
        <v>0</v>
      </c>
      <c r="AC28" s="323">
        <f>SUMIFS(PL!AH:AH,PL!$B:$B,$B28,PL!$A:$A,$A28)</f>
        <v>0</v>
      </c>
      <c r="AD28" s="323">
        <f>SUMIFS(PL!AI:AI,PL!$B:$B,$B28,PL!$A:$A,$A28)</f>
        <v>0</v>
      </c>
      <c r="AE28" s="323">
        <f>SUMIFS(PL!AJ:AJ,PL!$B:$B,$B28,PL!$A:$A,$A28)</f>
        <v>0</v>
      </c>
      <c r="AF28" s="323">
        <f>SUMIFS(PL!AK:AK,PL!$B:$B,$B28,PL!$A:$A,$A28)</f>
        <v>0</v>
      </c>
      <c r="AG28" s="323">
        <f>SUMIFS(PL!AL:AL,PL!$B:$B,$B28,PL!$A:$A,$A28)</f>
        <v>0</v>
      </c>
      <c r="AH28" s="323">
        <f>SUMIFS(PL!AM:AM,PL!$B:$B,$B28,PL!$A:$A,$A28)</f>
        <v>0</v>
      </c>
      <c r="AI28" s="323">
        <f>SUMIFS(PL!AN:AN,PL!$B:$B,$B28,PL!$A:$A,$A28)</f>
        <v>0</v>
      </c>
      <c r="AJ28" s="323">
        <f>SUMIFS(PL!AS:AS,PL!$B:$B,$B28,PL!$A:$A,$A28)</f>
        <v>0</v>
      </c>
      <c r="AK28" s="323">
        <f>SUMIFS(PL!AT:AT,PL!$B:$B,$B28,PL!$A:$A,$A28)</f>
        <v>0</v>
      </c>
      <c r="AL28" s="323">
        <f>SUMIFS(PL!AU:AU,PL!$B:$B,$B28,PL!$A:$A,$A28)</f>
        <v>0</v>
      </c>
      <c r="AM28" s="323">
        <f>SUMIFS(PL!AV:AV,PL!$B:$B,$B28,PL!$A:$A,$A28)</f>
        <v>0</v>
      </c>
    </row>
    <row r="29" spans="1:39" s="262" customFormat="1" ht="13.95" customHeight="1" outlineLevel="1">
      <c r="A29" s="311" t="s">
        <v>1</v>
      </c>
      <c r="B29" s="531" t="s">
        <v>212</v>
      </c>
      <c r="C29" s="323">
        <f t="shared" si="57"/>
        <v>0</v>
      </c>
      <c r="D29" s="323">
        <f t="shared" si="58"/>
        <v>0</v>
      </c>
      <c r="E29" s="323">
        <f t="shared" si="58"/>
        <v>0</v>
      </c>
      <c r="F29" s="334"/>
      <c r="G29" s="323">
        <f>SUMIFS(PL!L:L,PL!$B:$B,$B29,PL!$A:$A,$A29)</f>
        <v>0</v>
      </c>
      <c r="H29" s="323">
        <f>SUMIFS(PL!M:M,PL!$B:$B,$B29,PL!$A:$A,$A29)</f>
        <v>0</v>
      </c>
      <c r="I29" s="323">
        <f>SUMIFS(PL!N:N,PL!$B:$B,$B29,PL!$A:$A,$A29)</f>
        <v>0</v>
      </c>
      <c r="J29" s="323">
        <f>SUMIFS(PL!O:O,PL!$B:$B,$B29,PL!$A:$A,$A29)</f>
        <v>0</v>
      </c>
      <c r="K29" s="323">
        <f>SUMIFS(PL!P:P,PL!$B:$B,$B29,PL!$A:$A,$A29)</f>
        <v>0</v>
      </c>
      <c r="L29" s="323">
        <f>SUMIFS(PL!Q:Q,PL!$B:$B,$B29,PL!$A:$A,$A29)</f>
        <v>0</v>
      </c>
      <c r="M29" s="323">
        <f>SUMIFS(PL!R:R,PL!$B:$B,$B29,PL!$A:$A,$A29)</f>
        <v>0</v>
      </c>
      <c r="N29" s="323">
        <f>SUMIFS(PL!S:S,PL!$B:$B,$B29,PL!$A:$A,$A29)</f>
        <v>0</v>
      </c>
      <c r="O29" s="323">
        <f>SUMIFS(PL!T:T,PL!$B:$B,$B29,PL!$A:$A,$A29)</f>
        <v>0</v>
      </c>
      <c r="P29" s="323">
        <f>SUMIFS(PL!U:U,PL!$B:$B,$B29,PL!$A:$A,$A29)</f>
        <v>0</v>
      </c>
      <c r="Q29" s="323">
        <f>SUMIFS(PL!V:V,PL!$B:$B,$B29,PL!$A:$A,$A29)</f>
        <v>0</v>
      </c>
      <c r="R29" s="323">
        <f>SUMIFS(PL!W:W,PL!$B:$B,$B29,PL!$A:$A,$A29)</f>
        <v>0</v>
      </c>
      <c r="S29" s="323">
        <f>SUMIFS(PL!X:X,PL!$B:$B,$B29,PL!$A:$A,$A29)</f>
        <v>0</v>
      </c>
      <c r="T29" s="323">
        <f>SUMIFS(PL!Y:Y,PL!$B:$B,$B29,PL!$A:$A,$A29)</f>
        <v>0</v>
      </c>
      <c r="U29" s="323">
        <f>SUMIFS(PL!Z:Z,PL!$B:$B,$B29,PL!$A:$A,$A29)</f>
        <v>0</v>
      </c>
      <c r="V29" s="323">
        <f>SUMIFS(PL!AA:AA,PL!$B:$B,$B29,PL!$A:$A,$A29)</f>
        <v>0</v>
      </c>
      <c r="W29" s="323">
        <f>SUMIFS(PL!AB:AB,PL!$B:$B,$B29,PL!$A:$A,$A29)</f>
        <v>0</v>
      </c>
      <c r="X29" s="323">
        <f>SUMIFS(PL!AC:AC,PL!$B:$B,$B29,PL!$A:$A,$A29)</f>
        <v>0</v>
      </c>
      <c r="Y29" s="323">
        <f>SUMIFS(PL!AD:AD,PL!$B:$B,$B29,PL!$A:$A,$A29)</f>
        <v>0</v>
      </c>
      <c r="Z29" s="323">
        <f>SUMIFS(PL!AE:AE,PL!$B:$B,$B29,PL!$A:$A,$A29)</f>
        <v>0</v>
      </c>
      <c r="AA29" s="323">
        <f>SUMIFS(PL!AF:AF,PL!$B:$B,$B29,PL!$A:$A,$A29)</f>
        <v>0</v>
      </c>
      <c r="AB29" s="323">
        <f>SUMIFS(PL!AG:AG,PL!$B:$B,$B29,PL!$A:$A,$A29)</f>
        <v>0</v>
      </c>
      <c r="AC29" s="323">
        <f>SUMIFS(PL!AH:AH,PL!$B:$B,$B29,PL!$A:$A,$A29)</f>
        <v>0</v>
      </c>
      <c r="AD29" s="323">
        <f>SUMIFS(PL!AI:AI,PL!$B:$B,$B29,PL!$A:$A,$A29)</f>
        <v>0</v>
      </c>
      <c r="AE29" s="323">
        <f>SUMIFS(PL!AJ:AJ,PL!$B:$B,$B29,PL!$A:$A,$A29)</f>
        <v>0</v>
      </c>
      <c r="AF29" s="323">
        <f>SUMIFS(PL!AK:AK,PL!$B:$B,$B29,PL!$A:$A,$A29)</f>
        <v>0</v>
      </c>
      <c r="AG29" s="323">
        <f>SUMIFS(PL!AL:AL,PL!$B:$B,$B29,PL!$A:$A,$A29)</f>
        <v>0</v>
      </c>
      <c r="AH29" s="323">
        <f>SUMIFS(PL!AM:AM,PL!$B:$B,$B29,PL!$A:$A,$A29)</f>
        <v>0</v>
      </c>
      <c r="AI29" s="323">
        <f>SUMIFS(PL!AN:AN,PL!$B:$B,$B29,PL!$A:$A,$A29)</f>
        <v>0</v>
      </c>
      <c r="AJ29" s="323">
        <f>SUMIFS(PL!AS:AS,PL!$B:$B,$B29,PL!$A:$A,$A29)</f>
        <v>0</v>
      </c>
      <c r="AK29" s="323">
        <f>SUMIFS(PL!AT:AT,PL!$B:$B,$B29,PL!$A:$A,$A29)</f>
        <v>0</v>
      </c>
      <c r="AL29" s="323">
        <f>SUMIFS(PL!AU:AU,PL!$B:$B,$B29,PL!$A:$A,$A29)</f>
        <v>0</v>
      </c>
      <c r="AM29" s="323">
        <f>SUMIFS(PL!AV:AV,PL!$B:$B,$B29,PL!$A:$A,$A29)</f>
        <v>0</v>
      </c>
    </row>
    <row r="30" spans="1:39" s="262" customFormat="1" ht="13.95" customHeight="1" outlineLevel="1">
      <c r="A30" s="311" t="s">
        <v>1</v>
      </c>
      <c r="B30" s="531" t="s">
        <v>213</v>
      </c>
      <c r="C30" s="323">
        <f t="shared" si="57"/>
        <v>0</v>
      </c>
      <c r="D30" s="323">
        <f t="shared" si="58"/>
        <v>0</v>
      </c>
      <c r="E30" s="323">
        <f t="shared" si="58"/>
        <v>0</v>
      </c>
      <c r="F30" s="334"/>
      <c r="G30" s="323">
        <f>SUMIFS(PL!L:L,PL!$B:$B,$B30,PL!$A:$A,$A30)</f>
        <v>0</v>
      </c>
      <c r="H30" s="323">
        <f>SUMIFS(PL!M:M,PL!$B:$B,$B30,PL!$A:$A,$A30)</f>
        <v>0</v>
      </c>
      <c r="I30" s="323">
        <f>SUMIFS(PL!N:N,PL!$B:$B,$B30,PL!$A:$A,$A30)</f>
        <v>0</v>
      </c>
      <c r="J30" s="323">
        <f>SUMIFS(PL!O:O,PL!$B:$B,$B30,PL!$A:$A,$A30)</f>
        <v>0</v>
      </c>
      <c r="K30" s="323">
        <f>SUMIFS(PL!P:P,PL!$B:$B,$B30,PL!$A:$A,$A30)</f>
        <v>0</v>
      </c>
      <c r="L30" s="323">
        <f>SUMIFS(PL!Q:Q,PL!$B:$B,$B30,PL!$A:$A,$A30)</f>
        <v>0</v>
      </c>
      <c r="M30" s="323">
        <f>SUMIFS(PL!R:R,PL!$B:$B,$B30,PL!$A:$A,$A30)</f>
        <v>0</v>
      </c>
      <c r="N30" s="323">
        <f>SUMIFS(PL!S:S,PL!$B:$B,$B30,PL!$A:$A,$A30)</f>
        <v>0</v>
      </c>
      <c r="O30" s="323">
        <f>SUMIFS(PL!T:T,PL!$B:$B,$B30,PL!$A:$A,$A30)</f>
        <v>0</v>
      </c>
      <c r="P30" s="323">
        <f>SUMIFS(PL!U:U,PL!$B:$B,$B30,PL!$A:$A,$A30)</f>
        <v>0</v>
      </c>
      <c r="Q30" s="323">
        <f>SUMIFS(PL!V:V,PL!$B:$B,$B30,PL!$A:$A,$A30)</f>
        <v>0</v>
      </c>
      <c r="R30" s="323">
        <f>SUMIFS(PL!W:W,PL!$B:$B,$B30,PL!$A:$A,$A30)</f>
        <v>0</v>
      </c>
      <c r="S30" s="323">
        <f>SUMIFS(PL!X:X,PL!$B:$B,$B30,PL!$A:$A,$A30)</f>
        <v>0</v>
      </c>
      <c r="T30" s="323">
        <f>SUMIFS(PL!Y:Y,PL!$B:$B,$B30,PL!$A:$A,$A30)</f>
        <v>0</v>
      </c>
      <c r="U30" s="323">
        <f>SUMIFS(PL!Z:Z,PL!$B:$B,$B30,PL!$A:$A,$A30)</f>
        <v>0</v>
      </c>
      <c r="V30" s="323">
        <f>SUMIFS(PL!AA:AA,PL!$B:$B,$B30,PL!$A:$A,$A30)</f>
        <v>0</v>
      </c>
      <c r="W30" s="323">
        <f>SUMIFS(PL!AB:AB,PL!$B:$B,$B30,PL!$A:$A,$A30)</f>
        <v>0</v>
      </c>
      <c r="X30" s="323">
        <f>SUMIFS(PL!AC:AC,PL!$B:$B,$B30,PL!$A:$A,$A30)</f>
        <v>0</v>
      </c>
      <c r="Y30" s="323">
        <f>SUMIFS(PL!AD:AD,PL!$B:$B,$B30,PL!$A:$A,$A30)</f>
        <v>0</v>
      </c>
      <c r="Z30" s="323">
        <f>SUMIFS(PL!AE:AE,PL!$B:$B,$B30,PL!$A:$A,$A30)</f>
        <v>0</v>
      </c>
      <c r="AA30" s="323">
        <f>SUMIFS(PL!AF:AF,PL!$B:$B,$B30,PL!$A:$A,$A30)</f>
        <v>0</v>
      </c>
      <c r="AB30" s="323">
        <f>SUMIFS(PL!AG:AG,PL!$B:$B,$B30,PL!$A:$A,$A30)</f>
        <v>0</v>
      </c>
      <c r="AC30" s="323">
        <f>SUMIFS(PL!AH:AH,PL!$B:$B,$B30,PL!$A:$A,$A30)</f>
        <v>0</v>
      </c>
      <c r="AD30" s="323">
        <f>SUMIFS(PL!AI:AI,PL!$B:$B,$B30,PL!$A:$A,$A30)</f>
        <v>0</v>
      </c>
      <c r="AE30" s="323">
        <f>SUMIFS(PL!AJ:AJ,PL!$B:$B,$B30,PL!$A:$A,$A30)</f>
        <v>0</v>
      </c>
      <c r="AF30" s="323">
        <f>SUMIFS(PL!AK:AK,PL!$B:$B,$B30,PL!$A:$A,$A30)</f>
        <v>0</v>
      </c>
      <c r="AG30" s="323">
        <f>SUMIFS(PL!AL:AL,PL!$B:$B,$B30,PL!$A:$A,$A30)</f>
        <v>0</v>
      </c>
      <c r="AH30" s="323">
        <f>SUMIFS(PL!AM:AM,PL!$B:$B,$B30,PL!$A:$A,$A30)</f>
        <v>0</v>
      </c>
      <c r="AI30" s="323">
        <f>SUMIFS(PL!AN:AN,PL!$B:$B,$B30,PL!$A:$A,$A30)</f>
        <v>0</v>
      </c>
      <c r="AJ30" s="323">
        <f>SUMIFS(PL!AS:AS,PL!$B:$B,$B30,PL!$A:$A,$A30)</f>
        <v>0</v>
      </c>
      <c r="AK30" s="323">
        <f>SUMIFS(PL!AT:AT,PL!$B:$B,$B30,PL!$A:$A,$A30)</f>
        <v>0</v>
      </c>
      <c r="AL30" s="323">
        <f>SUMIFS(PL!AU:AU,PL!$B:$B,$B30,PL!$A:$A,$A30)</f>
        <v>0</v>
      </c>
      <c r="AM30" s="323">
        <f>SUMIFS(PL!AV:AV,PL!$B:$B,$B30,PL!$A:$A,$A30)</f>
        <v>0</v>
      </c>
    </row>
    <row r="31" spans="1:39" s="262" customFormat="1" ht="13.95" customHeight="1" outlineLevel="1">
      <c r="A31" s="311" t="s">
        <v>1</v>
      </c>
      <c r="B31" s="531" t="s">
        <v>214</v>
      </c>
      <c r="C31" s="323">
        <f t="shared" si="57"/>
        <v>0</v>
      </c>
      <c r="D31" s="323">
        <f t="shared" si="58"/>
        <v>0</v>
      </c>
      <c r="E31" s="323">
        <f t="shared" si="58"/>
        <v>0</v>
      </c>
      <c r="F31" s="334"/>
      <c r="G31" s="323">
        <f>SUMIFS(PL!L:L,PL!$B:$B,$B31,PL!$A:$A,$A31)</f>
        <v>0</v>
      </c>
      <c r="H31" s="323">
        <f>SUMIFS(PL!M:M,PL!$B:$B,$B31,PL!$A:$A,$A31)</f>
        <v>0</v>
      </c>
      <c r="I31" s="323">
        <f>SUMIFS(PL!N:N,PL!$B:$B,$B31,PL!$A:$A,$A31)</f>
        <v>0</v>
      </c>
      <c r="J31" s="323">
        <f>SUMIFS(PL!O:O,PL!$B:$B,$B31,PL!$A:$A,$A31)</f>
        <v>0</v>
      </c>
      <c r="K31" s="323">
        <f>SUMIFS(PL!P:P,PL!$B:$B,$B31,PL!$A:$A,$A31)</f>
        <v>0</v>
      </c>
      <c r="L31" s="323">
        <f>SUMIFS(PL!Q:Q,PL!$B:$B,$B31,PL!$A:$A,$A31)</f>
        <v>0</v>
      </c>
      <c r="M31" s="323">
        <f>SUMIFS(PL!R:R,PL!$B:$B,$B31,PL!$A:$A,$A31)</f>
        <v>0</v>
      </c>
      <c r="N31" s="323">
        <f>SUMIFS(PL!S:S,PL!$B:$B,$B31,PL!$A:$A,$A31)</f>
        <v>0</v>
      </c>
      <c r="O31" s="323">
        <f>SUMIFS(PL!T:T,PL!$B:$B,$B31,PL!$A:$A,$A31)</f>
        <v>0</v>
      </c>
      <c r="P31" s="323">
        <f>SUMIFS(PL!U:U,PL!$B:$B,$B31,PL!$A:$A,$A31)</f>
        <v>0</v>
      </c>
      <c r="Q31" s="323">
        <f>SUMIFS(PL!V:V,PL!$B:$B,$B31,PL!$A:$A,$A31)</f>
        <v>0</v>
      </c>
      <c r="R31" s="323">
        <f>SUMIFS(PL!W:W,PL!$B:$B,$B31,PL!$A:$A,$A31)</f>
        <v>0</v>
      </c>
      <c r="S31" s="323">
        <f>SUMIFS(PL!X:X,PL!$B:$B,$B31,PL!$A:$A,$A31)</f>
        <v>0</v>
      </c>
      <c r="T31" s="323">
        <f>SUMIFS(PL!Y:Y,PL!$B:$B,$B31,PL!$A:$A,$A31)</f>
        <v>0</v>
      </c>
      <c r="U31" s="323">
        <f>SUMIFS(PL!Z:Z,PL!$B:$B,$B31,PL!$A:$A,$A31)</f>
        <v>0</v>
      </c>
      <c r="V31" s="323">
        <f>SUMIFS(PL!AA:AA,PL!$B:$B,$B31,PL!$A:$A,$A31)</f>
        <v>0</v>
      </c>
      <c r="W31" s="323">
        <f>SUMIFS(PL!AB:AB,PL!$B:$B,$B31,PL!$A:$A,$A31)</f>
        <v>0</v>
      </c>
      <c r="X31" s="323">
        <f>SUMIFS(PL!AC:AC,PL!$B:$B,$B31,PL!$A:$A,$A31)</f>
        <v>0</v>
      </c>
      <c r="Y31" s="323">
        <f>SUMIFS(PL!AD:AD,PL!$B:$B,$B31,PL!$A:$A,$A31)</f>
        <v>0</v>
      </c>
      <c r="Z31" s="323">
        <f>SUMIFS(PL!AE:AE,PL!$B:$B,$B31,PL!$A:$A,$A31)</f>
        <v>0</v>
      </c>
      <c r="AA31" s="323">
        <f>SUMIFS(PL!AF:AF,PL!$B:$B,$B31,PL!$A:$A,$A31)</f>
        <v>0</v>
      </c>
      <c r="AB31" s="323">
        <f>SUMIFS(PL!AG:AG,PL!$B:$B,$B31,PL!$A:$A,$A31)</f>
        <v>0</v>
      </c>
      <c r="AC31" s="323">
        <f>SUMIFS(PL!AH:AH,PL!$B:$B,$B31,PL!$A:$A,$A31)</f>
        <v>0</v>
      </c>
      <c r="AD31" s="323">
        <f>SUMIFS(PL!AI:AI,PL!$B:$B,$B31,PL!$A:$A,$A31)</f>
        <v>0</v>
      </c>
      <c r="AE31" s="323">
        <f>SUMIFS(PL!AJ:AJ,PL!$B:$B,$B31,PL!$A:$A,$A31)</f>
        <v>0</v>
      </c>
      <c r="AF31" s="323">
        <f>SUMIFS(PL!AK:AK,PL!$B:$B,$B31,PL!$A:$A,$A31)</f>
        <v>0</v>
      </c>
      <c r="AG31" s="323">
        <f>SUMIFS(PL!AL:AL,PL!$B:$B,$B31,PL!$A:$A,$A31)</f>
        <v>0</v>
      </c>
      <c r="AH31" s="323">
        <f>SUMIFS(PL!AM:AM,PL!$B:$B,$B31,PL!$A:$A,$A31)</f>
        <v>0</v>
      </c>
      <c r="AI31" s="323">
        <f>SUMIFS(PL!AN:AN,PL!$B:$B,$B31,PL!$A:$A,$A31)</f>
        <v>0</v>
      </c>
      <c r="AJ31" s="323">
        <f>SUMIFS(PL!AS:AS,PL!$B:$B,$B31,PL!$A:$A,$A31)</f>
        <v>0</v>
      </c>
      <c r="AK31" s="323">
        <f>SUMIFS(PL!AT:AT,PL!$B:$B,$B31,PL!$A:$A,$A31)</f>
        <v>0</v>
      </c>
      <c r="AL31" s="323">
        <f>SUMIFS(PL!AU:AU,PL!$B:$B,$B31,PL!$A:$A,$A31)</f>
        <v>0</v>
      </c>
      <c r="AM31" s="323">
        <f>SUMIFS(PL!AV:AV,PL!$B:$B,$B31,PL!$A:$A,$A31)</f>
        <v>0</v>
      </c>
    </row>
    <row r="32" spans="1:39" s="262" customFormat="1" ht="13.95" customHeight="1" outlineLevel="1">
      <c r="A32" s="311" t="s">
        <v>1</v>
      </c>
      <c r="B32" s="531" t="s">
        <v>215</v>
      </c>
      <c r="C32" s="323">
        <f t="shared" si="57"/>
        <v>0</v>
      </c>
      <c r="D32" s="323">
        <f t="shared" si="58"/>
        <v>0</v>
      </c>
      <c r="E32" s="323">
        <f t="shared" si="58"/>
        <v>0</v>
      </c>
      <c r="F32" s="334"/>
      <c r="G32" s="323">
        <f>SUMIFS(PL!L:L,PL!$B:$B,$B32,PL!$A:$A,$A32)</f>
        <v>0</v>
      </c>
      <c r="H32" s="323">
        <f>SUMIFS(PL!M:M,PL!$B:$B,$B32,PL!$A:$A,$A32)</f>
        <v>0</v>
      </c>
      <c r="I32" s="323">
        <f>SUMIFS(PL!N:N,PL!$B:$B,$B32,PL!$A:$A,$A32)</f>
        <v>0</v>
      </c>
      <c r="J32" s="323">
        <f>SUMIFS(PL!O:O,PL!$B:$B,$B32,PL!$A:$A,$A32)</f>
        <v>0</v>
      </c>
      <c r="K32" s="323">
        <f>SUMIFS(PL!P:P,PL!$B:$B,$B32,PL!$A:$A,$A32)</f>
        <v>0</v>
      </c>
      <c r="L32" s="323">
        <f>SUMIFS(PL!Q:Q,PL!$B:$B,$B32,PL!$A:$A,$A32)</f>
        <v>0</v>
      </c>
      <c r="M32" s="323">
        <f>SUMIFS(PL!R:R,PL!$B:$B,$B32,PL!$A:$A,$A32)</f>
        <v>0</v>
      </c>
      <c r="N32" s="323">
        <f>SUMIFS(PL!S:S,PL!$B:$B,$B32,PL!$A:$A,$A32)</f>
        <v>0</v>
      </c>
      <c r="O32" s="323">
        <f>SUMIFS(PL!T:T,PL!$B:$B,$B32,PL!$A:$A,$A32)</f>
        <v>0</v>
      </c>
      <c r="P32" s="323">
        <f>SUMIFS(PL!U:U,PL!$B:$B,$B32,PL!$A:$A,$A32)</f>
        <v>0</v>
      </c>
      <c r="Q32" s="323">
        <f>SUMIFS(PL!V:V,PL!$B:$B,$B32,PL!$A:$A,$A32)</f>
        <v>0</v>
      </c>
      <c r="R32" s="323">
        <f>SUMIFS(PL!W:W,PL!$B:$B,$B32,PL!$A:$A,$A32)</f>
        <v>0</v>
      </c>
      <c r="S32" s="323">
        <f>SUMIFS(PL!X:X,PL!$B:$B,$B32,PL!$A:$A,$A32)</f>
        <v>0</v>
      </c>
      <c r="T32" s="323">
        <f>SUMIFS(PL!Y:Y,PL!$B:$B,$B32,PL!$A:$A,$A32)</f>
        <v>0</v>
      </c>
      <c r="U32" s="323">
        <f>SUMIFS(PL!Z:Z,PL!$B:$B,$B32,PL!$A:$A,$A32)</f>
        <v>0</v>
      </c>
      <c r="V32" s="323">
        <f>SUMIFS(PL!AA:AA,PL!$B:$B,$B32,PL!$A:$A,$A32)</f>
        <v>0</v>
      </c>
      <c r="W32" s="323">
        <f>SUMIFS(PL!AB:AB,PL!$B:$B,$B32,PL!$A:$A,$A32)</f>
        <v>0</v>
      </c>
      <c r="X32" s="323">
        <f>SUMIFS(PL!AC:AC,PL!$B:$B,$B32,PL!$A:$A,$A32)</f>
        <v>0</v>
      </c>
      <c r="Y32" s="323">
        <f>SUMIFS(PL!AD:AD,PL!$B:$B,$B32,PL!$A:$A,$A32)</f>
        <v>0</v>
      </c>
      <c r="Z32" s="323">
        <f>SUMIFS(PL!AE:AE,PL!$B:$B,$B32,PL!$A:$A,$A32)</f>
        <v>0</v>
      </c>
      <c r="AA32" s="323">
        <f>SUMIFS(PL!AF:AF,PL!$B:$B,$B32,PL!$A:$A,$A32)</f>
        <v>0</v>
      </c>
      <c r="AB32" s="323">
        <f>SUMIFS(PL!AG:AG,PL!$B:$B,$B32,PL!$A:$A,$A32)</f>
        <v>0</v>
      </c>
      <c r="AC32" s="323">
        <f>SUMIFS(PL!AH:AH,PL!$B:$B,$B32,PL!$A:$A,$A32)</f>
        <v>0</v>
      </c>
      <c r="AD32" s="323">
        <f>SUMIFS(PL!AI:AI,PL!$B:$B,$B32,PL!$A:$A,$A32)</f>
        <v>0</v>
      </c>
      <c r="AE32" s="323">
        <f>SUMIFS(PL!AJ:AJ,PL!$B:$B,$B32,PL!$A:$A,$A32)</f>
        <v>0</v>
      </c>
      <c r="AF32" s="323">
        <f>SUMIFS(PL!AK:AK,PL!$B:$B,$B32,PL!$A:$A,$A32)</f>
        <v>0</v>
      </c>
      <c r="AG32" s="323">
        <f>SUMIFS(PL!AL:AL,PL!$B:$B,$B32,PL!$A:$A,$A32)</f>
        <v>0</v>
      </c>
      <c r="AH32" s="323">
        <f>SUMIFS(PL!AM:AM,PL!$B:$B,$B32,PL!$A:$A,$A32)</f>
        <v>0</v>
      </c>
      <c r="AI32" s="323">
        <f>SUMIFS(PL!AN:AN,PL!$B:$B,$B32,PL!$A:$A,$A32)</f>
        <v>0</v>
      </c>
      <c r="AJ32" s="323">
        <f>SUMIFS(PL!AS:AS,PL!$B:$B,$B32,PL!$A:$A,$A32)</f>
        <v>0</v>
      </c>
      <c r="AK32" s="323">
        <f>SUMIFS(PL!AT:AT,PL!$B:$B,$B32,PL!$A:$A,$A32)</f>
        <v>0</v>
      </c>
      <c r="AL32" s="323">
        <f>SUMIFS(PL!AU:AU,PL!$B:$B,$B32,PL!$A:$A,$A32)</f>
        <v>0</v>
      </c>
      <c r="AM32" s="323">
        <f>SUMIFS(PL!AV:AV,PL!$B:$B,$B32,PL!$A:$A,$A32)</f>
        <v>0</v>
      </c>
    </row>
    <row r="33" spans="1:39" s="262" customFormat="1" ht="13.95" customHeight="1" outlineLevel="1">
      <c r="A33" s="311" t="s">
        <v>1</v>
      </c>
      <c r="B33" s="531" t="s">
        <v>216</v>
      </c>
      <c r="C33" s="323">
        <f t="shared" si="57"/>
        <v>0</v>
      </c>
      <c r="D33" s="323">
        <f t="shared" si="58"/>
        <v>0</v>
      </c>
      <c r="E33" s="323">
        <f t="shared" si="58"/>
        <v>0</v>
      </c>
      <c r="F33" s="334"/>
      <c r="G33" s="323">
        <f>SUMIFS(PL!L:L,PL!$B:$B,$B33,PL!$A:$A,$A33)</f>
        <v>0</v>
      </c>
      <c r="H33" s="323">
        <f>SUMIFS(PL!M:M,PL!$B:$B,$B33,PL!$A:$A,$A33)</f>
        <v>0</v>
      </c>
      <c r="I33" s="323">
        <f>SUMIFS(PL!N:N,PL!$B:$B,$B33,PL!$A:$A,$A33)</f>
        <v>0</v>
      </c>
      <c r="J33" s="323">
        <f>SUMIFS(PL!O:O,PL!$B:$B,$B33,PL!$A:$A,$A33)</f>
        <v>0</v>
      </c>
      <c r="K33" s="323">
        <f>SUMIFS(PL!P:P,PL!$B:$B,$B33,PL!$A:$A,$A33)</f>
        <v>0</v>
      </c>
      <c r="L33" s="323">
        <f>SUMIFS(PL!Q:Q,PL!$B:$B,$B33,PL!$A:$A,$A33)</f>
        <v>0</v>
      </c>
      <c r="M33" s="323">
        <f>SUMIFS(PL!R:R,PL!$B:$B,$B33,PL!$A:$A,$A33)</f>
        <v>0</v>
      </c>
      <c r="N33" s="323">
        <f>SUMIFS(PL!S:S,PL!$B:$B,$B33,PL!$A:$A,$A33)</f>
        <v>0</v>
      </c>
      <c r="O33" s="323">
        <f>SUMIFS(PL!T:T,PL!$B:$B,$B33,PL!$A:$A,$A33)</f>
        <v>0</v>
      </c>
      <c r="P33" s="323">
        <f>SUMIFS(PL!U:U,PL!$B:$B,$B33,PL!$A:$A,$A33)</f>
        <v>0</v>
      </c>
      <c r="Q33" s="323">
        <f>SUMIFS(PL!V:V,PL!$B:$B,$B33,PL!$A:$A,$A33)</f>
        <v>0</v>
      </c>
      <c r="R33" s="323">
        <f>SUMIFS(PL!W:W,PL!$B:$B,$B33,PL!$A:$A,$A33)</f>
        <v>0</v>
      </c>
      <c r="S33" s="323">
        <f>SUMIFS(PL!X:X,PL!$B:$B,$B33,PL!$A:$A,$A33)</f>
        <v>0</v>
      </c>
      <c r="T33" s="323">
        <f>SUMIFS(PL!Y:Y,PL!$B:$B,$B33,PL!$A:$A,$A33)</f>
        <v>0</v>
      </c>
      <c r="U33" s="323">
        <f>SUMIFS(PL!Z:Z,PL!$B:$B,$B33,PL!$A:$A,$A33)</f>
        <v>0</v>
      </c>
      <c r="V33" s="323">
        <f>SUMIFS(PL!AA:AA,PL!$B:$B,$B33,PL!$A:$A,$A33)</f>
        <v>0</v>
      </c>
      <c r="W33" s="323">
        <f>SUMIFS(PL!AB:AB,PL!$B:$B,$B33,PL!$A:$A,$A33)</f>
        <v>0</v>
      </c>
      <c r="X33" s="323">
        <f>SUMIFS(PL!AC:AC,PL!$B:$B,$B33,PL!$A:$A,$A33)</f>
        <v>0</v>
      </c>
      <c r="Y33" s="323">
        <f>SUMIFS(PL!AD:AD,PL!$B:$B,$B33,PL!$A:$A,$A33)</f>
        <v>0</v>
      </c>
      <c r="Z33" s="323">
        <f>SUMIFS(PL!AE:AE,PL!$B:$B,$B33,PL!$A:$A,$A33)</f>
        <v>0</v>
      </c>
      <c r="AA33" s="323">
        <f>SUMIFS(PL!AF:AF,PL!$B:$B,$B33,PL!$A:$A,$A33)</f>
        <v>0</v>
      </c>
      <c r="AB33" s="323">
        <f>SUMIFS(PL!AG:AG,PL!$B:$B,$B33,PL!$A:$A,$A33)</f>
        <v>0</v>
      </c>
      <c r="AC33" s="323">
        <f>SUMIFS(PL!AH:AH,PL!$B:$B,$B33,PL!$A:$A,$A33)</f>
        <v>0</v>
      </c>
      <c r="AD33" s="323">
        <f>SUMIFS(PL!AI:AI,PL!$B:$B,$B33,PL!$A:$A,$A33)</f>
        <v>0</v>
      </c>
      <c r="AE33" s="323">
        <f>SUMIFS(PL!AJ:AJ,PL!$B:$B,$B33,PL!$A:$A,$A33)</f>
        <v>0</v>
      </c>
      <c r="AF33" s="323">
        <f>SUMIFS(PL!AK:AK,PL!$B:$B,$B33,PL!$A:$A,$A33)</f>
        <v>0</v>
      </c>
      <c r="AG33" s="323">
        <f>SUMIFS(PL!AL:AL,PL!$B:$B,$B33,PL!$A:$A,$A33)</f>
        <v>0</v>
      </c>
      <c r="AH33" s="323">
        <f>SUMIFS(PL!AM:AM,PL!$B:$B,$B33,PL!$A:$A,$A33)</f>
        <v>0</v>
      </c>
      <c r="AI33" s="323">
        <f>SUMIFS(PL!AN:AN,PL!$B:$B,$B33,PL!$A:$A,$A33)</f>
        <v>0</v>
      </c>
      <c r="AJ33" s="323">
        <f>SUMIFS(PL!AS:AS,PL!$B:$B,$B33,PL!$A:$A,$A33)</f>
        <v>0</v>
      </c>
      <c r="AK33" s="323">
        <f>SUMIFS(PL!AT:AT,PL!$B:$B,$B33,PL!$A:$A,$A33)</f>
        <v>0</v>
      </c>
      <c r="AL33" s="323">
        <f>SUMIFS(PL!AU:AU,PL!$B:$B,$B33,PL!$A:$A,$A33)</f>
        <v>0</v>
      </c>
      <c r="AM33" s="323">
        <f>SUMIFS(PL!AV:AV,PL!$B:$B,$B33,PL!$A:$A,$A33)</f>
        <v>0</v>
      </c>
    </row>
    <row r="34" spans="1:39" s="262" customFormat="1" ht="13.95" customHeight="1" outlineLevel="1">
      <c r="A34" s="311" t="s">
        <v>1</v>
      </c>
      <c r="B34" s="531" t="s">
        <v>217</v>
      </c>
      <c r="C34" s="323">
        <f t="shared" si="57"/>
        <v>0</v>
      </c>
      <c r="D34" s="323">
        <f t="shared" si="58"/>
        <v>0</v>
      </c>
      <c r="E34" s="323">
        <f t="shared" si="58"/>
        <v>0</v>
      </c>
      <c r="F34" s="334"/>
      <c r="G34" s="323">
        <f>SUMIFS(PL!L:L,PL!$B:$B,$B34,PL!$A:$A,$A34)</f>
        <v>0</v>
      </c>
      <c r="H34" s="323">
        <f>SUMIFS(PL!M:M,PL!$B:$B,$B34,PL!$A:$A,$A34)</f>
        <v>0</v>
      </c>
      <c r="I34" s="323">
        <f>SUMIFS(PL!N:N,PL!$B:$B,$B34,PL!$A:$A,$A34)</f>
        <v>0</v>
      </c>
      <c r="J34" s="323">
        <f>SUMIFS(PL!O:O,PL!$B:$B,$B34,PL!$A:$A,$A34)</f>
        <v>0</v>
      </c>
      <c r="K34" s="323">
        <f>SUMIFS(PL!P:P,PL!$B:$B,$B34,PL!$A:$A,$A34)</f>
        <v>0</v>
      </c>
      <c r="L34" s="323">
        <f>SUMIFS(PL!Q:Q,PL!$B:$B,$B34,PL!$A:$A,$A34)</f>
        <v>0</v>
      </c>
      <c r="M34" s="323">
        <f>SUMIFS(PL!R:R,PL!$B:$B,$B34,PL!$A:$A,$A34)</f>
        <v>0</v>
      </c>
      <c r="N34" s="323">
        <f>SUMIFS(PL!S:S,PL!$B:$B,$B34,PL!$A:$A,$A34)</f>
        <v>0</v>
      </c>
      <c r="O34" s="323">
        <f>SUMIFS(PL!T:T,PL!$B:$B,$B34,PL!$A:$A,$A34)</f>
        <v>0</v>
      </c>
      <c r="P34" s="323">
        <f>SUMIFS(PL!U:U,PL!$B:$B,$B34,PL!$A:$A,$A34)</f>
        <v>0</v>
      </c>
      <c r="Q34" s="323">
        <f>SUMIFS(PL!V:V,PL!$B:$B,$B34,PL!$A:$A,$A34)</f>
        <v>0</v>
      </c>
      <c r="R34" s="323">
        <f>SUMIFS(PL!W:W,PL!$B:$B,$B34,PL!$A:$A,$A34)</f>
        <v>0</v>
      </c>
      <c r="S34" s="323">
        <f>SUMIFS(PL!X:X,PL!$B:$B,$B34,PL!$A:$A,$A34)</f>
        <v>0</v>
      </c>
      <c r="T34" s="323">
        <f>SUMIFS(PL!Y:Y,PL!$B:$B,$B34,PL!$A:$A,$A34)</f>
        <v>0</v>
      </c>
      <c r="U34" s="323">
        <f>SUMIFS(PL!Z:Z,PL!$B:$B,$B34,PL!$A:$A,$A34)</f>
        <v>0</v>
      </c>
      <c r="V34" s="323">
        <f>SUMIFS(PL!AA:AA,PL!$B:$B,$B34,PL!$A:$A,$A34)</f>
        <v>0</v>
      </c>
      <c r="W34" s="323">
        <f>SUMIFS(PL!AB:AB,PL!$B:$B,$B34,PL!$A:$A,$A34)</f>
        <v>0</v>
      </c>
      <c r="X34" s="323">
        <f>SUMIFS(PL!AC:AC,PL!$B:$B,$B34,PL!$A:$A,$A34)</f>
        <v>0</v>
      </c>
      <c r="Y34" s="323">
        <f>SUMIFS(PL!AD:AD,PL!$B:$B,$B34,PL!$A:$A,$A34)</f>
        <v>0</v>
      </c>
      <c r="Z34" s="323">
        <f>SUMIFS(PL!AE:AE,PL!$B:$B,$B34,PL!$A:$A,$A34)</f>
        <v>0</v>
      </c>
      <c r="AA34" s="323">
        <f>SUMIFS(PL!AF:AF,PL!$B:$B,$B34,PL!$A:$A,$A34)</f>
        <v>0</v>
      </c>
      <c r="AB34" s="323">
        <f>SUMIFS(PL!AG:AG,PL!$B:$B,$B34,PL!$A:$A,$A34)</f>
        <v>0</v>
      </c>
      <c r="AC34" s="323">
        <f>SUMIFS(PL!AH:AH,PL!$B:$B,$B34,PL!$A:$A,$A34)</f>
        <v>0</v>
      </c>
      <c r="AD34" s="323">
        <f>SUMIFS(PL!AI:AI,PL!$B:$B,$B34,PL!$A:$A,$A34)</f>
        <v>0</v>
      </c>
      <c r="AE34" s="323">
        <f>SUMIFS(PL!AJ:AJ,PL!$B:$B,$B34,PL!$A:$A,$A34)</f>
        <v>0</v>
      </c>
      <c r="AF34" s="323">
        <f>SUMIFS(PL!AK:AK,PL!$B:$B,$B34,PL!$A:$A,$A34)</f>
        <v>0</v>
      </c>
      <c r="AG34" s="323">
        <f>SUMIFS(PL!AL:AL,PL!$B:$B,$B34,PL!$A:$A,$A34)</f>
        <v>0</v>
      </c>
      <c r="AH34" s="323">
        <f>SUMIFS(PL!AM:AM,PL!$B:$B,$B34,PL!$A:$A,$A34)</f>
        <v>0</v>
      </c>
      <c r="AI34" s="323">
        <f>SUMIFS(PL!AN:AN,PL!$B:$B,$B34,PL!$A:$A,$A34)</f>
        <v>0</v>
      </c>
      <c r="AJ34" s="323">
        <f>SUMIFS(PL!AS:AS,PL!$B:$B,$B34,PL!$A:$A,$A34)</f>
        <v>0</v>
      </c>
      <c r="AK34" s="323">
        <f>SUMIFS(PL!AT:AT,PL!$B:$B,$B34,PL!$A:$A,$A34)</f>
        <v>0</v>
      </c>
      <c r="AL34" s="323">
        <f>SUMIFS(PL!AU:AU,PL!$B:$B,$B34,PL!$A:$A,$A34)</f>
        <v>0</v>
      </c>
      <c r="AM34" s="323">
        <f>SUMIFS(PL!AV:AV,PL!$B:$B,$B34,PL!$A:$A,$A34)</f>
        <v>0</v>
      </c>
    </row>
    <row r="35" spans="1:39" s="262" customFormat="1" ht="13.95" customHeight="1" outlineLevel="1">
      <c r="A35" s="311" t="s">
        <v>1</v>
      </c>
      <c r="B35" s="531" t="s">
        <v>218</v>
      </c>
      <c r="C35" s="323">
        <f t="shared" si="57"/>
        <v>0</v>
      </c>
      <c r="D35" s="323">
        <f t="shared" si="58"/>
        <v>0</v>
      </c>
      <c r="E35" s="323">
        <f t="shared" si="58"/>
        <v>0</v>
      </c>
      <c r="F35" s="334"/>
      <c r="G35" s="323">
        <f>SUMIFS(PL!L:L,PL!$B:$B,$B35,PL!$A:$A,$A35)</f>
        <v>0</v>
      </c>
      <c r="H35" s="323">
        <f>SUMIFS(PL!M:M,PL!$B:$B,$B35,PL!$A:$A,$A35)</f>
        <v>0</v>
      </c>
      <c r="I35" s="323">
        <f>SUMIFS(PL!N:N,PL!$B:$B,$B35,PL!$A:$A,$A35)</f>
        <v>0</v>
      </c>
      <c r="J35" s="323">
        <f>SUMIFS(PL!O:O,PL!$B:$B,$B35,PL!$A:$A,$A35)</f>
        <v>0</v>
      </c>
      <c r="K35" s="323">
        <f>SUMIFS(PL!P:P,PL!$B:$B,$B35,PL!$A:$A,$A35)</f>
        <v>0</v>
      </c>
      <c r="L35" s="323">
        <f>SUMIFS(PL!Q:Q,PL!$B:$B,$B35,PL!$A:$A,$A35)</f>
        <v>0</v>
      </c>
      <c r="M35" s="323">
        <f>SUMIFS(PL!R:R,PL!$B:$B,$B35,PL!$A:$A,$A35)</f>
        <v>0</v>
      </c>
      <c r="N35" s="323">
        <f>SUMIFS(PL!S:S,PL!$B:$B,$B35,PL!$A:$A,$A35)</f>
        <v>0</v>
      </c>
      <c r="O35" s="323">
        <f>SUMIFS(PL!T:T,PL!$B:$B,$B35,PL!$A:$A,$A35)</f>
        <v>0</v>
      </c>
      <c r="P35" s="323">
        <f>SUMIFS(PL!U:U,PL!$B:$B,$B35,PL!$A:$A,$A35)</f>
        <v>0</v>
      </c>
      <c r="Q35" s="323">
        <f>SUMIFS(PL!V:V,PL!$B:$B,$B35,PL!$A:$A,$A35)</f>
        <v>0</v>
      </c>
      <c r="R35" s="323">
        <f>SUMIFS(PL!W:W,PL!$B:$B,$B35,PL!$A:$A,$A35)</f>
        <v>0</v>
      </c>
      <c r="S35" s="323">
        <f>SUMIFS(PL!X:X,PL!$B:$B,$B35,PL!$A:$A,$A35)</f>
        <v>0</v>
      </c>
      <c r="T35" s="323">
        <f>SUMIFS(PL!Y:Y,PL!$B:$B,$B35,PL!$A:$A,$A35)</f>
        <v>0</v>
      </c>
      <c r="U35" s="323">
        <f>SUMIFS(PL!Z:Z,PL!$B:$B,$B35,PL!$A:$A,$A35)</f>
        <v>0</v>
      </c>
      <c r="V35" s="323">
        <f>SUMIFS(PL!AA:AA,PL!$B:$B,$B35,PL!$A:$A,$A35)</f>
        <v>0</v>
      </c>
      <c r="W35" s="323">
        <f>SUMIFS(PL!AB:AB,PL!$B:$B,$B35,PL!$A:$A,$A35)</f>
        <v>0</v>
      </c>
      <c r="X35" s="323">
        <f>SUMIFS(PL!AC:AC,PL!$B:$B,$B35,PL!$A:$A,$A35)</f>
        <v>0</v>
      </c>
      <c r="Y35" s="323">
        <f>SUMIFS(PL!AD:AD,PL!$B:$B,$B35,PL!$A:$A,$A35)</f>
        <v>0</v>
      </c>
      <c r="Z35" s="323">
        <f>SUMIFS(PL!AE:AE,PL!$B:$B,$B35,PL!$A:$A,$A35)</f>
        <v>0</v>
      </c>
      <c r="AA35" s="323">
        <f>SUMIFS(PL!AF:AF,PL!$B:$B,$B35,PL!$A:$A,$A35)</f>
        <v>0</v>
      </c>
      <c r="AB35" s="323">
        <f>SUMIFS(PL!AG:AG,PL!$B:$B,$B35,PL!$A:$A,$A35)</f>
        <v>0</v>
      </c>
      <c r="AC35" s="323">
        <f>SUMIFS(PL!AH:AH,PL!$B:$B,$B35,PL!$A:$A,$A35)</f>
        <v>0</v>
      </c>
      <c r="AD35" s="323">
        <f>SUMIFS(PL!AI:AI,PL!$B:$B,$B35,PL!$A:$A,$A35)</f>
        <v>0</v>
      </c>
      <c r="AE35" s="323">
        <f>SUMIFS(PL!AJ:AJ,PL!$B:$B,$B35,PL!$A:$A,$A35)</f>
        <v>0</v>
      </c>
      <c r="AF35" s="323">
        <f>SUMIFS(PL!AK:AK,PL!$B:$B,$B35,PL!$A:$A,$A35)</f>
        <v>0</v>
      </c>
      <c r="AG35" s="323">
        <f>SUMIFS(PL!AL:AL,PL!$B:$B,$B35,PL!$A:$A,$A35)</f>
        <v>0</v>
      </c>
      <c r="AH35" s="323">
        <f>SUMIFS(PL!AM:AM,PL!$B:$B,$B35,PL!$A:$A,$A35)</f>
        <v>0</v>
      </c>
      <c r="AI35" s="323">
        <f>SUMIFS(PL!AN:AN,PL!$B:$B,$B35,PL!$A:$A,$A35)</f>
        <v>0</v>
      </c>
      <c r="AJ35" s="323">
        <f>SUMIFS(PL!AS:AS,PL!$B:$B,$B35,PL!$A:$A,$A35)</f>
        <v>0</v>
      </c>
      <c r="AK35" s="323">
        <f>SUMIFS(PL!AT:AT,PL!$B:$B,$B35,PL!$A:$A,$A35)</f>
        <v>0</v>
      </c>
      <c r="AL35" s="323">
        <f>SUMIFS(PL!AU:AU,PL!$B:$B,$B35,PL!$A:$A,$A35)</f>
        <v>0</v>
      </c>
      <c r="AM35" s="323">
        <f>SUMIFS(PL!AV:AV,PL!$B:$B,$B35,PL!$A:$A,$A35)</f>
        <v>0</v>
      </c>
    </row>
    <row r="36" spans="1:39" s="262" customFormat="1" ht="13.95" customHeight="1" outlineLevel="1">
      <c r="A36" s="311" t="s">
        <v>1</v>
      </c>
      <c r="B36" s="531" t="s">
        <v>219</v>
      </c>
      <c r="C36" s="323">
        <f t="shared" si="57"/>
        <v>0</v>
      </c>
      <c r="D36" s="323">
        <f t="shared" si="58"/>
        <v>0</v>
      </c>
      <c r="E36" s="323">
        <f t="shared" si="58"/>
        <v>0</v>
      </c>
      <c r="F36" s="334"/>
      <c r="G36" s="323">
        <f>SUMIFS(PL!L:L,PL!$B:$B,$B36,PL!$A:$A,$A36)</f>
        <v>0</v>
      </c>
      <c r="H36" s="323">
        <f>SUMIFS(PL!M:M,PL!$B:$B,$B36,PL!$A:$A,$A36)</f>
        <v>0</v>
      </c>
      <c r="I36" s="323">
        <f>SUMIFS(PL!N:N,PL!$B:$B,$B36,PL!$A:$A,$A36)</f>
        <v>0</v>
      </c>
      <c r="J36" s="323">
        <f>SUMIFS(PL!O:O,PL!$B:$B,$B36,PL!$A:$A,$A36)</f>
        <v>0</v>
      </c>
      <c r="K36" s="323">
        <f>SUMIFS(PL!P:P,PL!$B:$B,$B36,PL!$A:$A,$A36)</f>
        <v>0</v>
      </c>
      <c r="L36" s="323">
        <f>SUMIFS(PL!Q:Q,PL!$B:$B,$B36,PL!$A:$A,$A36)</f>
        <v>0</v>
      </c>
      <c r="M36" s="323">
        <f>SUMIFS(PL!R:R,PL!$B:$B,$B36,PL!$A:$A,$A36)</f>
        <v>0</v>
      </c>
      <c r="N36" s="323">
        <f>SUMIFS(PL!S:S,PL!$B:$B,$B36,PL!$A:$A,$A36)</f>
        <v>0</v>
      </c>
      <c r="O36" s="323">
        <f>SUMIFS(PL!T:T,PL!$B:$B,$B36,PL!$A:$A,$A36)</f>
        <v>0</v>
      </c>
      <c r="P36" s="323">
        <f>SUMIFS(PL!U:U,PL!$B:$B,$B36,PL!$A:$A,$A36)</f>
        <v>0</v>
      </c>
      <c r="Q36" s="323">
        <f>SUMIFS(PL!V:V,PL!$B:$B,$B36,PL!$A:$A,$A36)</f>
        <v>0</v>
      </c>
      <c r="R36" s="323">
        <f>SUMIFS(PL!W:W,PL!$B:$B,$B36,PL!$A:$A,$A36)</f>
        <v>0</v>
      </c>
      <c r="S36" s="323">
        <f>SUMIFS(PL!X:X,PL!$B:$B,$B36,PL!$A:$A,$A36)</f>
        <v>0</v>
      </c>
      <c r="T36" s="323">
        <f>SUMIFS(PL!Y:Y,PL!$B:$B,$B36,PL!$A:$A,$A36)</f>
        <v>0</v>
      </c>
      <c r="U36" s="323">
        <f>SUMIFS(PL!Z:Z,PL!$B:$B,$B36,PL!$A:$A,$A36)</f>
        <v>0</v>
      </c>
      <c r="V36" s="323">
        <f>SUMIFS(PL!AA:AA,PL!$B:$B,$B36,PL!$A:$A,$A36)</f>
        <v>0</v>
      </c>
      <c r="W36" s="323">
        <f>SUMIFS(PL!AB:AB,PL!$B:$B,$B36,PL!$A:$A,$A36)</f>
        <v>0</v>
      </c>
      <c r="X36" s="323">
        <f>SUMIFS(PL!AC:AC,PL!$B:$B,$B36,PL!$A:$A,$A36)</f>
        <v>0</v>
      </c>
      <c r="Y36" s="323">
        <f>SUMIFS(PL!AD:AD,PL!$B:$B,$B36,PL!$A:$A,$A36)</f>
        <v>0</v>
      </c>
      <c r="Z36" s="323">
        <f>SUMIFS(PL!AE:AE,PL!$B:$B,$B36,PL!$A:$A,$A36)</f>
        <v>0</v>
      </c>
      <c r="AA36" s="323">
        <f>SUMIFS(PL!AF:AF,PL!$B:$B,$B36,PL!$A:$A,$A36)</f>
        <v>0</v>
      </c>
      <c r="AB36" s="323">
        <f>SUMIFS(PL!AG:AG,PL!$B:$B,$B36,PL!$A:$A,$A36)</f>
        <v>0</v>
      </c>
      <c r="AC36" s="323">
        <f>SUMIFS(PL!AH:AH,PL!$B:$B,$B36,PL!$A:$A,$A36)</f>
        <v>0</v>
      </c>
      <c r="AD36" s="323">
        <f>SUMIFS(PL!AI:AI,PL!$B:$B,$B36,PL!$A:$A,$A36)</f>
        <v>0</v>
      </c>
      <c r="AE36" s="323">
        <f>SUMIFS(PL!AJ:AJ,PL!$B:$B,$B36,PL!$A:$A,$A36)</f>
        <v>0</v>
      </c>
      <c r="AF36" s="323">
        <f>SUMIFS(PL!AK:AK,PL!$B:$B,$B36,PL!$A:$A,$A36)</f>
        <v>0</v>
      </c>
      <c r="AG36" s="323">
        <f>SUMIFS(PL!AL:AL,PL!$B:$B,$B36,PL!$A:$A,$A36)</f>
        <v>0</v>
      </c>
      <c r="AH36" s="323">
        <f>SUMIFS(PL!AM:AM,PL!$B:$B,$B36,PL!$A:$A,$A36)</f>
        <v>0</v>
      </c>
      <c r="AI36" s="323">
        <f>SUMIFS(PL!AN:AN,PL!$B:$B,$B36,PL!$A:$A,$A36)</f>
        <v>0</v>
      </c>
      <c r="AJ36" s="323">
        <f>SUMIFS(PL!AS:AS,PL!$B:$B,$B36,PL!$A:$A,$A36)</f>
        <v>0</v>
      </c>
      <c r="AK36" s="323">
        <f>SUMIFS(PL!AT:AT,PL!$B:$B,$B36,PL!$A:$A,$A36)</f>
        <v>0</v>
      </c>
      <c r="AL36" s="323">
        <f>SUMIFS(PL!AU:AU,PL!$B:$B,$B36,PL!$A:$A,$A36)</f>
        <v>0</v>
      </c>
      <c r="AM36" s="323">
        <f>SUMIFS(PL!AV:AV,PL!$B:$B,$B36,PL!$A:$A,$A36)</f>
        <v>0</v>
      </c>
    </row>
    <row r="37" spans="1:39" s="262" customFormat="1" ht="13.95" customHeight="1" outlineLevel="1">
      <c r="A37" s="311" t="s">
        <v>1</v>
      </c>
      <c r="B37" s="531" t="s">
        <v>220</v>
      </c>
      <c r="C37" s="323">
        <f t="shared" si="57"/>
        <v>0</v>
      </c>
      <c r="D37" s="323">
        <f t="shared" si="58"/>
        <v>0</v>
      </c>
      <c r="E37" s="323">
        <f t="shared" si="58"/>
        <v>0</v>
      </c>
      <c r="F37" s="334"/>
      <c r="G37" s="323">
        <f>SUMIFS(PL!L:L,PL!$B:$B,$B37,PL!$A:$A,$A37)</f>
        <v>0</v>
      </c>
      <c r="H37" s="323">
        <f>SUMIFS(PL!M:M,PL!$B:$B,$B37,PL!$A:$A,$A37)</f>
        <v>0</v>
      </c>
      <c r="I37" s="323">
        <f>SUMIFS(PL!N:N,PL!$B:$B,$B37,PL!$A:$A,$A37)</f>
        <v>0</v>
      </c>
      <c r="J37" s="323">
        <f>SUMIFS(PL!O:O,PL!$B:$B,$B37,PL!$A:$A,$A37)</f>
        <v>0</v>
      </c>
      <c r="K37" s="323">
        <f>SUMIFS(PL!P:P,PL!$B:$B,$B37,PL!$A:$A,$A37)</f>
        <v>0</v>
      </c>
      <c r="L37" s="323">
        <f>SUMIFS(PL!Q:Q,PL!$B:$B,$B37,PL!$A:$A,$A37)</f>
        <v>0</v>
      </c>
      <c r="M37" s="323">
        <f>SUMIFS(PL!R:R,PL!$B:$B,$B37,PL!$A:$A,$A37)</f>
        <v>0</v>
      </c>
      <c r="N37" s="323">
        <f>SUMIFS(PL!S:S,PL!$B:$B,$B37,PL!$A:$A,$A37)</f>
        <v>0</v>
      </c>
      <c r="O37" s="323">
        <f>SUMIFS(PL!T:T,PL!$B:$B,$B37,PL!$A:$A,$A37)</f>
        <v>0</v>
      </c>
      <c r="P37" s="323">
        <f>SUMIFS(PL!U:U,PL!$B:$B,$B37,PL!$A:$A,$A37)</f>
        <v>0</v>
      </c>
      <c r="Q37" s="323">
        <f>SUMIFS(PL!V:V,PL!$B:$B,$B37,PL!$A:$A,$A37)</f>
        <v>0</v>
      </c>
      <c r="R37" s="323">
        <f>SUMIFS(PL!W:W,PL!$B:$B,$B37,PL!$A:$A,$A37)</f>
        <v>0</v>
      </c>
      <c r="S37" s="323">
        <f>SUMIFS(PL!X:X,PL!$B:$B,$B37,PL!$A:$A,$A37)</f>
        <v>0</v>
      </c>
      <c r="T37" s="323">
        <f>SUMIFS(PL!Y:Y,PL!$B:$B,$B37,PL!$A:$A,$A37)</f>
        <v>0</v>
      </c>
      <c r="U37" s="323">
        <f>SUMIFS(PL!Z:Z,PL!$B:$B,$B37,PL!$A:$A,$A37)</f>
        <v>0</v>
      </c>
      <c r="V37" s="323">
        <f>SUMIFS(PL!AA:AA,PL!$B:$B,$B37,PL!$A:$A,$A37)</f>
        <v>0</v>
      </c>
      <c r="W37" s="323">
        <f>SUMIFS(PL!AB:AB,PL!$B:$B,$B37,PL!$A:$A,$A37)</f>
        <v>0</v>
      </c>
      <c r="X37" s="323">
        <f>SUMIFS(PL!AC:AC,PL!$B:$B,$B37,PL!$A:$A,$A37)</f>
        <v>0</v>
      </c>
      <c r="Y37" s="323">
        <f>SUMIFS(PL!AD:AD,PL!$B:$B,$B37,PL!$A:$A,$A37)</f>
        <v>0</v>
      </c>
      <c r="Z37" s="323">
        <f>SUMIFS(PL!AE:AE,PL!$B:$B,$B37,PL!$A:$A,$A37)</f>
        <v>0</v>
      </c>
      <c r="AA37" s="323">
        <f>SUMIFS(PL!AF:AF,PL!$B:$B,$B37,PL!$A:$A,$A37)</f>
        <v>0</v>
      </c>
      <c r="AB37" s="323">
        <f>SUMIFS(PL!AG:AG,PL!$B:$B,$B37,PL!$A:$A,$A37)</f>
        <v>0</v>
      </c>
      <c r="AC37" s="323">
        <f>SUMIFS(PL!AH:AH,PL!$B:$B,$B37,PL!$A:$A,$A37)</f>
        <v>0</v>
      </c>
      <c r="AD37" s="323">
        <f>SUMIFS(PL!AI:AI,PL!$B:$B,$B37,PL!$A:$A,$A37)</f>
        <v>0</v>
      </c>
      <c r="AE37" s="323">
        <f>SUMIFS(PL!AJ:AJ,PL!$B:$B,$B37,PL!$A:$A,$A37)</f>
        <v>0</v>
      </c>
      <c r="AF37" s="323">
        <f>SUMIFS(PL!AK:AK,PL!$B:$B,$B37,PL!$A:$A,$A37)</f>
        <v>0</v>
      </c>
      <c r="AG37" s="323">
        <f>SUMIFS(PL!AL:AL,PL!$B:$B,$B37,PL!$A:$A,$A37)</f>
        <v>0</v>
      </c>
      <c r="AH37" s="323">
        <f>SUMIFS(PL!AM:AM,PL!$B:$B,$B37,PL!$A:$A,$A37)</f>
        <v>0</v>
      </c>
      <c r="AI37" s="323">
        <f>SUMIFS(PL!AN:AN,PL!$B:$B,$B37,PL!$A:$A,$A37)</f>
        <v>0</v>
      </c>
      <c r="AJ37" s="323">
        <f>SUMIFS(PL!AS:AS,PL!$B:$B,$B37,PL!$A:$A,$A37)</f>
        <v>0</v>
      </c>
      <c r="AK37" s="323">
        <f>SUMIFS(PL!AT:AT,PL!$B:$B,$B37,PL!$A:$A,$A37)</f>
        <v>0</v>
      </c>
      <c r="AL37" s="323">
        <f>SUMIFS(PL!AU:AU,PL!$B:$B,$B37,PL!$A:$A,$A37)</f>
        <v>0</v>
      </c>
      <c r="AM37" s="323">
        <f>SUMIFS(PL!AV:AV,PL!$B:$B,$B37,PL!$A:$A,$A37)</f>
        <v>0</v>
      </c>
    </row>
    <row r="38" spans="1:39" s="262" customFormat="1" ht="13.95" customHeight="1" outlineLevel="1">
      <c r="A38" s="311" t="s">
        <v>1</v>
      </c>
      <c r="B38" s="531" t="s">
        <v>221</v>
      </c>
      <c r="C38" s="323">
        <f t="shared" si="57"/>
        <v>0</v>
      </c>
      <c r="D38" s="323">
        <f t="shared" si="58"/>
        <v>0</v>
      </c>
      <c r="E38" s="323">
        <f t="shared" si="58"/>
        <v>0</v>
      </c>
      <c r="F38" s="334"/>
      <c r="G38" s="323">
        <f>SUMIFS(PL!L:L,PL!$B:$B,$B38,PL!$A:$A,$A38)</f>
        <v>0</v>
      </c>
      <c r="H38" s="323">
        <f>SUMIFS(PL!M:M,PL!$B:$B,$B38,PL!$A:$A,$A38)</f>
        <v>0</v>
      </c>
      <c r="I38" s="323">
        <f>SUMIFS(PL!N:N,PL!$B:$B,$B38,PL!$A:$A,$A38)</f>
        <v>0</v>
      </c>
      <c r="J38" s="323">
        <f>SUMIFS(PL!O:O,PL!$B:$B,$B38,PL!$A:$A,$A38)</f>
        <v>0</v>
      </c>
      <c r="K38" s="323">
        <f>SUMIFS(PL!P:P,PL!$B:$B,$B38,PL!$A:$A,$A38)</f>
        <v>0</v>
      </c>
      <c r="L38" s="323">
        <f>SUMIFS(PL!Q:Q,PL!$B:$B,$B38,PL!$A:$A,$A38)</f>
        <v>0</v>
      </c>
      <c r="M38" s="323">
        <f>SUMIFS(PL!R:R,PL!$B:$B,$B38,PL!$A:$A,$A38)</f>
        <v>0</v>
      </c>
      <c r="N38" s="323">
        <f>SUMIFS(PL!S:S,PL!$B:$B,$B38,PL!$A:$A,$A38)</f>
        <v>0</v>
      </c>
      <c r="O38" s="323">
        <f>SUMIFS(PL!T:T,PL!$B:$B,$B38,PL!$A:$A,$A38)</f>
        <v>0</v>
      </c>
      <c r="P38" s="323">
        <f>SUMIFS(PL!U:U,PL!$B:$B,$B38,PL!$A:$A,$A38)</f>
        <v>0</v>
      </c>
      <c r="Q38" s="323">
        <f>SUMIFS(PL!V:V,PL!$B:$B,$B38,PL!$A:$A,$A38)</f>
        <v>0</v>
      </c>
      <c r="R38" s="323">
        <f>SUMIFS(PL!W:W,PL!$B:$B,$B38,PL!$A:$A,$A38)</f>
        <v>0</v>
      </c>
      <c r="S38" s="323">
        <f>SUMIFS(PL!X:X,PL!$B:$B,$B38,PL!$A:$A,$A38)</f>
        <v>0</v>
      </c>
      <c r="T38" s="323">
        <f>SUMIFS(PL!Y:Y,PL!$B:$B,$B38,PL!$A:$A,$A38)</f>
        <v>0</v>
      </c>
      <c r="U38" s="323">
        <f>SUMIFS(PL!Z:Z,PL!$B:$B,$B38,PL!$A:$A,$A38)</f>
        <v>0</v>
      </c>
      <c r="V38" s="323">
        <f>SUMIFS(PL!AA:AA,PL!$B:$B,$B38,PL!$A:$A,$A38)</f>
        <v>0</v>
      </c>
      <c r="W38" s="323">
        <f>SUMIFS(PL!AB:AB,PL!$B:$B,$B38,PL!$A:$A,$A38)</f>
        <v>0</v>
      </c>
      <c r="X38" s="323">
        <f>SUMIFS(PL!AC:AC,PL!$B:$B,$B38,PL!$A:$A,$A38)</f>
        <v>0</v>
      </c>
      <c r="Y38" s="323">
        <f>SUMIFS(PL!AD:AD,PL!$B:$B,$B38,PL!$A:$A,$A38)</f>
        <v>0</v>
      </c>
      <c r="Z38" s="323">
        <f>SUMIFS(PL!AE:AE,PL!$B:$B,$B38,PL!$A:$A,$A38)</f>
        <v>0</v>
      </c>
      <c r="AA38" s="323">
        <f>SUMIFS(PL!AF:AF,PL!$B:$B,$B38,PL!$A:$A,$A38)</f>
        <v>0</v>
      </c>
      <c r="AB38" s="323">
        <f>SUMIFS(PL!AG:AG,PL!$B:$B,$B38,PL!$A:$A,$A38)</f>
        <v>0</v>
      </c>
      <c r="AC38" s="323">
        <f>SUMIFS(PL!AH:AH,PL!$B:$B,$B38,PL!$A:$A,$A38)</f>
        <v>0</v>
      </c>
      <c r="AD38" s="323">
        <f>SUMIFS(PL!AI:AI,PL!$B:$B,$B38,PL!$A:$A,$A38)</f>
        <v>0</v>
      </c>
      <c r="AE38" s="323">
        <f>SUMIFS(PL!AJ:AJ,PL!$B:$B,$B38,PL!$A:$A,$A38)</f>
        <v>0</v>
      </c>
      <c r="AF38" s="323">
        <f>SUMIFS(PL!AK:AK,PL!$B:$B,$B38,PL!$A:$A,$A38)</f>
        <v>0</v>
      </c>
      <c r="AG38" s="323">
        <f>SUMIFS(PL!AL:AL,PL!$B:$B,$B38,PL!$A:$A,$A38)</f>
        <v>0</v>
      </c>
      <c r="AH38" s="323">
        <f>SUMIFS(PL!AM:AM,PL!$B:$B,$B38,PL!$A:$A,$A38)</f>
        <v>0</v>
      </c>
      <c r="AI38" s="323">
        <f>SUMIFS(PL!AN:AN,PL!$B:$B,$B38,PL!$A:$A,$A38)</f>
        <v>0</v>
      </c>
      <c r="AJ38" s="323">
        <f>SUMIFS(PL!AS:AS,PL!$B:$B,$B38,PL!$A:$A,$A38)</f>
        <v>0</v>
      </c>
      <c r="AK38" s="323">
        <f>SUMIFS(PL!AT:AT,PL!$B:$B,$B38,PL!$A:$A,$A38)</f>
        <v>0</v>
      </c>
      <c r="AL38" s="323">
        <f>SUMIFS(PL!AU:AU,PL!$B:$B,$B38,PL!$A:$A,$A38)</f>
        <v>0</v>
      </c>
      <c r="AM38" s="323">
        <f>SUMIFS(PL!AV:AV,PL!$B:$B,$B38,PL!$A:$A,$A38)</f>
        <v>0</v>
      </c>
    </row>
    <row r="39" spans="1:39" s="262" customFormat="1" ht="13.95" customHeight="1" outlineLevel="1">
      <c r="A39" s="311" t="s">
        <v>1</v>
      </c>
      <c r="B39" s="531" t="s">
        <v>222</v>
      </c>
      <c r="C39" s="323">
        <f t="shared" si="57"/>
        <v>0</v>
      </c>
      <c r="D39" s="323">
        <f t="shared" si="58"/>
        <v>0</v>
      </c>
      <c r="E39" s="323">
        <f t="shared" si="58"/>
        <v>0</v>
      </c>
      <c r="F39" s="334"/>
      <c r="G39" s="323">
        <f>SUMIFS(PL!L:L,PL!$B:$B,$B39,PL!$A:$A,$A39)</f>
        <v>0</v>
      </c>
      <c r="H39" s="323">
        <f>SUMIFS(PL!M:M,PL!$B:$B,$B39,PL!$A:$A,$A39)</f>
        <v>0</v>
      </c>
      <c r="I39" s="323">
        <f>SUMIFS(PL!N:N,PL!$B:$B,$B39,PL!$A:$A,$A39)</f>
        <v>0</v>
      </c>
      <c r="J39" s="323">
        <f>SUMIFS(PL!O:O,PL!$B:$B,$B39,PL!$A:$A,$A39)</f>
        <v>0</v>
      </c>
      <c r="K39" s="323">
        <f>SUMIFS(PL!P:P,PL!$B:$B,$B39,PL!$A:$A,$A39)</f>
        <v>0</v>
      </c>
      <c r="L39" s="323">
        <f>SUMIFS(PL!Q:Q,PL!$B:$B,$B39,PL!$A:$A,$A39)</f>
        <v>0</v>
      </c>
      <c r="M39" s="323">
        <f>SUMIFS(PL!R:R,PL!$B:$B,$B39,PL!$A:$A,$A39)</f>
        <v>0</v>
      </c>
      <c r="N39" s="323">
        <f>SUMIFS(PL!S:S,PL!$B:$B,$B39,PL!$A:$A,$A39)</f>
        <v>0</v>
      </c>
      <c r="O39" s="323">
        <f>SUMIFS(PL!T:T,PL!$B:$B,$B39,PL!$A:$A,$A39)</f>
        <v>0</v>
      </c>
      <c r="P39" s="323">
        <f>SUMIFS(PL!U:U,PL!$B:$B,$B39,PL!$A:$A,$A39)</f>
        <v>0</v>
      </c>
      <c r="Q39" s="323">
        <f>SUMIFS(PL!V:V,PL!$B:$B,$B39,PL!$A:$A,$A39)</f>
        <v>0</v>
      </c>
      <c r="R39" s="323">
        <f>SUMIFS(PL!W:W,PL!$B:$B,$B39,PL!$A:$A,$A39)</f>
        <v>0</v>
      </c>
      <c r="S39" s="323">
        <f>SUMIFS(PL!X:X,PL!$B:$B,$B39,PL!$A:$A,$A39)</f>
        <v>0</v>
      </c>
      <c r="T39" s="323">
        <f>SUMIFS(PL!Y:Y,PL!$B:$B,$B39,PL!$A:$A,$A39)</f>
        <v>0</v>
      </c>
      <c r="U39" s="323">
        <f>SUMIFS(PL!Z:Z,PL!$B:$B,$B39,PL!$A:$A,$A39)</f>
        <v>0</v>
      </c>
      <c r="V39" s="323">
        <f>SUMIFS(PL!AA:AA,PL!$B:$B,$B39,PL!$A:$A,$A39)</f>
        <v>0</v>
      </c>
      <c r="W39" s="323">
        <f>SUMIFS(PL!AB:AB,PL!$B:$B,$B39,PL!$A:$A,$A39)</f>
        <v>0</v>
      </c>
      <c r="X39" s="323">
        <f>SUMIFS(PL!AC:AC,PL!$B:$B,$B39,PL!$A:$A,$A39)</f>
        <v>0</v>
      </c>
      <c r="Y39" s="323">
        <f>SUMIFS(PL!AD:AD,PL!$B:$B,$B39,PL!$A:$A,$A39)</f>
        <v>0</v>
      </c>
      <c r="Z39" s="323">
        <f>SUMIFS(PL!AE:AE,PL!$B:$B,$B39,PL!$A:$A,$A39)</f>
        <v>0</v>
      </c>
      <c r="AA39" s="323">
        <f>SUMIFS(PL!AF:AF,PL!$B:$B,$B39,PL!$A:$A,$A39)</f>
        <v>0</v>
      </c>
      <c r="AB39" s="323">
        <f>SUMIFS(PL!AG:AG,PL!$B:$B,$B39,PL!$A:$A,$A39)</f>
        <v>0</v>
      </c>
      <c r="AC39" s="323">
        <f>SUMIFS(PL!AH:AH,PL!$B:$B,$B39,PL!$A:$A,$A39)</f>
        <v>0</v>
      </c>
      <c r="AD39" s="323">
        <f>SUMIFS(PL!AI:AI,PL!$B:$B,$B39,PL!$A:$A,$A39)</f>
        <v>0</v>
      </c>
      <c r="AE39" s="323">
        <f>SUMIFS(PL!AJ:AJ,PL!$B:$B,$B39,PL!$A:$A,$A39)</f>
        <v>0</v>
      </c>
      <c r="AF39" s="323">
        <f>SUMIFS(PL!AK:AK,PL!$B:$B,$B39,PL!$A:$A,$A39)</f>
        <v>0</v>
      </c>
      <c r="AG39" s="323">
        <f>SUMIFS(PL!AL:AL,PL!$B:$B,$B39,PL!$A:$A,$A39)</f>
        <v>0</v>
      </c>
      <c r="AH39" s="323">
        <f>SUMIFS(PL!AM:AM,PL!$B:$B,$B39,PL!$A:$A,$A39)</f>
        <v>0</v>
      </c>
      <c r="AI39" s="323">
        <f>SUMIFS(PL!AN:AN,PL!$B:$B,$B39,PL!$A:$A,$A39)</f>
        <v>0</v>
      </c>
      <c r="AJ39" s="323">
        <f>SUMIFS(PL!AS:AS,PL!$B:$B,$B39,PL!$A:$A,$A39)</f>
        <v>0</v>
      </c>
      <c r="AK39" s="323">
        <f>SUMIFS(PL!AT:AT,PL!$B:$B,$B39,PL!$A:$A,$A39)</f>
        <v>0</v>
      </c>
      <c r="AL39" s="323">
        <f>SUMIFS(PL!AU:AU,PL!$B:$B,$B39,PL!$A:$A,$A39)</f>
        <v>0</v>
      </c>
      <c r="AM39" s="323">
        <f>SUMIFS(PL!AV:AV,PL!$B:$B,$B39,PL!$A:$A,$A39)</f>
        <v>0</v>
      </c>
    </row>
    <row r="40" spans="1:39" s="262" customFormat="1" ht="13.95" customHeight="1" outlineLevel="1">
      <c r="A40" s="311" t="s">
        <v>1</v>
      </c>
      <c r="B40" s="531" t="s">
        <v>223</v>
      </c>
      <c r="C40" s="323">
        <f t="shared" si="57"/>
        <v>0</v>
      </c>
      <c r="D40" s="323">
        <f t="shared" si="58"/>
        <v>0</v>
      </c>
      <c r="E40" s="323">
        <f t="shared" si="58"/>
        <v>0</v>
      </c>
      <c r="F40" s="334"/>
      <c r="G40" s="323">
        <f>SUMIFS(PL!L:L,PL!$B:$B,$B40,PL!$A:$A,$A40)</f>
        <v>0</v>
      </c>
      <c r="H40" s="323">
        <f>SUMIFS(PL!M:M,PL!$B:$B,$B40,PL!$A:$A,$A40)</f>
        <v>0</v>
      </c>
      <c r="I40" s="323">
        <f>SUMIFS(PL!N:N,PL!$B:$B,$B40,PL!$A:$A,$A40)</f>
        <v>0</v>
      </c>
      <c r="J40" s="323">
        <f>SUMIFS(PL!O:O,PL!$B:$B,$B40,PL!$A:$A,$A40)</f>
        <v>0</v>
      </c>
      <c r="K40" s="323">
        <f>SUMIFS(PL!P:P,PL!$B:$B,$B40,PL!$A:$A,$A40)</f>
        <v>0</v>
      </c>
      <c r="L40" s="323">
        <f>SUMIFS(PL!Q:Q,PL!$B:$B,$B40,PL!$A:$A,$A40)</f>
        <v>0</v>
      </c>
      <c r="M40" s="323">
        <f>SUMIFS(PL!R:R,PL!$B:$B,$B40,PL!$A:$A,$A40)</f>
        <v>0</v>
      </c>
      <c r="N40" s="323">
        <f>SUMIFS(PL!S:S,PL!$B:$B,$B40,PL!$A:$A,$A40)</f>
        <v>0</v>
      </c>
      <c r="O40" s="323">
        <f>SUMIFS(PL!T:T,PL!$B:$B,$B40,PL!$A:$A,$A40)</f>
        <v>0</v>
      </c>
      <c r="P40" s="323">
        <f>SUMIFS(PL!U:U,PL!$B:$B,$B40,PL!$A:$A,$A40)</f>
        <v>0</v>
      </c>
      <c r="Q40" s="323">
        <f>SUMIFS(PL!V:V,PL!$B:$B,$B40,PL!$A:$A,$A40)</f>
        <v>0</v>
      </c>
      <c r="R40" s="323">
        <f>SUMIFS(PL!W:W,PL!$B:$B,$B40,PL!$A:$A,$A40)</f>
        <v>0</v>
      </c>
      <c r="S40" s="323">
        <f>SUMIFS(PL!X:X,PL!$B:$B,$B40,PL!$A:$A,$A40)</f>
        <v>0</v>
      </c>
      <c r="T40" s="323">
        <f>SUMIFS(PL!Y:Y,PL!$B:$B,$B40,PL!$A:$A,$A40)</f>
        <v>0</v>
      </c>
      <c r="U40" s="323">
        <f>SUMIFS(PL!Z:Z,PL!$B:$B,$B40,PL!$A:$A,$A40)</f>
        <v>0</v>
      </c>
      <c r="V40" s="323">
        <f>SUMIFS(PL!AA:AA,PL!$B:$B,$B40,PL!$A:$A,$A40)</f>
        <v>0</v>
      </c>
      <c r="W40" s="323">
        <f>SUMIFS(PL!AB:AB,PL!$B:$B,$B40,PL!$A:$A,$A40)</f>
        <v>0</v>
      </c>
      <c r="X40" s="323">
        <f>SUMIFS(PL!AC:AC,PL!$B:$B,$B40,PL!$A:$A,$A40)</f>
        <v>0</v>
      </c>
      <c r="Y40" s="323">
        <f>SUMIFS(PL!AD:AD,PL!$B:$B,$B40,PL!$A:$A,$A40)</f>
        <v>0</v>
      </c>
      <c r="Z40" s="323">
        <f>SUMIFS(PL!AE:AE,PL!$B:$B,$B40,PL!$A:$A,$A40)</f>
        <v>0</v>
      </c>
      <c r="AA40" s="323">
        <f>SUMIFS(PL!AF:AF,PL!$B:$B,$B40,PL!$A:$A,$A40)</f>
        <v>0</v>
      </c>
      <c r="AB40" s="323">
        <f>SUMIFS(PL!AG:AG,PL!$B:$B,$B40,PL!$A:$A,$A40)</f>
        <v>0</v>
      </c>
      <c r="AC40" s="323">
        <f>SUMIFS(PL!AH:AH,PL!$B:$B,$B40,PL!$A:$A,$A40)</f>
        <v>0</v>
      </c>
      <c r="AD40" s="323">
        <f>SUMIFS(PL!AI:AI,PL!$B:$B,$B40,PL!$A:$A,$A40)</f>
        <v>0</v>
      </c>
      <c r="AE40" s="323">
        <f>SUMIFS(PL!AJ:AJ,PL!$B:$B,$B40,PL!$A:$A,$A40)</f>
        <v>0</v>
      </c>
      <c r="AF40" s="323">
        <f>SUMIFS(PL!AK:AK,PL!$B:$B,$B40,PL!$A:$A,$A40)</f>
        <v>0</v>
      </c>
      <c r="AG40" s="323">
        <f>SUMIFS(PL!AL:AL,PL!$B:$B,$B40,PL!$A:$A,$A40)</f>
        <v>0</v>
      </c>
      <c r="AH40" s="323">
        <f>SUMIFS(PL!AM:AM,PL!$B:$B,$B40,PL!$A:$A,$A40)</f>
        <v>0</v>
      </c>
      <c r="AI40" s="323">
        <f>SUMIFS(PL!AN:AN,PL!$B:$B,$B40,PL!$A:$A,$A40)</f>
        <v>0</v>
      </c>
      <c r="AJ40" s="323">
        <f>SUMIFS(PL!AS:AS,PL!$B:$B,$B40,PL!$A:$A,$A40)</f>
        <v>0</v>
      </c>
      <c r="AK40" s="323">
        <f>SUMIFS(PL!AT:AT,PL!$B:$B,$B40,PL!$A:$A,$A40)</f>
        <v>0</v>
      </c>
      <c r="AL40" s="323">
        <f>SUMIFS(PL!AU:AU,PL!$B:$B,$B40,PL!$A:$A,$A40)</f>
        <v>0</v>
      </c>
      <c r="AM40" s="323">
        <f>SUMIFS(PL!AV:AV,PL!$B:$B,$B40,PL!$A:$A,$A40)</f>
        <v>0</v>
      </c>
    </row>
    <row r="41" spans="1:39" s="262" customFormat="1" ht="13.95" customHeight="1" outlineLevel="1">
      <c r="A41" s="311" t="s">
        <v>1</v>
      </c>
      <c r="B41" s="531" t="s">
        <v>224</v>
      </c>
      <c r="C41" s="323">
        <f t="shared" si="57"/>
        <v>0</v>
      </c>
      <c r="D41" s="323">
        <f t="shared" si="58"/>
        <v>0</v>
      </c>
      <c r="E41" s="323">
        <f t="shared" si="58"/>
        <v>0</v>
      </c>
      <c r="F41" s="334"/>
      <c r="G41" s="323">
        <f>SUMIFS(PL!L:L,PL!$B:$B,$B41,PL!$A:$A,$A41)</f>
        <v>0</v>
      </c>
      <c r="H41" s="323">
        <f>SUMIFS(PL!M:M,PL!$B:$B,$B41,PL!$A:$A,$A41)</f>
        <v>0</v>
      </c>
      <c r="I41" s="323">
        <f>SUMIFS(PL!N:N,PL!$B:$B,$B41,PL!$A:$A,$A41)</f>
        <v>0</v>
      </c>
      <c r="J41" s="323">
        <f>SUMIFS(PL!O:O,PL!$B:$B,$B41,PL!$A:$A,$A41)</f>
        <v>0</v>
      </c>
      <c r="K41" s="323">
        <f>SUMIFS(PL!P:P,PL!$B:$B,$B41,PL!$A:$A,$A41)</f>
        <v>0</v>
      </c>
      <c r="L41" s="323">
        <f>SUMIFS(PL!Q:Q,PL!$B:$B,$B41,PL!$A:$A,$A41)</f>
        <v>0</v>
      </c>
      <c r="M41" s="323">
        <f>SUMIFS(PL!R:R,PL!$B:$B,$B41,PL!$A:$A,$A41)</f>
        <v>0</v>
      </c>
      <c r="N41" s="323">
        <f>SUMIFS(PL!S:S,PL!$B:$B,$B41,PL!$A:$A,$A41)</f>
        <v>0</v>
      </c>
      <c r="O41" s="323">
        <f>SUMIFS(PL!T:T,PL!$B:$B,$B41,PL!$A:$A,$A41)</f>
        <v>0</v>
      </c>
      <c r="P41" s="323">
        <f>SUMIFS(PL!U:U,PL!$B:$B,$B41,PL!$A:$A,$A41)</f>
        <v>0</v>
      </c>
      <c r="Q41" s="323">
        <f>SUMIFS(PL!V:V,PL!$B:$B,$B41,PL!$A:$A,$A41)</f>
        <v>0</v>
      </c>
      <c r="R41" s="323">
        <f>SUMIFS(PL!W:W,PL!$B:$B,$B41,PL!$A:$A,$A41)</f>
        <v>0</v>
      </c>
      <c r="S41" s="323">
        <f>SUMIFS(PL!X:X,PL!$B:$B,$B41,PL!$A:$A,$A41)</f>
        <v>0</v>
      </c>
      <c r="T41" s="323">
        <f>SUMIFS(PL!Y:Y,PL!$B:$B,$B41,PL!$A:$A,$A41)</f>
        <v>0</v>
      </c>
      <c r="U41" s="323">
        <f>SUMIFS(PL!Z:Z,PL!$B:$B,$B41,PL!$A:$A,$A41)</f>
        <v>0</v>
      </c>
      <c r="V41" s="323">
        <f>SUMIFS(PL!AA:AA,PL!$B:$B,$B41,PL!$A:$A,$A41)</f>
        <v>0</v>
      </c>
      <c r="W41" s="323">
        <f>SUMIFS(PL!AB:AB,PL!$B:$B,$B41,PL!$A:$A,$A41)</f>
        <v>0</v>
      </c>
      <c r="X41" s="323">
        <f>SUMIFS(PL!AC:AC,PL!$B:$B,$B41,PL!$A:$A,$A41)</f>
        <v>0</v>
      </c>
      <c r="Y41" s="323">
        <f>SUMIFS(PL!AD:AD,PL!$B:$B,$B41,PL!$A:$A,$A41)</f>
        <v>0</v>
      </c>
      <c r="Z41" s="323">
        <f>SUMIFS(PL!AE:AE,PL!$B:$B,$B41,PL!$A:$A,$A41)</f>
        <v>0</v>
      </c>
      <c r="AA41" s="323">
        <f>SUMIFS(PL!AF:AF,PL!$B:$B,$B41,PL!$A:$A,$A41)</f>
        <v>0</v>
      </c>
      <c r="AB41" s="323">
        <f>SUMIFS(PL!AG:AG,PL!$B:$B,$B41,PL!$A:$A,$A41)</f>
        <v>0</v>
      </c>
      <c r="AC41" s="323">
        <f>SUMIFS(PL!AH:AH,PL!$B:$B,$B41,PL!$A:$A,$A41)</f>
        <v>0</v>
      </c>
      <c r="AD41" s="323">
        <f>SUMIFS(PL!AI:AI,PL!$B:$B,$B41,PL!$A:$A,$A41)</f>
        <v>0</v>
      </c>
      <c r="AE41" s="323">
        <f>SUMIFS(PL!AJ:AJ,PL!$B:$B,$B41,PL!$A:$A,$A41)</f>
        <v>0</v>
      </c>
      <c r="AF41" s="323">
        <f>SUMIFS(PL!AK:AK,PL!$B:$B,$B41,PL!$A:$A,$A41)</f>
        <v>0</v>
      </c>
      <c r="AG41" s="323">
        <f>SUMIFS(PL!AL:AL,PL!$B:$B,$B41,PL!$A:$A,$A41)</f>
        <v>0</v>
      </c>
      <c r="AH41" s="323">
        <f>SUMIFS(PL!AM:AM,PL!$B:$B,$B41,PL!$A:$A,$A41)</f>
        <v>0</v>
      </c>
      <c r="AI41" s="323">
        <f>SUMIFS(PL!AN:AN,PL!$B:$B,$B41,PL!$A:$A,$A41)</f>
        <v>0</v>
      </c>
      <c r="AJ41" s="323">
        <f>SUMIFS(PL!AS:AS,PL!$B:$B,$B41,PL!$A:$A,$A41)</f>
        <v>0</v>
      </c>
      <c r="AK41" s="323">
        <f>SUMIFS(PL!AT:AT,PL!$B:$B,$B41,PL!$A:$A,$A41)</f>
        <v>0</v>
      </c>
      <c r="AL41" s="323">
        <f>SUMIFS(PL!AU:AU,PL!$B:$B,$B41,PL!$A:$A,$A41)</f>
        <v>0</v>
      </c>
      <c r="AM41" s="323">
        <f>SUMIFS(PL!AV:AV,PL!$B:$B,$B41,PL!$A:$A,$A41)</f>
        <v>0</v>
      </c>
    </row>
    <row r="42" spans="1:39" s="262" customFormat="1" ht="13.95" customHeight="1" outlineLevel="1">
      <c r="A42" s="311" t="s">
        <v>1</v>
      </c>
      <c r="B42" s="531" t="s">
        <v>225</v>
      </c>
      <c r="C42" s="323">
        <f t="shared" si="57"/>
        <v>0</v>
      </c>
      <c r="D42" s="323">
        <f t="shared" si="58"/>
        <v>0</v>
      </c>
      <c r="E42" s="323">
        <f t="shared" si="58"/>
        <v>0</v>
      </c>
      <c r="F42" s="334"/>
      <c r="G42" s="323">
        <f>SUMIFS(PL!L:L,PL!$B:$B,$B42,PL!$A:$A,$A42)</f>
        <v>0</v>
      </c>
      <c r="H42" s="323">
        <f>SUMIFS(PL!M:M,PL!$B:$B,$B42,PL!$A:$A,$A42)</f>
        <v>0</v>
      </c>
      <c r="I42" s="323">
        <f>SUMIFS(PL!N:N,PL!$B:$B,$B42,PL!$A:$A,$A42)</f>
        <v>0</v>
      </c>
      <c r="J42" s="323">
        <f>SUMIFS(PL!O:O,PL!$B:$B,$B42,PL!$A:$A,$A42)</f>
        <v>0</v>
      </c>
      <c r="K42" s="323">
        <f>SUMIFS(PL!P:P,PL!$B:$B,$B42,PL!$A:$A,$A42)</f>
        <v>0</v>
      </c>
      <c r="L42" s="323">
        <f>SUMIFS(PL!Q:Q,PL!$B:$B,$B42,PL!$A:$A,$A42)</f>
        <v>0</v>
      </c>
      <c r="M42" s="323">
        <f>SUMIFS(PL!R:R,PL!$B:$B,$B42,PL!$A:$A,$A42)</f>
        <v>0</v>
      </c>
      <c r="N42" s="323">
        <f>SUMIFS(PL!S:S,PL!$B:$B,$B42,PL!$A:$A,$A42)</f>
        <v>0</v>
      </c>
      <c r="O42" s="323">
        <f>SUMIFS(PL!T:T,PL!$B:$B,$B42,PL!$A:$A,$A42)</f>
        <v>0</v>
      </c>
      <c r="P42" s="323">
        <f>SUMIFS(PL!U:U,PL!$B:$B,$B42,PL!$A:$A,$A42)</f>
        <v>0</v>
      </c>
      <c r="Q42" s="323">
        <f>SUMIFS(PL!V:V,PL!$B:$B,$B42,PL!$A:$A,$A42)</f>
        <v>0</v>
      </c>
      <c r="R42" s="323">
        <f>SUMIFS(PL!W:W,PL!$B:$B,$B42,PL!$A:$A,$A42)</f>
        <v>0</v>
      </c>
      <c r="S42" s="323">
        <f>SUMIFS(PL!X:X,PL!$B:$B,$B42,PL!$A:$A,$A42)</f>
        <v>0</v>
      </c>
      <c r="T42" s="323">
        <f>SUMIFS(PL!Y:Y,PL!$B:$B,$B42,PL!$A:$A,$A42)</f>
        <v>0</v>
      </c>
      <c r="U42" s="323">
        <f>SUMIFS(PL!Z:Z,PL!$B:$B,$B42,PL!$A:$A,$A42)</f>
        <v>0</v>
      </c>
      <c r="V42" s="323">
        <f>SUMIFS(PL!AA:AA,PL!$B:$B,$B42,PL!$A:$A,$A42)</f>
        <v>0</v>
      </c>
      <c r="W42" s="323">
        <f>SUMIFS(PL!AB:AB,PL!$B:$B,$B42,PL!$A:$A,$A42)</f>
        <v>0</v>
      </c>
      <c r="X42" s="323">
        <f>SUMIFS(PL!AC:AC,PL!$B:$B,$B42,PL!$A:$A,$A42)</f>
        <v>0</v>
      </c>
      <c r="Y42" s="323">
        <f>SUMIFS(PL!AD:AD,PL!$B:$B,$B42,PL!$A:$A,$A42)</f>
        <v>0</v>
      </c>
      <c r="Z42" s="323">
        <f>SUMIFS(PL!AE:AE,PL!$B:$B,$B42,PL!$A:$A,$A42)</f>
        <v>0</v>
      </c>
      <c r="AA42" s="323">
        <f>SUMIFS(PL!AF:AF,PL!$B:$B,$B42,PL!$A:$A,$A42)</f>
        <v>0</v>
      </c>
      <c r="AB42" s="323">
        <f>SUMIFS(PL!AG:AG,PL!$B:$B,$B42,PL!$A:$A,$A42)</f>
        <v>0</v>
      </c>
      <c r="AC42" s="323">
        <f>SUMIFS(PL!AH:AH,PL!$B:$B,$B42,PL!$A:$A,$A42)</f>
        <v>0</v>
      </c>
      <c r="AD42" s="323">
        <f>SUMIFS(PL!AI:AI,PL!$B:$B,$B42,PL!$A:$A,$A42)</f>
        <v>0</v>
      </c>
      <c r="AE42" s="323">
        <f>SUMIFS(PL!AJ:AJ,PL!$B:$B,$B42,PL!$A:$A,$A42)</f>
        <v>0</v>
      </c>
      <c r="AF42" s="323">
        <f>SUMIFS(PL!AK:AK,PL!$B:$B,$B42,PL!$A:$A,$A42)</f>
        <v>0</v>
      </c>
      <c r="AG42" s="323">
        <f>SUMIFS(PL!AL:AL,PL!$B:$B,$B42,PL!$A:$A,$A42)</f>
        <v>0</v>
      </c>
      <c r="AH42" s="323">
        <f>SUMIFS(PL!AM:AM,PL!$B:$B,$B42,PL!$A:$A,$A42)</f>
        <v>0</v>
      </c>
      <c r="AI42" s="323">
        <f>SUMIFS(PL!AN:AN,PL!$B:$B,$B42,PL!$A:$A,$A42)</f>
        <v>0</v>
      </c>
      <c r="AJ42" s="323">
        <f>SUMIFS(PL!AS:AS,PL!$B:$B,$B42,PL!$A:$A,$A42)</f>
        <v>0</v>
      </c>
      <c r="AK42" s="323">
        <f>SUMIFS(PL!AT:AT,PL!$B:$B,$B42,PL!$A:$A,$A42)</f>
        <v>0</v>
      </c>
      <c r="AL42" s="323">
        <f>SUMIFS(PL!AU:AU,PL!$B:$B,$B42,PL!$A:$A,$A42)</f>
        <v>0</v>
      </c>
      <c r="AM42" s="323">
        <f>SUMIFS(PL!AV:AV,PL!$B:$B,$B42,PL!$A:$A,$A42)</f>
        <v>0</v>
      </c>
    </row>
    <row r="43" spans="1:39" s="262" customFormat="1" ht="13.95" customHeight="1" thickBot="1">
      <c r="A43" s="311"/>
      <c r="B43" s="340" t="s">
        <v>195</v>
      </c>
      <c r="C43" s="341">
        <f>C11-SUBTOTAL(9,C20,C25:C27)</f>
        <v>0</v>
      </c>
      <c r="D43" s="341">
        <f>D11-SUBTOTAL(9,D20,D25:D27)</f>
        <v>0</v>
      </c>
      <c r="E43" s="341">
        <f>E11-SUBTOTAL(9,E20,E25:E27)</f>
        <v>0</v>
      </c>
      <c r="F43" s="334"/>
      <c r="G43" s="341">
        <f t="shared" ref="G43:AE43" si="59">G11-SUBTOTAL(9,G20,G25:G27)</f>
        <v>0</v>
      </c>
      <c r="H43" s="341">
        <f t="shared" si="59"/>
        <v>0</v>
      </c>
      <c r="I43" s="341">
        <f t="shared" si="59"/>
        <v>0</v>
      </c>
      <c r="J43" s="341">
        <f t="shared" si="59"/>
        <v>0</v>
      </c>
      <c r="K43" s="341">
        <f t="shared" si="59"/>
        <v>0</v>
      </c>
      <c r="L43" s="341">
        <f t="shared" si="59"/>
        <v>0</v>
      </c>
      <c r="M43" s="341">
        <f t="shared" si="59"/>
        <v>0</v>
      </c>
      <c r="N43" s="341">
        <f t="shared" si="59"/>
        <v>0</v>
      </c>
      <c r="O43" s="341">
        <f t="shared" si="59"/>
        <v>0</v>
      </c>
      <c r="P43" s="341">
        <f t="shared" si="59"/>
        <v>0</v>
      </c>
      <c r="Q43" s="341">
        <f t="shared" si="59"/>
        <v>0</v>
      </c>
      <c r="R43" s="341">
        <f t="shared" si="59"/>
        <v>0</v>
      </c>
      <c r="S43" s="341">
        <f t="shared" si="59"/>
        <v>0</v>
      </c>
      <c r="T43" s="341">
        <f t="shared" si="59"/>
        <v>0</v>
      </c>
      <c r="U43" s="341">
        <f t="shared" si="59"/>
        <v>0</v>
      </c>
      <c r="V43" s="341">
        <f t="shared" si="59"/>
        <v>0</v>
      </c>
      <c r="W43" s="341">
        <f t="shared" si="59"/>
        <v>0</v>
      </c>
      <c r="X43" s="341">
        <f t="shared" si="59"/>
        <v>0</v>
      </c>
      <c r="Y43" s="341">
        <f t="shared" si="59"/>
        <v>0</v>
      </c>
      <c r="Z43" s="341">
        <f t="shared" si="59"/>
        <v>0</v>
      </c>
      <c r="AA43" s="341">
        <f t="shared" si="59"/>
        <v>0</v>
      </c>
      <c r="AB43" s="341">
        <f t="shared" si="59"/>
        <v>0</v>
      </c>
      <c r="AC43" s="341">
        <f t="shared" si="59"/>
        <v>0</v>
      </c>
      <c r="AD43" s="341">
        <f t="shared" si="59"/>
        <v>0</v>
      </c>
      <c r="AE43" s="341">
        <f t="shared" si="59"/>
        <v>0</v>
      </c>
      <c r="AF43" s="341">
        <f t="shared" ref="AF43:AM43" si="60">AF11-SUBTOTAL(9,AF20,AF25:AF27)</f>
        <v>0</v>
      </c>
      <c r="AG43" s="341">
        <f t="shared" si="60"/>
        <v>0</v>
      </c>
      <c r="AH43" s="341">
        <f t="shared" si="60"/>
        <v>0</v>
      </c>
      <c r="AI43" s="341">
        <f t="shared" si="60"/>
        <v>0</v>
      </c>
      <c r="AJ43" s="341">
        <f t="shared" si="60"/>
        <v>0</v>
      </c>
      <c r="AK43" s="341">
        <f t="shared" si="60"/>
        <v>0</v>
      </c>
      <c r="AL43" s="341">
        <f t="shared" si="60"/>
        <v>0</v>
      </c>
      <c r="AM43" s="341">
        <f t="shared" si="60"/>
        <v>0</v>
      </c>
    </row>
    <row r="44" spans="1:39" s="220" customFormat="1" ht="13.95" customHeight="1">
      <c r="A44" s="311"/>
      <c r="B44" s="93" t="s">
        <v>64</v>
      </c>
      <c r="C44" s="222"/>
      <c r="D44" s="222"/>
      <c r="E44" s="222"/>
      <c r="F44" s="334"/>
      <c r="G44" s="222"/>
      <c r="H44" s="222"/>
      <c r="I44" s="222"/>
      <c r="J44" s="211"/>
      <c r="K44" s="222"/>
      <c r="L44" s="222"/>
      <c r="M44" s="222"/>
      <c r="N44" s="222"/>
      <c r="O44" s="222"/>
      <c r="P44" s="222"/>
      <c r="Q44" s="222"/>
      <c r="R44" s="222"/>
      <c r="S44" s="222"/>
      <c r="T44" s="222"/>
      <c r="U44" s="221"/>
      <c r="V44" s="221"/>
      <c r="W44" s="221"/>
      <c r="X44" s="221"/>
      <c r="Y44" s="221"/>
      <c r="Z44" s="221"/>
      <c r="AA44" s="221"/>
      <c r="AB44" s="221"/>
      <c r="AC44" s="221"/>
      <c r="AD44" s="221"/>
      <c r="AE44" s="221"/>
      <c r="AF44" s="221"/>
      <c r="AG44" s="221"/>
      <c r="AH44" s="221"/>
      <c r="AI44" s="221"/>
      <c r="AJ44" s="221"/>
      <c r="AK44" s="221"/>
      <c r="AL44" s="221"/>
      <c r="AM44" s="221"/>
    </row>
    <row r="45" spans="1:39" s="220" customFormat="1" ht="13.95" customHeight="1" outlineLevel="1">
      <c r="A45" s="311"/>
      <c r="B45" s="221"/>
      <c r="C45" s="222"/>
      <c r="D45" s="222"/>
      <c r="E45" s="222"/>
      <c r="F45" s="334"/>
      <c r="G45" s="222"/>
      <c r="H45" s="222"/>
      <c r="I45" s="222"/>
      <c r="J45" s="211"/>
      <c r="K45" s="222"/>
      <c r="L45" s="222"/>
      <c r="M45" s="222"/>
      <c r="N45" s="222"/>
      <c r="O45" s="222"/>
      <c r="P45" s="222"/>
      <c r="Q45" s="222"/>
      <c r="R45" s="222"/>
      <c r="S45" s="222"/>
      <c r="T45" s="222"/>
      <c r="U45" s="221"/>
      <c r="V45" s="221"/>
      <c r="W45" s="221"/>
      <c r="X45" s="221"/>
      <c r="Y45" s="221"/>
      <c r="Z45" s="221"/>
      <c r="AA45" s="221"/>
      <c r="AB45" s="221"/>
      <c r="AC45" s="221"/>
      <c r="AD45" s="221"/>
      <c r="AE45" s="221"/>
      <c r="AF45" s="221"/>
      <c r="AG45" s="221"/>
      <c r="AH45" s="221"/>
      <c r="AI45" s="221"/>
      <c r="AJ45" s="221"/>
      <c r="AK45" s="221"/>
      <c r="AL45" s="221"/>
      <c r="AM45" s="221"/>
    </row>
    <row r="46" spans="1:39" s="221" customFormat="1" ht="13.95" customHeight="1" outlineLevel="1">
      <c r="A46" s="311"/>
      <c r="B46" s="221" t="s">
        <v>2</v>
      </c>
      <c r="C46" s="224">
        <f>SUMIFS($G46:$BC46,$G$5:$BC$5,"&lt;="&amp;EOMONTH(C$5,0),$G$6:$BC$6,"&lt;="&amp;C$5)</f>
        <v>0</v>
      </c>
      <c r="D46" s="224">
        <f>SUMIFS($G46:$AT46,$G$5:$AT$5,"&gt;"&amp;EOMONTH(D$5,-12),$G$5:$AT$5,"&lt;="&amp;D$5)</f>
        <v>0</v>
      </c>
      <c r="E46" s="224">
        <f>SUMIFS($G46:$AT46,$G$5:$AT$5,"&gt;"&amp;EOMONTH(E$5,-12),$G$5:$AT$5,"&lt;="&amp;E$5)</f>
        <v>0</v>
      </c>
      <c r="F46" s="334"/>
      <c r="G46" s="222">
        <f>'Lead QE'!J12-G43</f>
        <v>0</v>
      </c>
      <c r="H46" s="222">
        <f>'Lead QE'!K12-H43</f>
        <v>0</v>
      </c>
      <c r="I46" s="222">
        <f>'Lead QE'!L12-I43</f>
        <v>0</v>
      </c>
      <c r="J46" s="222">
        <f>'Lead QE'!M12-J43</f>
        <v>0</v>
      </c>
      <c r="K46" s="222">
        <f>'Lead QE'!N12-K43</f>
        <v>0</v>
      </c>
      <c r="L46" s="222">
        <f>'Lead QE'!O12-L43</f>
        <v>0</v>
      </c>
      <c r="M46" s="222">
        <f>'Lead QE'!P12-M43</f>
        <v>0</v>
      </c>
      <c r="N46" s="222">
        <f>'Lead QE'!Q12-N43</f>
        <v>0</v>
      </c>
      <c r="O46" s="222">
        <f>'Lead QE'!R12-O43</f>
        <v>0</v>
      </c>
      <c r="P46" s="222">
        <f>'Lead QE'!S12-P43</f>
        <v>0</v>
      </c>
      <c r="Q46" s="222">
        <f>'Lead QE'!T12-Q43</f>
        <v>0</v>
      </c>
      <c r="R46" s="222">
        <f>'Lead QE'!U12-R43</f>
        <v>0</v>
      </c>
      <c r="S46" s="222">
        <f>'Lead QE'!V12-S43</f>
        <v>0</v>
      </c>
      <c r="T46" s="222">
        <f>'Lead QE'!W12-T43</f>
        <v>0</v>
      </c>
      <c r="U46" s="222">
        <f>'Lead QE'!X12-U43</f>
        <v>0</v>
      </c>
      <c r="V46" s="222">
        <f>'Lead QE'!Y12-V43</f>
        <v>0</v>
      </c>
      <c r="W46" s="222">
        <f>'Lead QE'!Z12-W43</f>
        <v>0</v>
      </c>
      <c r="X46" s="222">
        <f>'Lead QE'!AA12-X43</f>
        <v>0</v>
      </c>
      <c r="Y46" s="222">
        <f>'Lead QE'!AB12-Y43</f>
        <v>0</v>
      </c>
      <c r="Z46" s="222">
        <f>'Lead QE'!AC12-Z43</f>
        <v>0</v>
      </c>
      <c r="AA46" s="222">
        <f>'Lead QE'!AD12-AA43</f>
        <v>0</v>
      </c>
      <c r="AB46" s="222">
        <f>'Lead QE'!AE12-AB43</f>
        <v>0</v>
      </c>
      <c r="AC46" s="222">
        <f>'Lead QE'!AF12-AC43</f>
        <v>0</v>
      </c>
      <c r="AD46" s="222">
        <f>'Lead QE'!AG12-AD43</f>
        <v>0</v>
      </c>
      <c r="AE46" s="222">
        <f>'Lead QE'!AH12-AE43</f>
        <v>0</v>
      </c>
      <c r="AF46" s="222">
        <f>'Lead QE'!AI12-AF43</f>
        <v>0</v>
      </c>
      <c r="AG46" s="222">
        <f>'Lead QE'!AJ12-AG43</f>
        <v>0</v>
      </c>
      <c r="AH46" s="222">
        <f>'Lead QE'!AK12-AH43</f>
        <v>0</v>
      </c>
      <c r="AI46" s="222">
        <f>'Lead QE'!AL12-AI43</f>
        <v>0</v>
      </c>
      <c r="AJ46" s="222">
        <f>'Lead QE'!AM12-AJ43</f>
        <v>0</v>
      </c>
      <c r="AK46" s="222">
        <f>'Lead QE'!AN12-AK43</f>
        <v>0</v>
      </c>
      <c r="AL46" s="222">
        <f>'Lead QE'!AO12-AL43</f>
        <v>0</v>
      </c>
      <c r="AM46" s="222">
        <f>'Lead QE'!AP12-AM43</f>
        <v>0</v>
      </c>
    </row>
    <row r="47" spans="1:39" s="221" customFormat="1" ht="13.95" customHeight="1">
      <c r="A47" s="311"/>
      <c r="B47" s="238"/>
      <c r="C47" s="220"/>
      <c r="D47" s="220"/>
      <c r="E47" s="220"/>
      <c r="F47" s="334"/>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220"/>
      <c r="AH47" s="220"/>
      <c r="AI47" s="220"/>
      <c r="AJ47" s="220"/>
      <c r="AK47" s="220"/>
      <c r="AL47" s="220"/>
      <c r="AM47" s="220"/>
    </row>
    <row r="48" spans="1:39" s="221" customFormat="1" ht="13.95" customHeight="1">
      <c r="A48" s="311"/>
      <c r="B48" s="225" t="s">
        <v>68</v>
      </c>
      <c r="C48" s="219"/>
      <c r="D48" s="219"/>
      <c r="E48" s="219"/>
      <c r="F48" s="334"/>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row>
    <row r="49" spans="1:39" s="390" customFormat="1" ht="13.95" customHeight="1" thickBot="1">
      <c r="A49" s="389"/>
      <c r="B49" s="261" t="s">
        <v>7</v>
      </c>
      <c r="C49" s="297">
        <f t="shared" ref="C49:E50" si="61">C5</f>
        <v>44926</v>
      </c>
      <c r="D49" s="297">
        <f t="shared" si="61"/>
        <v>45291</v>
      </c>
      <c r="E49" s="296">
        <f t="shared" si="61"/>
        <v>45565</v>
      </c>
      <c r="F49" s="334"/>
      <c r="G49" s="249">
        <v>44562</v>
      </c>
      <c r="H49" s="249">
        <f t="shared" ref="H49" si="62">EOMONTH(G49,1)</f>
        <v>44620</v>
      </c>
      <c r="I49" s="249">
        <f t="shared" ref="I49" si="63">EOMONTH(H49,1)</f>
        <v>44651</v>
      </c>
      <c r="J49" s="249">
        <f t="shared" ref="J49" si="64">EOMONTH(I49,1)</f>
        <v>44681</v>
      </c>
      <c r="K49" s="249">
        <f t="shared" ref="K49" si="65">EOMONTH(J49,1)</f>
        <v>44712</v>
      </c>
      <c r="L49" s="249">
        <f t="shared" ref="L49" si="66">EOMONTH(K49,1)</f>
        <v>44742</v>
      </c>
      <c r="M49" s="249">
        <f t="shared" ref="M49" si="67">EOMONTH(L49,1)</f>
        <v>44773</v>
      </c>
      <c r="N49" s="249">
        <f t="shared" ref="N49" si="68">EOMONTH(M49,1)</f>
        <v>44804</v>
      </c>
      <c r="O49" s="249">
        <f t="shared" ref="O49" si="69">EOMONTH(N49,1)</f>
        <v>44834</v>
      </c>
      <c r="P49" s="249">
        <f t="shared" ref="P49" si="70">EOMONTH(O49,1)</f>
        <v>44865</v>
      </c>
      <c r="Q49" s="249">
        <f t="shared" ref="Q49" si="71">EOMONTH(P49,1)</f>
        <v>44895</v>
      </c>
      <c r="R49" s="249">
        <f t="shared" ref="R49" si="72">EOMONTH(Q49,1)</f>
        <v>44926</v>
      </c>
      <c r="S49" s="249">
        <f t="shared" ref="S49" si="73">EOMONTH(R49,1)</f>
        <v>44957</v>
      </c>
      <c r="T49" s="249">
        <f t="shared" ref="T49" si="74">EOMONTH(S49,1)</f>
        <v>44985</v>
      </c>
      <c r="U49" s="249">
        <f t="shared" ref="U49" si="75">EOMONTH(T49,1)</f>
        <v>45016</v>
      </c>
      <c r="V49" s="249">
        <f t="shared" ref="V49" si="76">EOMONTH(U49,1)</f>
        <v>45046</v>
      </c>
      <c r="W49" s="249">
        <f t="shared" ref="W49" si="77">EOMONTH(V49,1)</f>
        <v>45077</v>
      </c>
      <c r="X49" s="249">
        <f t="shared" ref="X49" si="78">EOMONTH(W49,1)</f>
        <v>45107</v>
      </c>
      <c r="Y49" s="249">
        <f t="shared" ref="Y49" si="79">EOMONTH(X49,1)</f>
        <v>45138</v>
      </c>
      <c r="Z49" s="249">
        <f t="shared" ref="Z49" si="80">EOMONTH(Y49,1)</f>
        <v>45169</v>
      </c>
      <c r="AA49" s="249">
        <f t="shared" ref="AA49" si="81">EOMONTH(Z49,1)</f>
        <v>45199</v>
      </c>
      <c r="AB49" s="249">
        <f t="shared" ref="AB49" si="82">EOMONTH(AA49,1)</f>
        <v>45230</v>
      </c>
      <c r="AC49" s="249">
        <f t="shared" ref="AC49" si="83">EOMONTH(AB49,1)</f>
        <v>45260</v>
      </c>
      <c r="AD49" s="249">
        <f t="shared" ref="AD49" si="84">EOMONTH(AC49,1)</f>
        <v>45291</v>
      </c>
      <c r="AE49" s="249">
        <f t="shared" ref="AE49" si="85">EOMONTH(AD49,1)</f>
        <v>45322</v>
      </c>
      <c r="AF49" s="249">
        <f t="shared" ref="AF49" si="86">EOMONTH(AE49,1)</f>
        <v>45351</v>
      </c>
      <c r="AG49" s="249">
        <f t="shared" ref="AG49" si="87">EOMONTH(AF49,1)</f>
        <v>45382</v>
      </c>
      <c r="AH49" s="249">
        <f t="shared" ref="AH49" si="88">EOMONTH(AG49,1)</f>
        <v>45412</v>
      </c>
      <c r="AI49" s="249">
        <f t="shared" ref="AI49" si="89">EOMONTH(AH49,1)</f>
        <v>45443</v>
      </c>
      <c r="AJ49" s="249">
        <f t="shared" ref="AJ49" si="90">EOMONTH(AI49,1)</f>
        <v>45473</v>
      </c>
      <c r="AK49" s="249">
        <f t="shared" ref="AK49" si="91">EOMONTH(AJ49,1)</f>
        <v>45504</v>
      </c>
      <c r="AL49" s="249">
        <f t="shared" ref="AL49" si="92">EOMONTH(AK49,1)</f>
        <v>45535</v>
      </c>
      <c r="AM49" s="249">
        <f t="shared" ref="AM49" si="93">EOMONTH(AL49,1)</f>
        <v>45565</v>
      </c>
    </row>
    <row r="50" spans="1:39" s="262" customFormat="1" ht="13.95" customHeight="1">
      <c r="A50" s="311" t="s">
        <v>12</v>
      </c>
      <c r="B50" s="302" t="s">
        <v>12</v>
      </c>
      <c r="C50" s="304">
        <f t="shared" si="61"/>
        <v>0</v>
      </c>
      <c r="D50" s="304">
        <f t="shared" si="61"/>
        <v>0</v>
      </c>
      <c r="E50" s="304">
        <f t="shared" si="61"/>
        <v>0</v>
      </c>
      <c r="F50" s="343"/>
      <c r="G50" s="342">
        <f t="shared" ref="G50:AE50" si="94">G6</f>
        <v>0</v>
      </c>
      <c r="H50" s="342">
        <f t="shared" si="94"/>
        <v>0</v>
      </c>
      <c r="I50" s="342">
        <f t="shared" si="94"/>
        <v>0</v>
      </c>
      <c r="J50" s="342">
        <f t="shared" si="94"/>
        <v>0</v>
      </c>
      <c r="K50" s="342">
        <f t="shared" si="94"/>
        <v>0</v>
      </c>
      <c r="L50" s="342">
        <f t="shared" si="94"/>
        <v>0</v>
      </c>
      <c r="M50" s="342">
        <f t="shared" si="94"/>
        <v>0</v>
      </c>
      <c r="N50" s="342">
        <f t="shared" si="94"/>
        <v>0</v>
      </c>
      <c r="O50" s="342">
        <f t="shared" si="94"/>
        <v>0</v>
      </c>
      <c r="P50" s="342">
        <f t="shared" si="94"/>
        <v>0</v>
      </c>
      <c r="Q50" s="342">
        <f t="shared" si="94"/>
        <v>0</v>
      </c>
      <c r="R50" s="342">
        <f t="shared" si="94"/>
        <v>0</v>
      </c>
      <c r="S50" s="342">
        <f t="shared" si="94"/>
        <v>0</v>
      </c>
      <c r="T50" s="342">
        <f t="shared" si="94"/>
        <v>0</v>
      </c>
      <c r="U50" s="342">
        <f t="shared" si="94"/>
        <v>0</v>
      </c>
      <c r="V50" s="342">
        <f t="shared" si="94"/>
        <v>0</v>
      </c>
      <c r="W50" s="342">
        <f t="shared" si="94"/>
        <v>0</v>
      </c>
      <c r="X50" s="342">
        <f t="shared" si="94"/>
        <v>0</v>
      </c>
      <c r="Y50" s="342">
        <f t="shared" si="94"/>
        <v>0</v>
      </c>
      <c r="Z50" s="342">
        <f t="shared" si="94"/>
        <v>0</v>
      </c>
      <c r="AA50" s="342">
        <f t="shared" si="94"/>
        <v>0</v>
      </c>
      <c r="AB50" s="342">
        <f t="shared" si="94"/>
        <v>0</v>
      </c>
      <c r="AC50" s="342">
        <f t="shared" si="94"/>
        <v>0</v>
      </c>
      <c r="AD50" s="342">
        <f t="shared" si="94"/>
        <v>0</v>
      </c>
      <c r="AE50" s="342">
        <f t="shared" si="94"/>
        <v>0</v>
      </c>
      <c r="AF50" s="342">
        <f t="shared" ref="AF50:AM50" si="95">AF6</f>
        <v>0</v>
      </c>
      <c r="AG50" s="342">
        <f t="shared" si="95"/>
        <v>0</v>
      </c>
      <c r="AH50" s="342">
        <f t="shared" si="95"/>
        <v>0</v>
      </c>
      <c r="AI50" s="342">
        <f t="shared" si="95"/>
        <v>0</v>
      </c>
      <c r="AJ50" s="342">
        <f t="shared" si="95"/>
        <v>0</v>
      </c>
      <c r="AK50" s="342">
        <f t="shared" si="95"/>
        <v>0</v>
      </c>
      <c r="AL50" s="342">
        <f t="shared" si="95"/>
        <v>0</v>
      </c>
      <c r="AM50" s="342">
        <f t="shared" si="95"/>
        <v>0</v>
      </c>
    </row>
    <row r="51" spans="1:39" s="262" customFormat="1" ht="13.95" customHeight="1">
      <c r="A51" s="311"/>
      <c r="B51" s="223" t="s">
        <v>168</v>
      </c>
      <c r="C51" s="338">
        <f t="shared" ref="C51:E55" si="96">+IFERROR((C7/C$6)*100,0)</f>
        <v>0</v>
      </c>
      <c r="D51" s="338">
        <f t="shared" si="96"/>
        <v>0</v>
      </c>
      <c r="E51" s="338">
        <f t="shared" si="96"/>
        <v>0</v>
      </c>
      <c r="F51" s="500"/>
      <c r="G51" s="501">
        <f t="shared" ref="G51:AE51" si="97">+IFERROR((G7/G$6)*100,0)</f>
        <v>0</v>
      </c>
      <c r="H51" s="501">
        <f t="shared" si="97"/>
        <v>0</v>
      </c>
      <c r="I51" s="501">
        <f t="shared" si="97"/>
        <v>0</v>
      </c>
      <c r="J51" s="501">
        <f t="shared" si="97"/>
        <v>0</v>
      </c>
      <c r="K51" s="501">
        <f t="shared" si="97"/>
        <v>0</v>
      </c>
      <c r="L51" s="501">
        <f t="shared" si="97"/>
        <v>0</v>
      </c>
      <c r="M51" s="501">
        <f t="shared" si="97"/>
        <v>0</v>
      </c>
      <c r="N51" s="501">
        <f t="shared" si="97"/>
        <v>0</v>
      </c>
      <c r="O51" s="501">
        <f t="shared" si="97"/>
        <v>0</v>
      </c>
      <c r="P51" s="501">
        <f t="shared" si="97"/>
        <v>0</v>
      </c>
      <c r="Q51" s="501">
        <f t="shared" si="97"/>
        <v>0</v>
      </c>
      <c r="R51" s="501">
        <f t="shared" si="97"/>
        <v>0</v>
      </c>
      <c r="S51" s="501">
        <f t="shared" si="97"/>
        <v>0</v>
      </c>
      <c r="T51" s="501">
        <f t="shared" si="97"/>
        <v>0</v>
      </c>
      <c r="U51" s="501">
        <f t="shared" si="97"/>
        <v>0</v>
      </c>
      <c r="V51" s="501">
        <f t="shared" si="97"/>
        <v>0</v>
      </c>
      <c r="W51" s="501">
        <f t="shared" si="97"/>
        <v>0</v>
      </c>
      <c r="X51" s="501">
        <f t="shared" si="97"/>
        <v>0</v>
      </c>
      <c r="Y51" s="501">
        <f t="shared" si="97"/>
        <v>0</v>
      </c>
      <c r="Z51" s="501">
        <f t="shared" si="97"/>
        <v>0</v>
      </c>
      <c r="AA51" s="501">
        <f t="shared" si="97"/>
        <v>0</v>
      </c>
      <c r="AB51" s="501">
        <f t="shared" si="97"/>
        <v>0</v>
      </c>
      <c r="AC51" s="501">
        <f t="shared" si="97"/>
        <v>0</v>
      </c>
      <c r="AD51" s="501">
        <f t="shared" si="97"/>
        <v>0</v>
      </c>
      <c r="AE51" s="501">
        <f t="shared" si="97"/>
        <v>0</v>
      </c>
      <c r="AF51" s="501">
        <f t="shared" ref="AF51:AM51" si="98">+IFERROR((AF7/AF$6)*100,0)</f>
        <v>0</v>
      </c>
      <c r="AG51" s="501">
        <f t="shared" si="98"/>
        <v>0</v>
      </c>
      <c r="AH51" s="501">
        <f t="shared" si="98"/>
        <v>0</v>
      </c>
      <c r="AI51" s="501">
        <f t="shared" si="98"/>
        <v>0</v>
      </c>
      <c r="AJ51" s="501">
        <f t="shared" si="98"/>
        <v>0</v>
      </c>
      <c r="AK51" s="501">
        <f t="shared" si="98"/>
        <v>0</v>
      </c>
      <c r="AL51" s="501">
        <f t="shared" si="98"/>
        <v>0</v>
      </c>
      <c r="AM51" s="501">
        <f t="shared" si="98"/>
        <v>0</v>
      </c>
    </row>
    <row r="52" spans="1:39" s="262" customFormat="1" ht="13.95" customHeight="1">
      <c r="A52" s="311"/>
      <c r="B52" s="223" t="s">
        <v>169</v>
      </c>
      <c r="C52" s="338">
        <f t="shared" si="96"/>
        <v>0</v>
      </c>
      <c r="D52" s="338">
        <f t="shared" si="96"/>
        <v>0</v>
      </c>
      <c r="E52" s="338">
        <f t="shared" si="96"/>
        <v>0</v>
      </c>
      <c r="F52" s="500"/>
      <c r="G52" s="501">
        <f t="shared" ref="G52:AE52" si="99">+IFERROR((G8/G$6)*100,0)</f>
        <v>0</v>
      </c>
      <c r="H52" s="501">
        <f t="shared" si="99"/>
        <v>0</v>
      </c>
      <c r="I52" s="501">
        <f t="shared" si="99"/>
        <v>0</v>
      </c>
      <c r="J52" s="501">
        <f t="shared" si="99"/>
        <v>0</v>
      </c>
      <c r="K52" s="501">
        <f t="shared" si="99"/>
        <v>0</v>
      </c>
      <c r="L52" s="501">
        <f t="shared" si="99"/>
        <v>0</v>
      </c>
      <c r="M52" s="501">
        <f t="shared" si="99"/>
        <v>0</v>
      </c>
      <c r="N52" s="501">
        <f t="shared" si="99"/>
        <v>0</v>
      </c>
      <c r="O52" s="501">
        <f t="shared" si="99"/>
        <v>0</v>
      </c>
      <c r="P52" s="501">
        <f t="shared" si="99"/>
        <v>0</v>
      </c>
      <c r="Q52" s="501">
        <f t="shared" si="99"/>
        <v>0</v>
      </c>
      <c r="R52" s="501">
        <f t="shared" si="99"/>
        <v>0</v>
      </c>
      <c r="S52" s="501">
        <f t="shared" si="99"/>
        <v>0</v>
      </c>
      <c r="T52" s="501">
        <f t="shared" si="99"/>
        <v>0</v>
      </c>
      <c r="U52" s="501">
        <f t="shared" si="99"/>
        <v>0</v>
      </c>
      <c r="V52" s="501">
        <f t="shared" si="99"/>
        <v>0</v>
      </c>
      <c r="W52" s="501">
        <f t="shared" si="99"/>
        <v>0</v>
      </c>
      <c r="X52" s="501">
        <f t="shared" si="99"/>
        <v>0</v>
      </c>
      <c r="Y52" s="501">
        <f t="shared" si="99"/>
        <v>0</v>
      </c>
      <c r="Z52" s="501">
        <f t="shared" si="99"/>
        <v>0</v>
      </c>
      <c r="AA52" s="501">
        <f t="shared" si="99"/>
        <v>0</v>
      </c>
      <c r="AB52" s="501">
        <f t="shared" si="99"/>
        <v>0</v>
      </c>
      <c r="AC52" s="501">
        <f t="shared" si="99"/>
        <v>0</v>
      </c>
      <c r="AD52" s="501">
        <f t="shared" si="99"/>
        <v>0</v>
      </c>
      <c r="AE52" s="501">
        <f t="shared" si="99"/>
        <v>0</v>
      </c>
      <c r="AF52" s="501">
        <f t="shared" ref="AF52:AM52" si="100">+IFERROR((AF8/AF$6)*100,0)</f>
        <v>0</v>
      </c>
      <c r="AG52" s="501">
        <f t="shared" si="100"/>
        <v>0</v>
      </c>
      <c r="AH52" s="501">
        <f t="shared" si="100"/>
        <v>0</v>
      </c>
      <c r="AI52" s="501">
        <f t="shared" si="100"/>
        <v>0</v>
      </c>
      <c r="AJ52" s="501">
        <f t="shared" si="100"/>
        <v>0</v>
      </c>
      <c r="AK52" s="501">
        <f t="shared" si="100"/>
        <v>0</v>
      </c>
      <c r="AL52" s="501">
        <f t="shared" si="100"/>
        <v>0</v>
      </c>
      <c r="AM52" s="501">
        <f t="shared" si="100"/>
        <v>0</v>
      </c>
    </row>
    <row r="53" spans="1:39" s="262" customFormat="1" ht="13.95" customHeight="1">
      <c r="A53" s="311"/>
      <c r="B53" s="424" t="s">
        <v>74</v>
      </c>
      <c r="C53" s="499">
        <f t="shared" si="96"/>
        <v>0</v>
      </c>
      <c r="D53" s="499">
        <f t="shared" si="96"/>
        <v>0</v>
      </c>
      <c r="E53" s="499">
        <f t="shared" si="96"/>
        <v>0</v>
      </c>
      <c r="F53" s="500"/>
      <c r="G53" s="502">
        <f t="shared" ref="G53:AE53" si="101">+IFERROR((G9/G$6)*100,0)</f>
        <v>0</v>
      </c>
      <c r="H53" s="502">
        <f t="shared" si="101"/>
        <v>0</v>
      </c>
      <c r="I53" s="502">
        <f t="shared" si="101"/>
        <v>0</v>
      </c>
      <c r="J53" s="502">
        <f t="shared" si="101"/>
        <v>0</v>
      </c>
      <c r="K53" s="502">
        <f t="shared" si="101"/>
        <v>0</v>
      </c>
      <c r="L53" s="502">
        <f t="shared" si="101"/>
        <v>0</v>
      </c>
      <c r="M53" s="502">
        <f t="shared" si="101"/>
        <v>0</v>
      </c>
      <c r="N53" s="502">
        <f t="shared" si="101"/>
        <v>0</v>
      </c>
      <c r="O53" s="502">
        <f t="shared" si="101"/>
        <v>0</v>
      </c>
      <c r="P53" s="502">
        <f t="shared" si="101"/>
        <v>0</v>
      </c>
      <c r="Q53" s="502">
        <f t="shared" si="101"/>
        <v>0</v>
      </c>
      <c r="R53" s="502">
        <f t="shared" si="101"/>
        <v>0</v>
      </c>
      <c r="S53" s="502">
        <f t="shared" si="101"/>
        <v>0</v>
      </c>
      <c r="T53" s="502">
        <f t="shared" si="101"/>
        <v>0</v>
      </c>
      <c r="U53" s="502">
        <f t="shared" si="101"/>
        <v>0</v>
      </c>
      <c r="V53" s="502">
        <f t="shared" si="101"/>
        <v>0</v>
      </c>
      <c r="W53" s="502">
        <f t="shared" si="101"/>
        <v>0</v>
      </c>
      <c r="X53" s="502">
        <f t="shared" si="101"/>
        <v>0</v>
      </c>
      <c r="Y53" s="502">
        <f t="shared" si="101"/>
        <v>0</v>
      </c>
      <c r="Z53" s="502">
        <f t="shared" si="101"/>
        <v>0</v>
      </c>
      <c r="AA53" s="502">
        <f t="shared" si="101"/>
        <v>0</v>
      </c>
      <c r="AB53" s="502">
        <f t="shared" si="101"/>
        <v>0</v>
      </c>
      <c r="AC53" s="502">
        <f t="shared" si="101"/>
        <v>0</v>
      </c>
      <c r="AD53" s="502">
        <f t="shared" si="101"/>
        <v>0</v>
      </c>
      <c r="AE53" s="502">
        <f t="shared" si="101"/>
        <v>0</v>
      </c>
      <c r="AF53" s="502">
        <f t="shared" ref="AF53:AM53" si="102">+IFERROR((AF9/AF$6)*100,0)</f>
        <v>0</v>
      </c>
      <c r="AG53" s="502">
        <f t="shared" si="102"/>
        <v>0</v>
      </c>
      <c r="AH53" s="502">
        <f t="shared" si="102"/>
        <v>0</v>
      </c>
      <c r="AI53" s="502">
        <f t="shared" si="102"/>
        <v>0</v>
      </c>
      <c r="AJ53" s="502">
        <f t="shared" si="102"/>
        <v>0</v>
      </c>
      <c r="AK53" s="502">
        <f t="shared" si="102"/>
        <v>0</v>
      </c>
      <c r="AL53" s="502">
        <f t="shared" si="102"/>
        <v>0</v>
      </c>
      <c r="AM53" s="502">
        <f t="shared" si="102"/>
        <v>0</v>
      </c>
    </row>
    <row r="54" spans="1:39" s="264" customFormat="1" ht="13.95" customHeight="1">
      <c r="A54" s="435"/>
      <c r="B54" s="434" t="s">
        <v>29</v>
      </c>
      <c r="C54" s="497">
        <f t="shared" si="96"/>
        <v>0</v>
      </c>
      <c r="D54" s="497">
        <f t="shared" si="96"/>
        <v>0</v>
      </c>
      <c r="E54" s="497">
        <f t="shared" si="96"/>
        <v>0</v>
      </c>
      <c r="F54" s="505"/>
      <c r="G54" s="530">
        <f t="shared" ref="G54:AE54" si="103">+IFERROR((G10/G$6)*100,0)</f>
        <v>0</v>
      </c>
      <c r="H54" s="530">
        <f t="shared" si="103"/>
        <v>0</v>
      </c>
      <c r="I54" s="530">
        <f t="shared" si="103"/>
        <v>0</v>
      </c>
      <c r="J54" s="530">
        <f t="shared" si="103"/>
        <v>0</v>
      </c>
      <c r="K54" s="530">
        <f t="shared" si="103"/>
        <v>0</v>
      </c>
      <c r="L54" s="530">
        <f t="shared" si="103"/>
        <v>0</v>
      </c>
      <c r="M54" s="530">
        <f t="shared" si="103"/>
        <v>0</v>
      </c>
      <c r="N54" s="530">
        <f t="shared" si="103"/>
        <v>0</v>
      </c>
      <c r="O54" s="530">
        <f t="shared" si="103"/>
        <v>0</v>
      </c>
      <c r="P54" s="530">
        <f t="shared" si="103"/>
        <v>0</v>
      </c>
      <c r="Q54" s="530">
        <f t="shared" si="103"/>
        <v>0</v>
      </c>
      <c r="R54" s="530">
        <f t="shared" si="103"/>
        <v>0</v>
      </c>
      <c r="S54" s="530">
        <f t="shared" si="103"/>
        <v>0</v>
      </c>
      <c r="T54" s="530">
        <f t="shared" si="103"/>
        <v>0</v>
      </c>
      <c r="U54" s="530">
        <f t="shared" si="103"/>
        <v>0</v>
      </c>
      <c r="V54" s="530">
        <f t="shared" si="103"/>
        <v>0</v>
      </c>
      <c r="W54" s="530">
        <f t="shared" si="103"/>
        <v>0</v>
      </c>
      <c r="X54" s="530">
        <f t="shared" si="103"/>
        <v>0</v>
      </c>
      <c r="Y54" s="530">
        <f t="shared" si="103"/>
        <v>0</v>
      </c>
      <c r="Z54" s="530">
        <f t="shared" si="103"/>
        <v>0</v>
      </c>
      <c r="AA54" s="530">
        <f t="shared" si="103"/>
        <v>0</v>
      </c>
      <c r="AB54" s="530">
        <f t="shared" si="103"/>
        <v>0</v>
      </c>
      <c r="AC54" s="530">
        <f t="shared" si="103"/>
        <v>0</v>
      </c>
      <c r="AD54" s="530">
        <f t="shared" si="103"/>
        <v>0</v>
      </c>
      <c r="AE54" s="530">
        <f t="shared" si="103"/>
        <v>0</v>
      </c>
      <c r="AF54" s="530">
        <f t="shared" ref="AF54:AM54" si="104">+IFERROR((AF10/AF$6)*100,0)</f>
        <v>0</v>
      </c>
      <c r="AG54" s="530">
        <f t="shared" si="104"/>
        <v>0</v>
      </c>
      <c r="AH54" s="530">
        <f t="shared" si="104"/>
        <v>0</v>
      </c>
      <c r="AI54" s="530">
        <f t="shared" si="104"/>
        <v>0</v>
      </c>
      <c r="AJ54" s="530">
        <f t="shared" si="104"/>
        <v>0</v>
      </c>
      <c r="AK54" s="530">
        <f t="shared" si="104"/>
        <v>0</v>
      </c>
      <c r="AL54" s="530">
        <f t="shared" si="104"/>
        <v>0</v>
      </c>
      <c r="AM54" s="530">
        <f t="shared" si="104"/>
        <v>0</v>
      </c>
    </row>
    <row r="55" spans="1:39" s="264" customFormat="1" ht="13.95" customHeight="1">
      <c r="A55" s="435"/>
      <c r="B55" s="236" t="s">
        <v>11</v>
      </c>
      <c r="C55" s="339">
        <f t="shared" si="96"/>
        <v>0</v>
      </c>
      <c r="D55" s="339">
        <f t="shared" si="96"/>
        <v>0</v>
      </c>
      <c r="E55" s="339">
        <f t="shared" si="96"/>
        <v>0</v>
      </c>
      <c r="F55" s="505"/>
      <c r="G55" s="339">
        <f t="shared" ref="G55:AE55" si="105">+IFERROR((G11/G$6)*100,0)</f>
        <v>0</v>
      </c>
      <c r="H55" s="339">
        <f t="shared" si="105"/>
        <v>0</v>
      </c>
      <c r="I55" s="339">
        <f t="shared" si="105"/>
        <v>0</v>
      </c>
      <c r="J55" s="339">
        <f t="shared" si="105"/>
        <v>0</v>
      </c>
      <c r="K55" s="339">
        <f t="shared" si="105"/>
        <v>0</v>
      </c>
      <c r="L55" s="339">
        <f t="shared" si="105"/>
        <v>0</v>
      </c>
      <c r="M55" s="339">
        <f t="shared" si="105"/>
        <v>0</v>
      </c>
      <c r="N55" s="339">
        <f t="shared" si="105"/>
        <v>0</v>
      </c>
      <c r="O55" s="339">
        <f t="shared" si="105"/>
        <v>0</v>
      </c>
      <c r="P55" s="339">
        <f t="shared" si="105"/>
        <v>0</v>
      </c>
      <c r="Q55" s="339">
        <f t="shared" si="105"/>
        <v>0</v>
      </c>
      <c r="R55" s="339">
        <f t="shared" si="105"/>
        <v>0</v>
      </c>
      <c r="S55" s="339">
        <f t="shared" si="105"/>
        <v>0</v>
      </c>
      <c r="T55" s="339">
        <f t="shared" si="105"/>
        <v>0</v>
      </c>
      <c r="U55" s="339">
        <f t="shared" si="105"/>
        <v>0</v>
      </c>
      <c r="V55" s="339">
        <f t="shared" si="105"/>
        <v>0</v>
      </c>
      <c r="W55" s="339">
        <f t="shared" si="105"/>
        <v>0</v>
      </c>
      <c r="X55" s="339">
        <f t="shared" si="105"/>
        <v>0</v>
      </c>
      <c r="Y55" s="339">
        <f t="shared" si="105"/>
        <v>0</v>
      </c>
      <c r="Z55" s="339">
        <f t="shared" si="105"/>
        <v>0</v>
      </c>
      <c r="AA55" s="339">
        <f t="shared" si="105"/>
        <v>0</v>
      </c>
      <c r="AB55" s="339">
        <f t="shared" si="105"/>
        <v>0</v>
      </c>
      <c r="AC55" s="339">
        <f t="shared" si="105"/>
        <v>0</v>
      </c>
      <c r="AD55" s="339">
        <f t="shared" si="105"/>
        <v>0</v>
      </c>
      <c r="AE55" s="339">
        <f t="shared" si="105"/>
        <v>0</v>
      </c>
      <c r="AF55" s="339">
        <f t="shared" ref="AF55:AM55" si="106">+IFERROR((AF11/AF$6)*100,0)</f>
        <v>0</v>
      </c>
      <c r="AG55" s="339">
        <f t="shared" si="106"/>
        <v>0</v>
      </c>
      <c r="AH55" s="339">
        <f t="shared" si="106"/>
        <v>0</v>
      </c>
      <c r="AI55" s="339">
        <f t="shared" si="106"/>
        <v>0</v>
      </c>
      <c r="AJ55" s="339">
        <f t="shared" si="106"/>
        <v>0</v>
      </c>
      <c r="AK55" s="339">
        <f t="shared" si="106"/>
        <v>0</v>
      </c>
      <c r="AL55" s="339">
        <f t="shared" si="106"/>
        <v>0</v>
      </c>
      <c r="AM55" s="339">
        <f t="shared" si="106"/>
        <v>0</v>
      </c>
    </row>
    <row r="56" spans="1:39" s="262" customFormat="1" ht="5.25" customHeight="1">
      <c r="A56" s="311"/>
      <c r="B56" s="240"/>
      <c r="C56" s="497"/>
      <c r="D56" s="497"/>
      <c r="E56" s="497"/>
      <c r="F56" s="500"/>
      <c r="G56" s="497"/>
      <c r="H56" s="497"/>
      <c r="I56" s="497"/>
      <c r="J56" s="497"/>
      <c r="K56" s="497"/>
      <c r="L56" s="497"/>
      <c r="M56" s="497"/>
      <c r="N56" s="497"/>
      <c r="O56" s="497"/>
      <c r="P56" s="497"/>
      <c r="Q56" s="497"/>
      <c r="R56" s="497"/>
      <c r="S56" s="497"/>
      <c r="T56" s="497"/>
      <c r="U56" s="497"/>
      <c r="V56" s="497"/>
      <c r="W56" s="497"/>
      <c r="X56" s="497"/>
      <c r="Y56" s="497"/>
      <c r="Z56" s="497"/>
      <c r="AA56" s="497"/>
      <c r="AB56" s="497"/>
      <c r="AC56" s="497"/>
      <c r="AD56" s="497"/>
      <c r="AE56" s="497"/>
      <c r="AF56" s="497"/>
      <c r="AG56" s="497"/>
      <c r="AH56" s="497"/>
      <c r="AI56" s="497"/>
      <c r="AJ56" s="497"/>
      <c r="AK56" s="497"/>
      <c r="AL56" s="497"/>
      <c r="AM56" s="497"/>
    </row>
    <row r="57" spans="1:39" s="391" customFormat="1" ht="13.95" customHeight="1">
      <c r="A57" s="426"/>
      <c r="B57" s="223" t="s">
        <v>72</v>
      </c>
      <c r="C57" s="338">
        <f t="shared" ref="C57:E86" si="107">+IFERROR((C13/C$6)*100,0)</f>
        <v>0</v>
      </c>
      <c r="D57" s="338">
        <f t="shared" si="107"/>
        <v>0</v>
      </c>
      <c r="E57" s="338">
        <f t="shared" si="107"/>
        <v>0</v>
      </c>
      <c r="F57" s="500"/>
      <c r="G57" s="338">
        <f t="shared" ref="G57:AE57" si="108">+IFERROR((G13/G$6)*100,0)</f>
        <v>0</v>
      </c>
      <c r="H57" s="338">
        <f t="shared" si="108"/>
        <v>0</v>
      </c>
      <c r="I57" s="338">
        <f t="shared" si="108"/>
        <v>0</v>
      </c>
      <c r="J57" s="338">
        <f t="shared" si="108"/>
        <v>0</v>
      </c>
      <c r="K57" s="338">
        <f t="shared" si="108"/>
        <v>0</v>
      </c>
      <c r="L57" s="338">
        <f t="shared" si="108"/>
        <v>0</v>
      </c>
      <c r="M57" s="338">
        <f t="shared" si="108"/>
        <v>0</v>
      </c>
      <c r="N57" s="338">
        <f t="shared" si="108"/>
        <v>0</v>
      </c>
      <c r="O57" s="338">
        <f t="shared" si="108"/>
        <v>0</v>
      </c>
      <c r="P57" s="338">
        <f t="shared" si="108"/>
        <v>0</v>
      </c>
      <c r="Q57" s="338">
        <f t="shared" si="108"/>
        <v>0</v>
      </c>
      <c r="R57" s="338">
        <f t="shared" si="108"/>
        <v>0</v>
      </c>
      <c r="S57" s="338">
        <f t="shared" si="108"/>
        <v>0</v>
      </c>
      <c r="T57" s="338">
        <f t="shared" si="108"/>
        <v>0</v>
      </c>
      <c r="U57" s="338">
        <f t="shared" si="108"/>
        <v>0</v>
      </c>
      <c r="V57" s="338">
        <f t="shared" si="108"/>
        <v>0</v>
      </c>
      <c r="W57" s="338">
        <f t="shared" si="108"/>
        <v>0</v>
      </c>
      <c r="X57" s="338">
        <f t="shared" si="108"/>
        <v>0</v>
      </c>
      <c r="Y57" s="338">
        <f t="shared" si="108"/>
        <v>0</v>
      </c>
      <c r="Z57" s="338">
        <f t="shared" si="108"/>
        <v>0</v>
      </c>
      <c r="AA57" s="338">
        <f t="shared" si="108"/>
        <v>0</v>
      </c>
      <c r="AB57" s="338">
        <f t="shared" si="108"/>
        <v>0</v>
      </c>
      <c r="AC57" s="338">
        <f t="shared" si="108"/>
        <v>0</v>
      </c>
      <c r="AD57" s="338">
        <f t="shared" si="108"/>
        <v>0</v>
      </c>
      <c r="AE57" s="338">
        <f t="shared" si="108"/>
        <v>0</v>
      </c>
      <c r="AF57" s="338">
        <f t="shared" ref="AF57:AM57" si="109">+IFERROR((AF13/AF$6)*100,0)</f>
        <v>0</v>
      </c>
      <c r="AG57" s="338">
        <f t="shared" si="109"/>
        <v>0</v>
      </c>
      <c r="AH57" s="338">
        <f t="shared" si="109"/>
        <v>0</v>
      </c>
      <c r="AI57" s="338">
        <f t="shared" si="109"/>
        <v>0</v>
      </c>
      <c r="AJ57" s="338">
        <f t="shared" si="109"/>
        <v>0</v>
      </c>
      <c r="AK57" s="338">
        <f t="shared" si="109"/>
        <v>0</v>
      </c>
      <c r="AL57" s="338">
        <f t="shared" si="109"/>
        <v>0</v>
      </c>
      <c r="AM57" s="338">
        <f t="shared" si="109"/>
        <v>0</v>
      </c>
    </row>
    <row r="58" spans="1:39" s="391" customFormat="1" ht="13.95" customHeight="1">
      <c r="A58" s="426"/>
      <c r="B58" s="223" t="s">
        <v>174</v>
      </c>
      <c r="C58" s="338">
        <f t="shared" si="107"/>
        <v>0</v>
      </c>
      <c r="D58" s="338">
        <f t="shared" si="107"/>
        <v>0</v>
      </c>
      <c r="E58" s="338">
        <f t="shared" si="107"/>
        <v>0</v>
      </c>
      <c r="F58" s="500"/>
      <c r="G58" s="338">
        <f t="shared" ref="G58:AE58" si="110">+IFERROR((G14/G$6)*100,0)</f>
        <v>0</v>
      </c>
      <c r="H58" s="338">
        <f t="shared" si="110"/>
        <v>0</v>
      </c>
      <c r="I58" s="338">
        <f t="shared" si="110"/>
        <v>0</v>
      </c>
      <c r="J58" s="338">
        <f t="shared" si="110"/>
        <v>0</v>
      </c>
      <c r="K58" s="338">
        <f t="shared" si="110"/>
        <v>0</v>
      </c>
      <c r="L58" s="338">
        <f t="shared" si="110"/>
        <v>0</v>
      </c>
      <c r="M58" s="338">
        <f t="shared" si="110"/>
        <v>0</v>
      </c>
      <c r="N58" s="338">
        <f t="shared" si="110"/>
        <v>0</v>
      </c>
      <c r="O58" s="338">
        <f t="shared" si="110"/>
        <v>0</v>
      </c>
      <c r="P58" s="338">
        <f t="shared" si="110"/>
        <v>0</v>
      </c>
      <c r="Q58" s="338">
        <f t="shared" si="110"/>
        <v>0</v>
      </c>
      <c r="R58" s="338">
        <f t="shared" si="110"/>
        <v>0</v>
      </c>
      <c r="S58" s="338">
        <f t="shared" si="110"/>
        <v>0</v>
      </c>
      <c r="T58" s="338">
        <f t="shared" si="110"/>
        <v>0</v>
      </c>
      <c r="U58" s="338">
        <f t="shared" si="110"/>
        <v>0</v>
      </c>
      <c r="V58" s="338">
        <f t="shared" si="110"/>
        <v>0</v>
      </c>
      <c r="W58" s="338">
        <f t="shared" si="110"/>
        <v>0</v>
      </c>
      <c r="X58" s="338">
        <f t="shared" si="110"/>
        <v>0</v>
      </c>
      <c r="Y58" s="338">
        <f t="shared" si="110"/>
        <v>0</v>
      </c>
      <c r="Z58" s="338">
        <f t="shared" si="110"/>
        <v>0</v>
      </c>
      <c r="AA58" s="338">
        <f t="shared" si="110"/>
        <v>0</v>
      </c>
      <c r="AB58" s="338">
        <f t="shared" si="110"/>
        <v>0</v>
      </c>
      <c r="AC58" s="338">
        <f t="shared" si="110"/>
        <v>0</v>
      </c>
      <c r="AD58" s="338">
        <f t="shared" si="110"/>
        <v>0</v>
      </c>
      <c r="AE58" s="338">
        <f t="shared" si="110"/>
        <v>0</v>
      </c>
      <c r="AF58" s="338">
        <f t="shared" ref="AF58:AM58" si="111">+IFERROR((AF14/AF$6)*100,0)</f>
        <v>0</v>
      </c>
      <c r="AG58" s="338">
        <f t="shared" si="111"/>
        <v>0</v>
      </c>
      <c r="AH58" s="338">
        <f t="shared" si="111"/>
        <v>0</v>
      </c>
      <c r="AI58" s="338">
        <f t="shared" si="111"/>
        <v>0</v>
      </c>
      <c r="AJ58" s="338">
        <f t="shared" si="111"/>
        <v>0</v>
      </c>
      <c r="AK58" s="338">
        <f t="shared" si="111"/>
        <v>0</v>
      </c>
      <c r="AL58" s="338">
        <f t="shared" si="111"/>
        <v>0</v>
      </c>
      <c r="AM58" s="338">
        <f t="shared" si="111"/>
        <v>0</v>
      </c>
    </row>
    <row r="59" spans="1:39" s="391" customFormat="1" ht="13.95" customHeight="1">
      <c r="A59" s="426"/>
      <c r="B59" s="424" t="s">
        <v>175</v>
      </c>
      <c r="C59" s="499">
        <f t="shared" si="107"/>
        <v>0</v>
      </c>
      <c r="D59" s="499">
        <f t="shared" si="107"/>
        <v>0</v>
      </c>
      <c r="E59" s="499">
        <f t="shared" si="107"/>
        <v>0</v>
      </c>
      <c r="F59" s="500"/>
      <c r="G59" s="499">
        <f t="shared" ref="G59:AE59" si="112">+IFERROR((G15/G$6)*100,0)</f>
        <v>0</v>
      </c>
      <c r="H59" s="499">
        <f t="shared" si="112"/>
        <v>0</v>
      </c>
      <c r="I59" s="499">
        <f t="shared" si="112"/>
        <v>0</v>
      </c>
      <c r="J59" s="499">
        <f t="shared" si="112"/>
        <v>0</v>
      </c>
      <c r="K59" s="499">
        <f t="shared" si="112"/>
        <v>0</v>
      </c>
      <c r="L59" s="499">
        <f t="shared" si="112"/>
        <v>0</v>
      </c>
      <c r="M59" s="499">
        <f t="shared" si="112"/>
        <v>0</v>
      </c>
      <c r="N59" s="499">
        <f t="shared" si="112"/>
        <v>0</v>
      </c>
      <c r="O59" s="499">
        <f t="shared" si="112"/>
        <v>0</v>
      </c>
      <c r="P59" s="499">
        <f t="shared" si="112"/>
        <v>0</v>
      </c>
      <c r="Q59" s="499">
        <f t="shared" si="112"/>
        <v>0</v>
      </c>
      <c r="R59" s="499">
        <f t="shared" si="112"/>
        <v>0</v>
      </c>
      <c r="S59" s="499">
        <f t="shared" si="112"/>
        <v>0</v>
      </c>
      <c r="T59" s="499">
        <f t="shared" si="112"/>
        <v>0</v>
      </c>
      <c r="U59" s="499">
        <f t="shared" si="112"/>
        <v>0</v>
      </c>
      <c r="V59" s="499">
        <f t="shared" si="112"/>
        <v>0</v>
      </c>
      <c r="W59" s="499">
        <f t="shared" si="112"/>
        <v>0</v>
      </c>
      <c r="X59" s="499">
        <f t="shared" si="112"/>
        <v>0</v>
      </c>
      <c r="Y59" s="499">
        <f t="shared" si="112"/>
        <v>0</v>
      </c>
      <c r="Z59" s="499">
        <f t="shared" si="112"/>
        <v>0</v>
      </c>
      <c r="AA59" s="499">
        <f t="shared" si="112"/>
        <v>0</v>
      </c>
      <c r="AB59" s="499">
        <f t="shared" si="112"/>
        <v>0</v>
      </c>
      <c r="AC59" s="499">
        <f t="shared" si="112"/>
        <v>0</v>
      </c>
      <c r="AD59" s="499">
        <f t="shared" si="112"/>
        <v>0</v>
      </c>
      <c r="AE59" s="499">
        <f t="shared" si="112"/>
        <v>0</v>
      </c>
      <c r="AF59" s="499">
        <f t="shared" ref="AF59:AM59" si="113">+IFERROR((AF15/AF$6)*100,0)</f>
        <v>0</v>
      </c>
      <c r="AG59" s="499">
        <f t="shared" si="113"/>
        <v>0</v>
      </c>
      <c r="AH59" s="499">
        <f t="shared" si="113"/>
        <v>0</v>
      </c>
      <c r="AI59" s="499">
        <f t="shared" si="113"/>
        <v>0</v>
      </c>
      <c r="AJ59" s="499">
        <f t="shared" si="113"/>
        <v>0</v>
      </c>
      <c r="AK59" s="499">
        <f t="shared" si="113"/>
        <v>0</v>
      </c>
      <c r="AL59" s="499">
        <f t="shared" si="113"/>
        <v>0</v>
      </c>
      <c r="AM59" s="499">
        <f t="shared" si="113"/>
        <v>0</v>
      </c>
    </row>
    <row r="60" spans="1:39" s="427" customFormat="1" ht="13.95" customHeight="1">
      <c r="A60" s="436"/>
      <c r="B60" s="434" t="s">
        <v>170</v>
      </c>
      <c r="C60" s="497">
        <f t="shared" si="107"/>
        <v>0</v>
      </c>
      <c r="D60" s="497">
        <f t="shared" si="107"/>
        <v>0</v>
      </c>
      <c r="E60" s="497">
        <f t="shared" si="107"/>
        <v>0</v>
      </c>
      <c r="F60" s="505"/>
      <c r="G60" s="497">
        <f t="shared" ref="G60:AE60" si="114">+IFERROR((G16/G$6)*100,0)</f>
        <v>0</v>
      </c>
      <c r="H60" s="497">
        <f t="shared" si="114"/>
        <v>0</v>
      </c>
      <c r="I60" s="497">
        <f t="shared" si="114"/>
        <v>0</v>
      </c>
      <c r="J60" s="497">
        <f t="shared" si="114"/>
        <v>0</v>
      </c>
      <c r="K60" s="497">
        <f t="shared" si="114"/>
        <v>0</v>
      </c>
      <c r="L60" s="497">
        <f t="shared" si="114"/>
        <v>0</v>
      </c>
      <c r="M60" s="497">
        <f t="shared" si="114"/>
        <v>0</v>
      </c>
      <c r="N60" s="497">
        <f t="shared" si="114"/>
        <v>0</v>
      </c>
      <c r="O60" s="497">
        <f t="shared" si="114"/>
        <v>0</v>
      </c>
      <c r="P60" s="497">
        <f t="shared" si="114"/>
        <v>0</v>
      </c>
      <c r="Q60" s="497">
        <f t="shared" si="114"/>
        <v>0</v>
      </c>
      <c r="R60" s="497">
        <f t="shared" si="114"/>
        <v>0</v>
      </c>
      <c r="S60" s="497">
        <f t="shared" si="114"/>
        <v>0</v>
      </c>
      <c r="T60" s="497">
        <f t="shared" si="114"/>
        <v>0</v>
      </c>
      <c r="U60" s="497">
        <f t="shared" si="114"/>
        <v>0</v>
      </c>
      <c r="V60" s="497">
        <f t="shared" si="114"/>
        <v>0</v>
      </c>
      <c r="W60" s="497">
        <f t="shared" si="114"/>
        <v>0</v>
      </c>
      <c r="X60" s="497">
        <f t="shared" si="114"/>
        <v>0</v>
      </c>
      <c r="Y60" s="497">
        <f t="shared" si="114"/>
        <v>0</v>
      </c>
      <c r="Z60" s="497">
        <f t="shared" si="114"/>
        <v>0</v>
      </c>
      <c r="AA60" s="497">
        <f t="shared" si="114"/>
        <v>0</v>
      </c>
      <c r="AB60" s="497">
        <f t="shared" si="114"/>
        <v>0</v>
      </c>
      <c r="AC60" s="497">
        <f t="shared" si="114"/>
        <v>0</v>
      </c>
      <c r="AD60" s="497">
        <f t="shared" si="114"/>
        <v>0</v>
      </c>
      <c r="AE60" s="497">
        <f t="shared" si="114"/>
        <v>0</v>
      </c>
      <c r="AF60" s="497">
        <f t="shared" ref="AF60:AM60" si="115">+IFERROR((AF16/AF$6)*100,0)</f>
        <v>0</v>
      </c>
      <c r="AG60" s="497">
        <f t="shared" si="115"/>
        <v>0</v>
      </c>
      <c r="AH60" s="497">
        <f t="shared" si="115"/>
        <v>0</v>
      </c>
      <c r="AI60" s="497">
        <f t="shared" si="115"/>
        <v>0</v>
      </c>
      <c r="AJ60" s="497">
        <f t="shared" si="115"/>
        <v>0</v>
      </c>
      <c r="AK60" s="497">
        <f t="shared" si="115"/>
        <v>0</v>
      </c>
      <c r="AL60" s="497">
        <f t="shared" si="115"/>
        <v>0</v>
      </c>
      <c r="AM60" s="497">
        <f t="shared" si="115"/>
        <v>0</v>
      </c>
    </row>
    <row r="61" spans="1:39" s="262" customFormat="1" ht="13.95" customHeight="1">
      <c r="A61" s="311"/>
      <c r="B61" s="223" t="s">
        <v>171</v>
      </c>
      <c r="C61" s="338">
        <f t="shared" si="107"/>
        <v>0</v>
      </c>
      <c r="D61" s="338">
        <f t="shared" si="107"/>
        <v>0</v>
      </c>
      <c r="E61" s="338">
        <f t="shared" si="107"/>
        <v>0</v>
      </c>
      <c r="F61" s="500"/>
      <c r="G61" s="338">
        <f t="shared" ref="G61:AE61" si="116">+IFERROR((G17/G$6)*100,0)</f>
        <v>0</v>
      </c>
      <c r="H61" s="338">
        <f t="shared" si="116"/>
        <v>0</v>
      </c>
      <c r="I61" s="338">
        <f t="shared" si="116"/>
        <v>0</v>
      </c>
      <c r="J61" s="338">
        <f t="shared" si="116"/>
        <v>0</v>
      </c>
      <c r="K61" s="338">
        <f t="shared" si="116"/>
        <v>0</v>
      </c>
      <c r="L61" s="338">
        <f t="shared" si="116"/>
        <v>0</v>
      </c>
      <c r="M61" s="338">
        <f t="shared" si="116"/>
        <v>0</v>
      </c>
      <c r="N61" s="338">
        <f t="shared" si="116"/>
        <v>0</v>
      </c>
      <c r="O61" s="338">
        <f t="shared" si="116"/>
        <v>0</v>
      </c>
      <c r="P61" s="338">
        <f t="shared" si="116"/>
        <v>0</v>
      </c>
      <c r="Q61" s="338">
        <f t="shared" si="116"/>
        <v>0</v>
      </c>
      <c r="R61" s="338">
        <f t="shared" si="116"/>
        <v>0</v>
      </c>
      <c r="S61" s="338">
        <f t="shared" si="116"/>
        <v>0</v>
      </c>
      <c r="T61" s="338">
        <f t="shared" si="116"/>
        <v>0</v>
      </c>
      <c r="U61" s="338">
        <f t="shared" si="116"/>
        <v>0</v>
      </c>
      <c r="V61" s="338">
        <f t="shared" si="116"/>
        <v>0</v>
      </c>
      <c r="W61" s="338">
        <f t="shared" si="116"/>
        <v>0</v>
      </c>
      <c r="X61" s="338">
        <f t="shared" si="116"/>
        <v>0</v>
      </c>
      <c r="Y61" s="338">
        <f t="shared" si="116"/>
        <v>0</v>
      </c>
      <c r="Z61" s="338">
        <f t="shared" si="116"/>
        <v>0</v>
      </c>
      <c r="AA61" s="338">
        <f t="shared" si="116"/>
        <v>0</v>
      </c>
      <c r="AB61" s="338">
        <f t="shared" si="116"/>
        <v>0</v>
      </c>
      <c r="AC61" s="338">
        <f t="shared" si="116"/>
        <v>0</v>
      </c>
      <c r="AD61" s="338">
        <f t="shared" si="116"/>
        <v>0</v>
      </c>
      <c r="AE61" s="338">
        <f t="shared" si="116"/>
        <v>0</v>
      </c>
      <c r="AF61" s="338">
        <f t="shared" ref="AF61:AM61" si="117">+IFERROR((AF17/AF$6)*100,0)</f>
        <v>0</v>
      </c>
      <c r="AG61" s="338">
        <f t="shared" si="117"/>
        <v>0</v>
      </c>
      <c r="AH61" s="338">
        <f t="shared" si="117"/>
        <v>0</v>
      </c>
      <c r="AI61" s="338">
        <f t="shared" si="117"/>
        <v>0</v>
      </c>
      <c r="AJ61" s="338">
        <f t="shared" si="117"/>
        <v>0</v>
      </c>
      <c r="AK61" s="338">
        <f t="shared" si="117"/>
        <v>0</v>
      </c>
      <c r="AL61" s="338">
        <f t="shared" si="117"/>
        <v>0</v>
      </c>
      <c r="AM61" s="338">
        <f t="shared" si="117"/>
        <v>0</v>
      </c>
    </row>
    <row r="62" spans="1:39" s="262" customFormat="1" ht="13.95" customHeight="1">
      <c r="A62" s="311"/>
      <c r="B62" s="223" t="s">
        <v>49</v>
      </c>
      <c r="C62" s="338">
        <f t="shared" si="107"/>
        <v>0</v>
      </c>
      <c r="D62" s="338">
        <f t="shared" si="107"/>
        <v>0</v>
      </c>
      <c r="E62" s="338">
        <f t="shared" si="107"/>
        <v>0</v>
      </c>
      <c r="F62" s="500"/>
      <c r="G62" s="338">
        <f t="shared" ref="G62:AE62" si="118">+IFERROR((G18/G$6)*100,0)</f>
        <v>0</v>
      </c>
      <c r="H62" s="338">
        <f t="shared" si="118"/>
        <v>0</v>
      </c>
      <c r="I62" s="338">
        <f t="shared" si="118"/>
        <v>0</v>
      </c>
      <c r="J62" s="338">
        <f t="shared" si="118"/>
        <v>0</v>
      </c>
      <c r="K62" s="338">
        <f t="shared" si="118"/>
        <v>0</v>
      </c>
      <c r="L62" s="338">
        <f t="shared" si="118"/>
        <v>0</v>
      </c>
      <c r="M62" s="338">
        <f t="shared" si="118"/>
        <v>0</v>
      </c>
      <c r="N62" s="338">
        <f t="shared" si="118"/>
        <v>0</v>
      </c>
      <c r="O62" s="338">
        <f t="shared" si="118"/>
        <v>0</v>
      </c>
      <c r="P62" s="338">
        <f t="shared" si="118"/>
        <v>0</v>
      </c>
      <c r="Q62" s="338">
        <f t="shared" si="118"/>
        <v>0</v>
      </c>
      <c r="R62" s="338">
        <f t="shared" si="118"/>
        <v>0</v>
      </c>
      <c r="S62" s="338">
        <f t="shared" si="118"/>
        <v>0</v>
      </c>
      <c r="T62" s="338">
        <f t="shared" si="118"/>
        <v>0</v>
      </c>
      <c r="U62" s="338">
        <f t="shared" si="118"/>
        <v>0</v>
      </c>
      <c r="V62" s="338">
        <f t="shared" si="118"/>
        <v>0</v>
      </c>
      <c r="W62" s="338">
        <f t="shared" si="118"/>
        <v>0</v>
      </c>
      <c r="X62" s="338">
        <f t="shared" si="118"/>
        <v>0</v>
      </c>
      <c r="Y62" s="338">
        <f t="shared" si="118"/>
        <v>0</v>
      </c>
      <c r="Z62" s="338">
        <f t="shared" si="118"/>
        <v>0</v>
      </c>
      <c r="AA62" s="338">
        <f t="shared" si="118"/>
        <v>0</v>
      </c>
      <c r="AB62" s="338">
        <f t="shared" si="118"/>
        <v>0</v>
      </c>
      <c r="AC62" s="338">
        <f t="shared" si="118"/>
        <v>0</v>
      </c>
      <c r="AD62" s="338">
        <f t="shared" si="118"/>
        <v>0</v>
      </c>
      <c r="AE62" s="338">
        <f t="shared" si="118"/>
        <v>0</v>
      </c>
      <c r="AF62" s="338">
        <f t="shared" ref="AF62:AM62" si="119">+IFERROR((AF18/AF$6)*100,0)</f>
        <v>0</v>
      </c>
      <c r="AG62" s="338">
        <f t="shared" si="119"/>
        <v>0</v>
      </c>
      <c r="AH62" s="338">
        <f t="shared" si="119"/>
        <v>0</v>
      </c>
      <c r="AI62" s="338">
        <f t="shared" si="119"/>
        <v>0</v>
      </c>
      <c r="AJ62" s="338">
        <f t="shared" si="119"/>
        <v>0</v>
      </c>
      <c r="AK62" s="338">
        <f t="shared" si="119"/>
        <v>0</v>
      </c>
      <c r="AL62" s="338">
        <f t="shared" si="119"/>
        <v>0</v>
      </c>
      <c r="AM62" s="338">
        <f t="shared" si="119"/>
        <v>0</v>
      </c>
    </row>
    <row r="63" spans="1:39" s="262" customFormat="1" ht="13.95" customHeight="1">
      <c r="A63" s="311"/>
      <c r="B63" s="424" t="s">
        <v>176</v>
      </c>
      <c r="C63" s="499">
        <f t="shared" si="107"/>
        <v>0</v>
      </c>
      <c r="D63" s="499">
        <f t="shared" si="107"/>
        <v>0</v>
      </c>
      <c r="E63" s="499">
        <f t="shared" si="107"/>
        <v>0</v>
      </c>
      <c r="F63" s="500"/>
      <c r="G63" s="499">
        <f t="shared" ref="G63:AE63" si="120">+IFERROR((G19/G$6)*100,0)</f>
        <v>0</v>
      </c>
      <c r="H63" s="499">
        <f t="shared" si="120"/>
        <v>0</v>
      </c>
      <c r="I63" s="499">
        <f t="shared" si="120"/>
        <v>0</v>
      </c>
      <c r="J63" s="499">
        <f t="shared" si="120"/>
        <v>0</v>
      </c>
      <c r="K63" s="499">
        <f t="shared" si="120"/>
        <v>0</v>
      </c>
      <c r="L63" s="499">
        <f t="shared" si="120"/>
        <v>0</v>
      </c>
      <c r="M63" s="499">
        <f t="shared" si="120"/>
        <v>0</v>
      </c>
      <c r="N63" s="499">
        <f t="shared" si="120"/>
        <v>0</v>
      </c>
      <c r="O63" s="499">
        <f t="shared" si="120"/>
        <v>0</v>
      </c>
      <c r="P63" s="499">
        <f t="shared" si="120"/>
        <v>0</v>
      </c>
      <c r="Q63" s="499">
        <f t="shared" si="120"/>
        <v>0</v>
      </c>
      <c r="R63" s="499">
        <f t="shared" si="120"/>
        <v>0</v>
      </c>
      <c r="S63" s="499">
        <f t="shared" si="120"/>
        <v>0</v>
      </c>
      <c r="T63" s="499">
        <f t="shared" si="120"/>
        <v>0</v>
      </c>
      <c r="U63" s="499">
        <f t="shared" si="120"/>
        <v>0</v>
      </c>
      <c r="V63" s="499">
        <f t="shared" si="120"/>
        <v>0</v>
      </c>
      <c r="W63" s="499">
        <f t="shared" si="120"/>
        <v>0</v>
      </c>
      <c r="X63" s="499">
        <f t="shared" si="120"/>
        <v>0</v>
      </c>
      <c r="Y63" s="499">
        <f t="shared" si="120"/>
        <v>0</v>
      </c>
      <c r="Z63" s="499">
        <f t="shared" si="120"/>
        <v>0</v>
      </c>
      <c r="AA63" s="499">
        <f t="shared" si="120"/>
        <v>0</v>
      </c>
      <c r="AB63" s="499">
        <f t="shared" si="120"/>
        <v>0</v>
      </c>
      <c r="AC63" s="499">
        <f t="shared" si="120"/>
        <v>0</v>
      </c>
      <c r="AD63" s="499">
        <f t="shared" si="120"/>
        <v>0</v>
      </c>
      <c r="AE63" s="499">
        <f t="shared" si="120"/>
        <v>0</v>
      </c>
      <c r="AF63" s="499">
        <f t="shared" ref="AF63:AM63" si="121">+IFERROR((AF19/AF$6)*100,0)</f>
        <v>0</v>
      </c>
      <c r="AG63" s="499">
        <f t="shared" si="121"/>
        <v>0</v>
      </c>
      <c r="AH63" s="499">
        <f t="shared" si="121"/>
        <v>0</v>
      </c>
      <c r="AI63" s="499">
        <f t="shared" si="121"/>
        <v>0</v>
      </c>
      <c r="AJ63" s="499">
        <f t="shared" si="121"/>
        <v>0</v>
      </c>
      <c r="AK63" s="499">
        <f t="shared" si="121"/>
        <v>0</v>
      </c>
      <c r="AL63" s="499">
        <f t="shared" si="121"/>
        <v>0</v>
      </c>
      <c r="AM63" s="499">
        <f t="shared" si="121"/>
        <v>0</v>
      </c>
    </row>
    <row r="64" spans="1:39" s="264" customFormat="1" ht="13.95" customHeight="1">
      <c r="A64" s="435"/>
      <c r="B64" s="434" t="s">
        <v>172</v>
      </c>
      <c r="C64" s="497">
        <f t="shared" si="107"/>
        <v>0</v>
      </c>
      <c r="D64" s="497">
        <f t="shared" si="107"/>
        <v>0</v>
      </c>
      <c r="E64" s="497">
        <f t="shared" si="107"/>
        <v>0</v>
      </c>
      <c r="F64" s="505"/>
      <c r="G64" s="497">
        <f t="shared" ref="G64:AE64" si="122">+IFERROR((G20/G$6)*100,0)</f>
        <v>0</v>
      </c>
      <c r="H64" s="497">
        <f t="shared" si="122"/>
        <v>0</v>
      </c>
      <c r="I64" s="497">
        <f t="shared" si="122"/>
        <v>0</v>
      </c>
      <c r="J64" s="497">
        <f t="shared" si="122"/>
        <v>0</v>
      </c>
      <c r="K64" s="497">
        <f t="shared" si="122"/>
        <v>0</v>
      </c>
      <c r="L64" s="497">
        <f t="shared" si="122"/>
        <v>0</v>
      </c>
      <c r="M64" s="497">
        <f t="shared" si="122"/>
        <v>0</v>
      </c>
      <c r="N64" s="497">
        <f t="shared" si="122"/>
        <v>0</v>
      </c>
      <c r="O64" s="497">
        <f t="shared" si="122"/>
        <v>0</v>
      </c>
      <c r="P64" s="497">
        <f t="shared" si="122"/>
        <v>0</v>
      </c>
      <c r="Q64" s="497">
        <f t="shared" si="122"/>
        <v>0</v>
      </c>
      <c r="R64" s="497">
        <f t="shared" si="122"/>
        <v>0</v>
      </c>
      <c r="S64" s="497">
        <f t="shared" si="122"/>
        <v>0</v>
      </c>
      <c r="T64" s="497">
        <f t="shared" si="122"/>
        <v>0</v>
      </c>
      <c r="U64" s="497">
        <f t="shared" si="122"/>
        <v>0</v>
      </c>
      <c r="V64" s="497">
        <f t="shared" si="122"/>
        <v>0</v>
      </c>
      <c r="W64" s="497">
        <f t="shared" si="122"/>
        <v>0</v>
      </c>
      <c r="X64" s="497">
        <f t="shared" si="122"/>
        <v>0</v>
      </c>
      <c r="Y64" s="497">
        <f t="shared" si="122"/>
        <v>0</v>
      </c>
      <c r="Z64" s="497">
        <f t="shared" si="122"/>
        <v>0</v>
      </c>
      <c r="AA64" s="497">
        <f t="shared" si="122"/>
        <v>0</v>
      </c>
      <c r="AB64" s="497">
        <f t="shared" si="122"/>
        <v>0</v>
      </c>
      <c r="AC64" s="497">
        <f t="shared" si="122"/>
        <v>0</v>
      </c>
      <c r="AD64" s="497">
        <f t="shared" si="122"/>
        <v>0</v>
      </c>
      <c r="AE64" s="497">
        <f t="shared" si="122"/>
        <v>0</v>
      </c>
      <c r="AF64" s="497">
        <f t="shared" ref="AF64:AM64" si="123">+IFERROR((AF20/AF$6)*100,0)</f>
        <v>0</v>
      </c>
      <c r="AG64" s="497">
        <f t="shared" si="123"/>
        <v>0</v>
      </c>
      <c r="AH64" s="497">
        <f t="shared" si="123"/>
        <v>0</v>
      </c>
      <c r="AI64" s="497">
        <f t="shared" si="123"/>
        <v>0</v>
      </c>
      <c r="AJ64" s="497">
        <f t="shared" si="123"/>
        <v>0</v>
      </c>
      <c r="AK64" s="497">
        <f t="shared" si="123"/>
        <v>0</v>
      </c>
      <c r="AL64" s="497">
        <f t="shared" si="123"/>
        <v>0</v>
      </c>
      <c r="AM64" s="497">
        <f t="shared" si="123"/>
        <v>0</v>
      </c>
    </row>
    <row r="65" spans="1:39" s="262" customFormat="1" ht="13.95" customHeight="1">
      <c r="A65" s="311"/>
      <c r="B65" s="223" t="s">
        <v>177</v>
      </c>
      <c r="C65" s="338">
        <f t="shared" si="107"/>
        <v>0</v>
      </c>
      <c r="D65" s="338">
        <f t="shared" si="107"/>
        <v>0</v>
      </c>
      <c r="E65" s="338">
        <f t="shared" si="107"/>
        <v>0</v>
      </c>
      <c r="F65" s="500"/>
      <c r="G65" s="338">
        <f t="shared" ref="G65:AE65" si="124">+IFERROR((G21/G$6)*100,0)</f>
        <v>0</v>
      </c>
      <c r="H65" s="338">
        <f t="shared" si="124"/>
        <v>0</v>
      </c>
      <c r="I65" s="338">
        <f t="shared" si="124"/>
        <v>0</v>
      </c>
      <c r="J65" s="338">
        <f t="shared" si="124"/>
        <v>0</v>
      </c>
      <c r="K65" s="338">
        <f t="shared" si="124"/>
        <v>0</v>
      </c>
      <c r="L65" s="338">
        <f t="shared" si="124"/>
        <v>0</v>
      </c>
      <c r="M65" s="338">
        <f t="shared" si="124"/>
        <v>0</v>
      </c>
      <c r="N65" s="338">
        <f t="shared" si="124"/>
        <v>0</v>
      </c>
      <c r="O65" s="338">
        <f t="shared" si="124"/>
        <v>0</v>
      </c>
      <c r="P65" s="338">
        <f t="shared" si="124"/>
        <v>0</v>
      </c>
      <c r="Q65" s="338">
        <f t="shared" si="124"/>
        <v>0</v>
      </c>
      <c r="R65" s="338">
        <f t="shared" si="124"/>
        <v>0</v>
      </c>
      <c r="S65" s="338">
        <f t="shared" si="124"/>
        <v>0</v>
      </c>
      <c r="T65" s="338">
        <f t="shared" si="124"/>
        <v>0</v>
      </c>
      <c r="U65" s="338">
        <f t="shared" si="124"/>
        <v>0</v>
      </c>
      <c r="V65" s="338">
        <f t="shared" si="124"/>
        <v>0</v>
      </c>
      <c r="W65" s="338">
        <f t="shared" si="124"/>
        <v>0</v>
      </c>
      <c r="X65" s="338">
        <f t="shared" si="124"/>
        <v>0</v>
      </c>
      <c r="Y65" s="338">
        <f t="shared" si="124"/>
        <v>0</v>
      </c>
      <c r="Z65" s="338">
        <f t="shared" si="124"/>
        <v>0</v>
      </c>
      <c r="AA65" s="338">
        <f t="shared" si="124"/>
        <v>0</v>
      </c>
      <c r="AB65" s="338">
        <f t="shared" si="124"/>
        <v>0</v>
      </c>
      <c r="AC65" s="338">
        <f t="shared" si="124"/>
        <v>0</v>
      </c>
      <c r="AD65" s="338">
        <f t="shared" si="124"/>
        <v>0</v>
      </c>
      <c r="AE65" s="338">
        <f t="shared" si="124"/>
        <v>0</v>
      </c>
      <c r="AF65" s="338">
        <f t="shared" ref="AF65:AM65" si="125">+IFERROR((AF21/AF$6)*100,0)</f>
        <v>0</v>
      </c>
      <c r="AG65" s="338">
        <f t="shared" si="125"/>
        <v>0</v>
      </c>
      <c r="AH65" s="338">
        <f t="shared" si="125"/>
        <v>0</v>
      </c>
      <c r="AI65" s="338">
        <f t="shared" si="125"/>
        <v>0</v>
      </c>
      <c r="AJ65" s="338">
        <f t="shared" si="125"/>
        <v>0</v>
      </c>
      <c r="AK65" s="338">
        <f t="shared" si="125"/>
        <v>0</v>
      </c>
      <c r="AL65" s="338">
        <f t="shared" si="125"/>
        <v>0</v>
      </c>
      <c r="AM65" s="338">
        <f t="shared" si="125"/>
        <v>0</v>
      </c>
    </row>
    <row r="66" spans="1:39" s="262" customFormat="1" ht="13.95" customHeight="1">
      <c r="A66" s="311"/>
      <c r="B66" s="223" t="s">
        <v>181</v>
      </c>
      <c r="C66" s="338">
        <f t="shared" si="107"/>
        <v>0</v>
      </c>
      <c r="D66" s="338">
        <f t="shared" si="107"/>
        <v>0</v>
      </c>
      <c r="E66" s="338">
        <f t="shared" si="107"/>
        <v>0</v>
      </c>
      <c r="F66" s="500"/>
      <c r="G66" s="338">
        <f t="shared" ref="G66:AE66" si="126">+IFERROR((G22/G$6)*100,0)</f>
        <v>0</v>
      </c>
      <c r="H66" s="338">
        <f t="shared" si="126"/>
        <v>0</v>
      </c>
      <c r="I66" s="338">
        <f t="shared" si="126"/>
        <v>0</v>
      </c>
      <c r="J66" s="338">
        <f t="shared" si="126"/>
        <v>0</v>
      </c>
      <c r="K66" s="338">
        <f t="shared" si="126"/>
        <v>0</v>
      </c>
      <c r="L66" s="338">
        <f t="shared" si="126"/>
        <v>0</v>
      </c>
      <c r="M66" s="338">
        <f t="shared" si="126"/>
        <v>0</v>
      </c>
      <c r="N66" s="338">
        <f t="shared" si="126"/>
        <v>0</v>
      </c>
      <c r="O66" s="338">
        <f t="shared" si="126"/>
        <v>0</v>
      </c>
      <c r="P66" s="338">
        <f t="shared" si="126"/>
        <v>0</v>
      </c>
      <c r="Q66" s="338">
        <f t="shared" si="126"/>
        <v>0</v>
      </c>
      <c r="R66" s="338">
        <f t="shared" si="126"/>
        <v>0</v>
      </c>
      <c r="S66" s="338">
        <f t="shared" si="126"/>
        <v>0</v>
      </c>
      <c r="T66" s="338">
        <f t="shared" si="126"/>
        <v>0</v>
      </c>
      <c r="U66" s="338">
        <f t="shared" si="126"/>
        <v>0</v>
      </c>
      <c r="V66" s="338">
        <f t="shared" si="126"/>
        <v>0</v>
      </c>
      <c r="W66" s="338">
        <f t="shared" si="126"/>
        <v>0</v>
      </c>
      <c r="X66" s="338">
        <f t="shared" si="126"/>
        <v>0</v>
      </c>
      <c r="Y66" s="338">
        <f t="shared" si="126"/>
        <v>0</v>
      </c>
      <c r="Z66" s="338">
        <f t="shared" si="126"/>
        <v>0</v>
      </c>
      <c r="AA66" s="338">
        <f t="shared" si="126"/>
        <v>0</v>
      </c>
      <c r="AB66" s="338">
        <f t="shared" si="126"/>
        <v>0</v>
      </c>
      <c r="AC66" s="338">
        <f t="shared" si="126"/>
        <v>0</v>
      </c>
      <c r="AD66" s="338">
        <f t="shared" si="126"/>
        <v>0</v>
      </c>
      <c r="AE66" s="338">
        <f t="shared" si="126"/>
        <v>0</v>
      </c>
      <c r="AF66" s="338">
        <f t="shared" ref="AF66:AM66" si="127">+IFERROR((AF22/AF$6)*100,0)</f>
        <v>0</v>
      </c>
      <c r="AG66" s="338">
        <f t="shared" si="127"/>
        <v>0</v>
      </c>
      <c r="AH66" s="338">
        <f t="shared" si="127"/>
        <v>0</v>
      </c>
      <c r="AI66" s="338">
        <f t="shared" si="127"/>
        <v>0</v>
      </c>
      <c r="AJ66" s="338">
        <f t="shared" si="127"/>
        <v>0</v>
      </c>
      <c r="AK66" s="338">
        <f t="shared" si="127"/>
        <v>0</v>
      </c>
      <c r="AL66" s="338">
        <f t="shared" si="127"/>
        <v>0</v>
      </c>
      <c r="AM66" s="338">
        <f t="shared" si="127"/>
        <v>0</v>
      </c>
    </row>
    <row r="67" spans="1:39" s="262" customFormat="1" ht="13.95" customHeight="1">
      <c r="A67" s="311"/>
      <c r="B67" s="223" t="s">
        <v>178</v>
      </c>
      <c r="C67" s="338">
        <f t="shared" si="107"/>
        <v>0</v>
      </c>
      <c r="D67" s="338">
        <f t="shared" si="107"/>
        <v>0</v>
      </c>
      <c r="E67" s="338">
        <f t="shared" si="107"/>
        <v>0</v>
      </c>
      <c r="F67" s="500"/>
      <c r="G67" s="338">
        <f t="shared" ref="G67:AE67" si="128">+IFERROR((G23/G$6)*100,0)</f>
        <v>0</v>
      </c>
      <c r="H67" s="338">
        <f t="shared" si="128"/>
        <v>0</v>
      </c>
      <c r="I67" s="338">
        <f t="shared" si="128"/>
        <v>0</v>
      </c>
      <c r="J67" s="338">
        <f t="shared" si="128"/>
        <v>0</v>
      </c>
      <c r="K67" s="338">
        <f t="shared" si="128"/>
        <v>0</v>
      </c>
      <c r="L67" s="338">
        <f t="shared" si="128"/>
        <v>0</v>
      </c>
      <c r="M67" s="338">
        <f t="shared" si="128"/>
        <v>0</v>
      </c>
      <c r="N67" s="338">
        <f t="shared" si="128"/>
        <v>0</v>
      </c>
      <c r="O67" s="338">
        <f t="shared" si="128"/>
        <v>0</v>
      </c>
      <c r="P67" s="338">
        <f t="shared" si="128"/>
        <v>0</v>
      </c>
      <c r="Q67" s="338">
        <f t="shared" si="128"/>
        <v>0</v>
      </c>
      <c r="R67" s="338">
        <f t="shared" si="128"/>
        <v>0</v>
      </c>
      <c r="S67" s="338">
        <f t="shared" si="128"/>
        <v>0</v>
      </c>
      <c r="T67" s="338">
        <f t="shared" si="128"/>
        <v>0</v>
      </c>
      <c r="U67" s="338">
        <f t="shared" si="128"/>
        <v>0</v>
      </c>
      <c r="V67" s="338">
        <f t="shared" si="128"/>
        <v>0</v>
      </c>
      <c r="W67" s="338">
        <f t="shared" si="128"/>
        <v>0</v>
      </c>
      <c r="X67" s="338">
        <f t="shared" si="128"/>
        <v>0</v>
      </c>
      <c r="Y67" s="338">
        <f t="shared" si="128"/>
        <v>0</v>
      </c>
      <c r="Z67" s="338">
        <f t="shared" si="128"/>
        <v>0</v>
      </c>
      <c r="AA67" s="338">
        <f t="shared" si="128"/>
        <v>0</v>
      </c>
      <c r="AB67" s="338">
        <f t="shared" si="128"/>
        <v>0</v>
      </c>
      <c r="AC67" s="338">
        <f t="shared" si="128"/>
        <v>0</v>
      </c>
      <c r="AD67" s="338">
        <f t="shared" si="128"/>
        <v>0</v>
      </c>
      <c r="AE67" s="338">
        <f t="shared" si="128"/>
        <v>0</v>
      </c>
      <c r="AF67" s="338">
        <f t="shared" ref="AF67:AM67" si="129">+IFERROR((AF23/AF$6)*100,0)</f>
        <v>0</v>
      </c>
      <c r="AG67" s="338">
        <f t="shared" si="129"/>
        <v>0</v>
      </c>
      <c r="AH67" s="338">
        <f t="shared" si="129"/>
        <v>0</v>
      </c>
      <c r="AI67" s="338">
        <f t="shared" si="129"/>
        <v>0</v>
      </c>
      <c r="AJ67" s="338">
        <f t="shared" si="129"/>
        <v>0</v>
      </c>
      <c r="AK67" s="338">
        <f t="shared" si="129"/>
        <v>0</v>
      </c>
      <c r="AL67" s="338">
        <f t="shared" si="129"/>
        <v>0</v>
      </c>
      <c r="AM67" s="338">
        <f t="shared" si="129"/>
        <v>0</v>
      </c>
    </row>
    <row r="68" spans="1:39" s="262" customFormat="1" ht="13.95" customHeight="1">
      <c r="A68" s="311"/>
      <c r="B68" s="424" t="s">
        <v>179</v>
      </c>
      <c r="C68" s="499">
        <f t="shared" si="107"/>
        <v>0</v>
      </c>
      <c r="D68" s="499">
        <f t="shared" si="107"/>
        <v>0</v>
      </c>
      <c r="E68" s="499">
        <f t="shared" si="107"/>
        <v>0</v>
      </c>
      <c r="F68" s="500"/>
      <c r="G68" s="499">
        <f t="shared" ref="G68:AE68" si="130">+IFERROR((G24/G$6)*100,0)</f>
        <v>0</v>
      </c>
      <c r="H68" s="499">
        <f t="shared" si="130"/>
        <v>0</v>
      </c>
      <c r="I68" s="499">
        <f t="shared" si="130"/>
        <v>0</v>
      </c>
      <c r="J68" s="499">
        <f t="shared" si="130"/>
        <v>0</v>
      </c>
      <c r="K68" s="499">
        <f t="shared" si="130"/>
        <v>0</v>
      </c>
      <c r="L68" s="499">
        <f t="shared" si="130"/>
        <v>0</v>
      </c>
      <c r="M68" s="499">
        <f t="shared" si="130"/>
        <v>0</v>
      </c>
      <c r="N68" s="499">
        <f t="shared" si="130"/>
        <v>0</v>
      </c>
      <c r="O68" s="499">
        <f t="shared" si="130"/>
        <v>0</v>
      </c>
      <c r="P68" s="499">
        <f t="shared" si="130"/>
        <v>0</v>
      </c>
      <c r="Q68" s="499">
        <f t="shared" si="130"/>
        <v>0</v>
      </c>
      <c r="R68" s="499">
        <f t="shared" si="130"/>
        <v>0</v>
      </c>
      <c r="S68" s="499">
        <f t="shared" si="130"/>
        <v>0</v>
      </c>
      <c r="T68" s="499">
        <f t="shared" si="130"/>
        <v>0</v>
      </c>
      <c r="U68" s="499">
        <f t="shared" si="130"/>
        <v>0</v>
      </c>
      <c r="V68" s="499">
        <f t="shared" si="130"/>
        <v>0</v>
      </c>
      <c r="W68" s="499">
        <f t="shared" si="130"/>
        <v>0</v>
      </c>
      <c r="X68" s="499">
        <f t="shared" si="130"/>
        <v>0</v>
      </c>
      <c r="Y68" s="499">
        <f t="shared" si="130"/>
        <v>0</v>
      </c>
      <c r="Z68" s="499">
        <f t="shared" si="130"/>
        <v>0</v>
      </c>
      <c r="AA68" s="499">
        <f t="shared" si="130"/>
        <v>0</v>
      </c>
      <c r="AB68" s="499">
        <f t="shared" si="130"/>
        <v>0</v>
      </c>
      <c r="AC68" s="499">
        <f t="shared" si="130"/>
        <v>0</v>
      </c>
      <c r="AD68" s="499">
        <f t="shared" si="130"/>
        <v>0</v>
      </c>
      <c r="AE68" s="499">
        <f t="shared" si="130"/>
        <v>0</v>
      </c>
      <c r="AF68" s="499">
        <f t="shared" ref="AF68:AM68" si="131">+IFERROR((AF24/AF$6)*100,0)</f>
        <v>0</v>
      </c>
      <c r="AG68" s="499">
        <f t="shared" si="131"/>
        <v>0</v>
      </c>
      <c r="AH68" s="499">
        <f t="shared" si="131"/>
        <v>0</v>
      </c>
      <c r="AI68" s="499">
        <f t="shared" si="131"/>
        <v>0</v>
      </c>
      <c r="AJ68" s="499">
        <f t="shared" si="131"/>
        <v>0</v>
      </c>
      <c r="AK68" s="499">
        <f t="shared" si="131"/>
        <v>0</v>
      </c>
      <c r="AL68" s="499">
        <f t="shared" si="131"/>
        <v>0</v>
      </c>
      <c r="AM68" s="499">
        <f t="shared" si="131"/>
        <v>0</v>
      </c>
    </row>
    <row r="69" spans="1:39" s="264" customFormat="1" ht="13.95" customHeight="1">
      <c r="A69" s="435"/>
      <c r="B69" s="434" t="s">
        <v>180</v>
      </c>
      <c r="C69" s="497">
        <f t="shared" si="107"/>
        <v>0</v>
      </c>
      <c r="D69" s="497">
        <f t="shared" si="107"/>
        <v>0</v>
      </c>
      <c r="E69" s="497">
        <f t="shared" si="107"/>
        <v>0</v>
      </c>
      <c r="F69" s="505"/>
      <c r="G69" s="497">
        <f t="shared" ref="G69:AE69" si="132">+IFERROR((G25/G$6)*100,0)</f>
        <v>0</v>
      </c>
      <c r="H69" s="497">
        <f t="shared" si="132"/>
        <v>0</v>
      </c>
      <c r="I69" s="497">
        <f t="shared" si="132"/>
        <v>0</v>
      </c>
      <c r="J69" s="497">
        <f t="shared" si="132"/>
        <v>0</v>
      </c>
      <c r="K69" s="497">
        <f t="shared" si="132"/>
        <v>0</v>
      </c>
      <c r="L69" s="497">
        <f t="shared" si="132"/>
        <v>0</v>
      </c>
      <c r="M69" s="497">
        <f t="shared" si="132"/>
        <v>0</v>
      </c>
      <c r="N69" s="497">
        <f t="shared" si="132"/>
        <v>0</v>
      </c>
      <c r="O69" s="497">
        <f t="shared" si="132"/>
        <v>0</v>
      </c>
      <c r="P69" s="497">
        <f t="shared" si="132"/>
        <v>0</v>
      </c>
      <c r="Q69" s="497">
        <f t="shared" si="132"/>
        <v>0</v>
      </c>
      <c r="R69" s="497">
        <f t="shared" si="132"/>
        <v>0</v>
      </c>
      <c r="S69" s="497">
        <f t="shared" si="132"/>
        <v>0</v>
      </c>
      <c r="T69" s="497">
        <f t="shared" si="132"/>
        <v>0</v>
      </c>
      <c r="U69" s="497">
        <f t="shared" si="132"/>
        <v>0</v>
      </c>
      <c r="V69" s="497">
        <f t="shared" si="132"/>
        <v>0</v>
      </c>
      <c r="W69" s="497">
        <f t="shared" si="132"/>
        <v>0</v>
      </c>
      <c r="X69" s="497">
        <f t="shared" si="132"/>
        <v>0</v>
      </c>
      <c r="Y69" s="497">
        <f t="shared" si="132"/>
        <v>0</v>
      </c>
      <c r="Z69" s="497">
        <f t="shared" si="132"/>
        <v>0</v>
      </c>
      <c r="AA69" s="497">
        <f t="shared" si="132"/>
        <v>0</v>
      </c>
      <c r="AB69" s="497">
        <f t="shared" si="132"/>
        <v>0</v>
      </c>
      <c r="AC69" s="497">
        <f t="shared" si="132"/>
        <v>0</v>
      </c>
      <c r="AD69" s="497">
        <f t="shared" si="132"/>
        <v>0</v>
      </c>
      <c r="AE69" s="497">
        <f t="shared" si="132"/>
        <v>0</v>
      </c>
      <c r="AF69" s="497">
        <f t="shared" ref="AF69:AM69" si="133">+IFERROR((AF25/AF$6)*100,0)</f>
        <v>0</v>
      </c>
      <c r="AG69" s="497">
        <f t="shared" si="133"/>
        <v>0</v>
      </c>
      <c r="AH69" s="497">
        <f t="shared" si="133"/>
        <v>0</v>
      </c>
      <c r="AI69" s="497">
        <f t="shared" si="133"/>
        <v>0</v>
      </c>
      <c r="AJ69" s="497">
        <f t="shared" si="133"/>
        <v>0</v>
      </c>
      <c r="AK69" s="497">
        <f t="shared" si="133"/>
        <v>0</v>
      </c>
      <c r="AL69" s="497">
        <f t="shared" si="133"/>
        <v>0</v>
      </c>
      <c r="AM69" s="497">
        <f t="shared" si="133"/>
        <v>0</v>
      </c>
    </row>
    <row r="70" spans="1:39" s="265" customFormat="1" ht="13.95" customHeight="1">
      <c r="A70" s="311"/>
      <c r="B70" s="223" t="s">
        <v>0</v>
      </c>
      <c r="C70" s="338">
        <f t="shared" si="107"/>
        <v>0</v>
      </c>
      <c r="D70" s="338">
        <f t="shared" si="107"/>
        <v>0</v>
      </c>
      <c r="E70" s="338">
        <f t="shared" si="107"/>
        <v>0</v>
      </c>
      <c r="F70" s="500"/>
      <c r="G70" s="338">
        <f t="shared" ref="G70:AE70" si="134">+IFERROR((G26/G$6)*100,0)</f>
        <v>0</v>
      </c>
      <c r="H70" s="338">
        <f t="shared" si="134"/>
        <v>0</v>
      </c>
      <c r="I70" s="338">
        <f t="shared" si="134"/>
        <v>0</v>
      </c>
      <c r="J70" s="338">
        <f t="shared" si="134"/>
        <v>0</v>
      </c>
      <c r="K70" s="338">
        <f t="shared" si="134"/>
        <v>0</v>
      </c>
      <c r="L70" s="338">
        <f t="shared" si="134"/>
        <v>0</v>
      </c>
      <c r="M70" s="338">
        <f t="shared" si="134"/>
        <v>0</v>
      </c>
      <c r="N70" s="338">
        <f t="shared" si="134"/>
        <v>0</v>
      </c>
      <c r="O70" s="338">
        <f t="shared" si="134"/>
        <v>0</v>
      </c>
      <c r="P70" s="338">
        <f t="shared" si="134"/>
        <v>0</v>
      </c>
      <c r="Q70" s="338">
        <f t="shared" si="134"/>
        <v>0</v>
      </c>
      <c r="R70" s="338">
        <f t="shared" si="134"/>
        <v>0</v>
      </c>
      <c r="S70" s="338">
        <f t="shared" si="134"/>
        <v>0</v>
      </c>
      <c r="T70" s="338">
        <f t="shared" si="134"/>
        <v>0</v>
      </c>
      <c r="U70" s="338">
        <f t="shared" si="134"/>
        <v>0</v>
      </c>
      <c r="V70" s="338">
        <f t="shared" si="134"/>
        <v>0</v>
      </c>
      <c r="W70" s="338">
        <f t="shared" si="134"/>
        <v>0</v>
      </c>
      <c r="X70" s="338">
        <f t="shared" si="134"/>
        <v>0</v>
      </c>
      <c r="Y70" s="338">
        <f t="shared" si="134"/>
        <v>0</v>
      </c>
      <c r="Z70" s="338">
        <f t="shared" si="134"/>
        <v>0</v>
      </c>
      <c r="AA70" s="338">
        <f t="shared" si="134"/>
        <v>0</v>
      </c>
      <c r="AB70" s="338">
        <f t="shared" si="134"/>
        <v>0</v>
      </c>
      <c r="AC70" s="338">
        <f t="shared" si="134"/>
        <v>0</v>
      </c>
      <c r="AD70" s="338">
        <f t="shared" si="134"/>
        <v>0</v>
      </c>
      <c r="AE70" s="338">
        <f t="shared" si="134"/>
        <v>0</v>
      </c>
      <c r="AF70" s="338">
        <f t="shared" ref="AF70:AM70" si="135">+IFERROR((AF26/AF$6)*100,0)</f>
        <v>0</v>
      </c>
      <c r="AG70" s="338">
        <f t="shared" si="135"/>
        <v>0</v>
      </c>
      <c r="AH70" s="338">
        <f t="shared" si="135"/>
        <v>0</v>
      </c>
      <c r="AI70" s="338">
        <f t="shared" si="135"/>
        <v>0</v>
      </c>
      <c r="AJ70" s="338">
        <f t="shared" si="135"/>
        <v>0</v>
      </c>
      <c r="AK70" s="338">
        <f t="shared" si="135"/>
        <v>0</v>
      </c>
      <c r="AL70" s="338">
        <f t="shared" si="135"/>
        <v>0</v>
      </c>
      <c r="AM70" s="338">
        <f t="shared" si="135"/>
        <v>0</v>
      </c>
    </row>
    <row r="71" spans="1:39" s="428" customFormat="1" ht="13.95" customHeight="1">
      <c r="A71" s="426"/>
      <c r="B71" s="223" t="s">
        <v>1</v>
      </c>
      <c r="C71" s="338">
        <f t="shared" si="107"/>
        <v>0</v>
      </c>
      <c r="D71" s="338">
        <f t="shared" si="107"/>
        <v>0</v>
      </c>
      <c r="E71" s="338">
        <f t="shared" si="107"/>
        <v>0</v>
      </c>
      <c r="F71" s="500"/>
      <c r="G71" s="338">
        <f t="shared" ref="G71:AE71" si="136">+IFERROR((G27/G$6)*100,0)</f>
        <v>0</v>
      </c>
      <c r="H71" s="338">
        <f t="shared" si="136"/>
        <v>0</v>
      </c>
      <c r="I71" s="338">
        <f t="shared" si="136"/>
        <v>0</v>
      </c>
      <c r="J71" s="338">
        <f t="shared" si="136"/>
        <v>0</v>
      </c>
      <c r="K71" s="338">
        <f t="shared" si="136"/>
        <v>0</v>
      </c>
      <c r="L71" s="338">
        <f t="shared" si="136"/>
        <v>0</v>
      </c>
      <c r="M71" s="338">
        <f t="shared" si="136"/>
        <v>0</v>
      </c>
      <c r="N71" s="338">
        <f t="shared" si="136"/>
        <v>0</v>
      </c>
      <c r="O71" s="338">
        <f t="shared" si="136"/>
        <v>0</v>
      </c>
      <c r="P71" s="338">
        <f t="shared" si="136"/>
        <v>0</v>
      </c>
      <c r="Q71" s="338">
        <f t="shared" si="136"/>
        <v>0</v>
      </c>
      <c r="R71" s="338">
        <f t="shared" si="136"/>
        <v>0</v>
      </c>
      <c r="S71" s="338">
        <f t="shared" si="136"/>
        <v>0</v>
      </c>
      <c r="T71" s="338">
        <f t="shared" si="136"/>
        <v>0</v>
      </c>
      <c r="U71" s="338">
        <f t="shared" si="136"/>
        <v>0</v>
      </c>
      <c r="V71" s="338">
        <f t="shared" si="136"/>
        <v>0</v>
      </c>
      <c r="W71" s="338">
        <f t="shared" si="136"/>
        <v>0</v>
      </c>
      <c r="X71" s="338">
        <f t="shared" si="136"/>
        <v>0</v>
      </c>
      <c r="Y71" s="338">
        <f t="shared" si="136"/>
        <v>0</v>
      </c>
      <c r="Z71" s="338">
        <f t="shared" si="136"/>
        <v>0</v>
      </c>
      <c r="AA71" s="338">
        <f t="shared" si="136"/>
        <v>0</v>
      </c>
      <c r="AB71" s="338">
        <f t="shared" si="136"/>
        <v>0</v>
      </c>
      <c r="AC71" s="338">
        <f t="shared" si="136"/>
        <v>0</v>
      </c>
      <c r="AD71" s="338">
        <f t="shared" si="136"/>
        <v>0</v>
      </c>
      <c r="AE71" s="338">
        <f t="shared" si="136"/>
        <v>0</v>
      </c>
      <c r="AF71" s="338">
        <f t="shared" ref="AF71:AM71" si="137">+IFERROR((AF27/AF$6)*100,0)</f>
        <v>0</v>
      </c>
      <c r="AG71" s="338">
        <f t="shared" si="137"/>
        <v>0</v>
      </c>
      <c r="AH71" s="338">
        <f t="shared" si="137"/>
        <v>0</v>
      </c>
      <c r="AI71" s="338">
        <f t="shared" si="137"/>
        <v>0</v>
      </c>
      <c r="AJ71" s="338">
        <f t="shared" si="137"/>
        <v>0</v>
      </c>
      <c r="AK71" s="338">
        <f t="shared" si="137"/>
        <v>0</v>
      </c>
      <c r="AL71" s="338">
        <f t="shared" si="137"/>
        <v>0</v>
      </c>
      <c r="AM71" s="338">
        <f t="shared" si="137"/>
        <v>0</v>
      </c>
    </row>
    <row r="72" spans="1:39" s="428" customFormat="1" ht="13.95" customHeight="1" outlineLevel="1">
      <c r="A72" s="426"/>
      <c r="B72" s="531" t="s">
        <v>211</v>
      </c>
      <c r="C72" s="338">
        <f t="shared" si="107"/>
        <v>0</v>
      </c>
      <c r="D72" s="338">
        <f t="shared" si="107"/>
        <v>0</v>
      </c>
      <c r="E72" s="338">
        <f t="shared" si="107"/>
        <v>0</v>
      </c>
      <c r="F72" s="500"/>
      <c r="G72" s="338">
        <f t="shared" ref="G72:AE72" si="138">+IFERROR((G28/G$6)*100,0)</f>
        <v>0</v>
      </c>
      <c r="H72" s="338">
        <f t="shared" si="138"/>
        <v>0</v>
      </c>
      <c r="I72" s="338">
        <f t="shared" si="138"/>
        <v>0</v>
      </c>
      <c r="J72" s="338">
        <f t="shared" si="138"/>
        <v>0</v>
      </c>
      <c r="K72" s="338">
        <f t="shared" si="138"/>
        <v>0</v>
      </c>
      <c r="L72" s="338">
        <f t="shared" si="138"/>
        <v>0</v>
      </c>
      <c r="M72" s="338">
        <f t="shared" si="138"/>
        <v>0</v>
      </c>
      <c r="N72" s="338">
        <f t="shared" si="138"/>
        <v>0</v>
      </c>
      <c r="O72" s="338">
        <f t="shared" si="138"/>
        <v>0</v>
      </c>
      <c r="P72" s="338">
        <f t="shared" si="138"/>
        <v>0</v>
      </c>
      <c r="Q72" s="338">
        <f t="shared" si="138"/>
        <v>0</v>
      </c>
      <c r="R72" s="338">
        <f t="shared" si="138"/>
        <v>0</v>
      </c>
      <c r="S72" s="338">
        <f t="shared" si="138"/>
        <v>0</v>
      </c>
      <c r="T72" s="338">
        <f t="shared" si="138"/>
        <v>0</v>
      </c>
      <c r="U72" s="338">
        <f t="shared" si="138"/>
        <v>0</v>
      </c>
      <c r="V72" s="338">
        <f t="shared" si="138"/>
        <v>0</v>
      </c>
      <c r="W72" s="338">
        <f t="shared" si="138"/>
        <v>0</v>
      </c>
      <c r="X72" s="338">
        <f t="shared" si="138"/>
        <v>0</v>
      </c>
      <c r="Y72" s="338">
        <f t="shared" si="138"/>
        <v>0</v>
      </c>
      <c r="Z72" s="338">
        <f t="shared" si="138"/>
        <v>0</v>
      </c>
      <c r="AA72" s="338">
        <f t="shared" si="138"/>
        <v>0</v>
      </c>
      <c r="AB72" s="338">
        <f t="shared" si="138"/>
        <v>0</v>
      </c>
      <c r="AC72" s="338">
        <f t="shared" si="138"/>
        <v>0</v>
      </c>
      <c r="AD72" s="338">
        <f t="shared" si="138"/>
        <v>0</v>
      </c>
      <c r="AE72" s="338">
        <f t="shared" si="138"/>
        <v>0</v>
      </c>
      <c r="AF72" s="338">
        <f t="shared" ref="AF72:AM72" si="139">+IFERROR((AF28/AF$6)*100,0)</f>
        <v>0</v>
      </c>
      <c r="AG72" s="338">
        <f t="shared" si="139"/>
        <v>0</v>
      </c>
      <c r="AH72" s="338">
        <f t="shared" si="139"/>
        <v>0</v>
      </c>
      <c r="AI72" s="338">
        <f t="shared" si="139"/>
        <v>0</v>
      </c>
      <c r="AJ72" s="338">
        <f t="shared" si="139"/>
        <v>0</v>
      </c>
      <c r="AK72" s="338">
        <f t="shared" si="139"/>
        <v>0</v>
      </c>
      <c r="AL72" s="338">
        <f t="shared" si="139"/>
        <v>0</v>
      </c>
      <c r="AM72" s="338">
        <f t="shared" si="139"/>
        <v>0</v>
      </c>
    </row>
    <row r="73" spans="1:39" s="428" customFormat="1" ht="13.95" customHeight="1" outlineLevel="1">
      <c r="A73" s="426"/>
      <c r="B73" s="531" t="s">
        <v>212</v>
      </c>
      <c r="C73" s="338">
        <f t="shared" si="107"/>
        <v>0</v>
      </c>
      <c r="D73" s="338">
        <f t="shared" si="107"/>
        <v>0</v>
      </c>
      <c r="E73" s="338">
        <f t="shared" si="107"/>
        <v>0</v>
      </c>
      <c r="F73" s="500"/>
      <c r="G73" s="338">
        <f t="shared" ref="G73:AE73" si="140">+IFERROR((G29/G$6)*100,0)</f>
        <v>0</v>
      </c>
      <c r="H73" s="338">
        <f t="shared" si="140"/>
        <v>0</v>
      </c>
      <c r="I73" s="338">
        <f t="shared" si="140"/>
        <v>0</v>
      </c>
      <c r="J73" s="338">
        <f t="shared" si="140"/>
        <v>0</v>
      </c>
      <c r="K73" s="338">
        <f t="shared" si="140"/>
        <v>0</v>
      </c>
      <c r="L73" s="338">
        <f t="shared" si="140"/>
        <v>0</v>
      </c>
      <c r="M73" s="338">
        <f t="shared" si="140"/>
        <v>0</v>
      </c>
      <c r="N73" s="338">
        <f t="shared" si="140"/>
        <v>0</v>
      </c>
      <c r="O73" s="338">
        <f t="shared" si="140"/>
        <v>0</v>
      </c>
      <c r="P73" s="338">
        <f t="shared" si="140"/>
        <v>0</v>
      </c>
      <c r="Q73" s="338">
        <f t="shared" si="140"/>
        <v>0</v>
      </c>
      <c r="R73" s="338">
        <f t="shared" si="140"/>
        <v>0</v>
      </c>
      <c r="S73" s="338">
        <f t="shared" si="140"/>
        <v>0</v>
      </c>
      <c r="T73" s="338">
        <f t="shared" si="140"/>
        <v>0</v>
      </c>
      <c r="U73" s="338">
        <f t="shared" si="140"/>
        <v>0</v>
      </c>
      <c r="V73" s="338">
        <f t="shared" si="140"/>
        <v>0</v>
      </c>
      <c r="W73" s="338">
        <f t="shared" si="140"/>
        <v>0</v>
      </c>
      <c r="X73" s="338">
        <f t="shared" si="140"/>
        <v>0</v>
      </c>
      <c r="Y73" s="338">
        <f t="shared" si="140"/>
        <v>0</v>
      </c>
      <c r="Z73" s="338">
        <f t="shared" si="140"/>
        <v>0</v>
      </c>
      <c r="AA73" s="338">
        <f t="shared" si="140"/>
        <v>0</v>
      </c>
      <c r="AB73" s="338">
        <f t="shared" si="140"/>
        <v>0</v>
      </c>
      <c r="AC73" s="338">
        <f t="shared" si="140"/>
        <v>0</v>
      </c>
      <c r="AD73" s="338">
        <f t="shared" si="140"/>
        <v>0</v>
      </c>
      <c r="AE73" s="338">
        <f t="shared" si="140"/>
        <v>0</v>
      </c>
      <c r="AF73" s="338">
        <f t="shared" ref="AF73:AM73" si="141">+IFERROR((AF29/AF$6)*100,0)</f>
        <v>0</v>
      </c>
      <c r="AG73" s="338">
        <f t="shared" si="141"/>
        <v>0</v>
      </c>
      <c r="AH73" s="338">
        <f t="shared" si="141"/>
        <v>0</v>
      </c>
      <c r="AI73" s="338">
        <f t="shared" si="141"/>
        <v>0</v>
      </c>
      <c r="AJ73" s="338">
        <f t="shared" si="141"/>
        <v>0</v>
      </c>
      <c r="AK73" s="338">
        <f t="shared" si="141"/>
        <v>0</v>
      </c>
      <c r="AL73" s="338">
        <f t="shared" si="141"/>
        <v>0</v>
      </c>
      <c r="AM73" s="338">
        <f t="shared" si="141"/>
        <v>0</v>
      </c>
    </row>
    <row r="74" spans="1:39" s="428" customFormat="1" ht="13.95" customHeight="1" outlineLevel="1">
      <c r="A74" s="426"/>
      <c r="B74" s="531" t="s">
        <v>213</v>
      </c>
      <c r="C74" s="338">
        <f t="shared" si="107"/>
        <v>0</v>
      </c>
      <c r="D74" s="338">
        <f t="shared" si="107"/>
        <v>0</v>
      </c>
      <c r="E74" s="338">
        <f t="shared" si="107"/>
        <v>0</v>
      </c>
      <c r="F74" s="500"/>
      <c r="G74" s="338">
        <f t="shared" ref="G74:AE74" si="142">+IFERROR((G30/G$6)*100,0)</f>
        <v>0</v>
      </c>
      <c r="H74" s="338">
        <f t="shared" si="142"/>
        <v>0</v>
      </c>
      <c r="I74" s="338">
        <f t="shared" si="142"/>
        <v>0</v>
      </c>
      <c r="J74" s="338">
        <f t="shared" si="142"/>
        <v>0</v>
      </c>
      <c r="K74" s="338">
        <f t="shared" si="142"/>
        <v>0</v>
      </c>
      <c r="L74" s="338">
        <f t="shared" si="142"/>
        <v>0</v>
      </c>
      <c r="M74" s="338">
        <f t="shared" si="142"/>
        <v>0</v>
      </c>
      <c r="N74" s="338">
        <f t="shared" si="142"/>
        <v>0</v>
      </c>
      <c r="O74" s="338">
        <f t="shared" si="142"/>
        <v>0</v>
      </c>
      <c r="P74" s="338">
        <f t="shared" si="142"/>
        <v>0</v>
      </c>
      <c r="Q74" s="338">
        <f t="shared" si="142"/>
        <v>0</v>
      </c>
      <c r="R74" s="338">
        <f t="shared" si="142"/>
        <v>0</v>
      </c>
      <c r="S74" s="338">
        <f t="shared" si="142"/>
        <v>0</v>
      </c>
      <c r="T74" s="338">
        <f t="shared" si="142"/>
        <v>0</v>
      </c>
      <c r="U74" s="338">
        <f t="shared" si="142"/>
        <v>0</v>
      </c>
      <c r="V74" s="338">
        <f t="shared" si="142"/>
        <v>0</v>
      </c>
      <c r="W74" s="338">
        <f t="shared" si="142"/>
        <v>0</v>
      </c>
      <c r="X74" s="338">
        <f t="shared" si="142"/>
        <v>0</v>
      </c>
      <c r="Y74" s="338">
        <f t="shared" si="142"/>
        <v>0</v>
      </c>
      <c r="Z74" s="338">
        <f t="shared" si="142"/>
        <v>0</v>
      </c>
      <c r="AA74" s="338">
        <f t="shared" si="142"/>
        <v>0</v>
      </c>
      <c r="AB74" s="338">
        <f t="shared" si="142"/>
        <v>0</v>
      </c>
      <c r="AC74" s="338">
        <f t="shared" si="142"/>
        <v>0</v>
      </c>
      <c r="AD74" s="338">
        <f t="shared" si="142"/>
        <v>0</v>
      </c>
      <c r="AE74" s="338">
        <f t="shared" si="142"/>
        <v>0</v>
      </c>
      <c r="AF74" s="338">
        <f t="shared" ref="AF74:AM74" si="143">+IFERROR((AF30/AF$6)*100,0)</f>
        <v>0</v>
      </c>
      <c r="AG74" s="338">
        <f t="shared" si="143"/>
        <v>0</v>
      </c>
      <c r="AH74" s="338">
        <f t="shared" si="143"/>
        <v>0</v>
      </c>
      <c r="AI74" s="338">
        <f t="shared" si="143"/>
        <v>0</v>
      </c>
      <c r="AJ74" s="338">
        <f t="shared" si="143"/>
        <v>0</v>
      </c>
      <c r="AK74" s="338">
        <f t="shared" si="143"/>
        <v>0</v>
      </c>
      <c r="AL74" s="338">
        <f t="shared" si="143"/>
        <v>0</v>
      </c>
      <c r="AM74" s="338">
        <f t="shared" si="143"/>
        <v>0</v>
      </c>
    </row>
    <row r="75" spans="1:39" s="428" customFormat="1" ht="13.95" customHeight="1" outlineLevel="1">
      <c r="A75" s="426"/>
      <c r="B75" s="531" t="s">
        <v>214</v>
      </c>
      <c r="C75" s="338">
        <f t="shared" si="107"/>
        <v>0</v>
      </c>
      <c r="D75" s="338">
        <f t="shared" si="107"/>
        <v>0</v>
      </c>
      <c r="E75" s="338">
        <f t="shared" si="107"/>
        <v>0</v>
      </c>
      <c r="F75" s="500"/>
      <c r="G75" s="338">
        <f t="shared" ref="G75:AE75" si="144">+IFERROR((G31/G$6)*100,0)</f>
        <v>0</v>
      </c>
      <c r="H75" s="338">
        <f t="shared" si="144"/>
        <v>0</v>
      </c>
      <c r="I75" s="338">
        <f t="shared" si="144"/>
        <v>0</v>
      </c>
      <c r="J75" s="338">
        <f t="shared" si="144"/>
        <v>0</v>
      </c>
      <c r="K75" s="338">
        <f t="shared" si="144"/>
        <v>0</v>
      </c>
      <c r="L75" s="338">
        <f t="shared" si="144"/>
        <v>0</v>
      </c>
      <c r="M75" s="338">
        <f t="shared" si="144"/>
        <v>0</v>
      </c>
      <c r="N75" s="338">
        <f t="shared" si="144"/>
        <v>0</v>
      </c>
      <c r="O75" s="338">
        <f t="shared" si="144"/>
        <v>0</v>
      </c>
      <c r="P75" s="338">
        <f t="shared" si="144"/>
        <v>0</v>
      </c>
      <c r="Q75" s="338">
        <f t="shared" si="144"/>
        <v>0</v>
      </c>
      <c r="R75" s="338">
        <f t="shared" si="144"/>
        <v>0</v>
      </c>
      <c r="S75" s="338">
        <f t="shared" si="144"/>
        <v>0</v>
      </c>
      <c r="T75" s="338">
        <f t="shared" si="144"/>
        <v>0</v>
      </c>
      <c r="U75" s="338">
        <f t="shared" si="144"/>
        <v>0</v>
      </c>
      <c r="V75" s="338">
        <f t="shared" si="144"/>
        <v>0</v>
      </c>
      <c r="W75" s="338">
        <f t="shared" si="144"/>
        <v>0</v>
      </c>
      <c r="X75" s="338">
        <f t="shared" si="144"/>
        <v>0</v>
      </c>
      <c r="Y75" s="338">
        <f t="shared" si="144"/>
        <v>0</v>
      </c>
      <c r="Z75" s="338">
        <f t="shared" si="144"/>
        <v>0</v>
      </c>
      <c r="AA75" s="338">
        <f t="shared" si="144"/>
        <v>0</v>
      </c>
      <c r="AB75" s="338">
        <f t="shared" si="144"/>
        <v>0</v>
      </c>
      <c r="AC75" s="338">
        <f t="shared" si="144"/>
        <v>0</v>
      </c>
      <c r="AD75" s="338">
        <f t="shared" si="144"/>
        <v>0</v>
      </c>
      <c r="AE75" s="338">
        <f t="shared" si="144"/>
        <v>0</v>
      </c>
      <c r="AF75" s="338">
        <f t="shared" ref="AF75:AM75" si="145">+IFERROR((AF31/AF$6)*100,0)</f>
        <v>0</v>
      </c>
      <c r="AG75" s="338">
        <f t="shared" si="145"/>
        <v>0</v>
      </c>
      <c r="AH75" s="338">
        <f t="shared" si="145"/>
        <v>0</v>
      </c>
      <c r="AI75" s="338">
        <f t="shared" si="145"/>
        <v>0</v>
      </c>
      <c r="AJ75" s="338">
        <f t="shared" si="145"/>
        <v>0</v>
      </c>
      <c r="AK75" s="338">
        <f t="shared" si="145"/>
        <v>0</v>
      </c>
      <c r="AL75" s="338">
        <f t="shared" si="145"/>
        <v>0</v>
      </c>
      <c r="AM75" s="338">
        <f t="shared" si="145"/>
        <v>0</v>
      </c>
    </row>
    <row r="76" spans="1:39" s="428" customFormat="1" ht="13.95" customHeight="1" outlineLevel="1">
      <c r="A76" s="426"/>
      <c r="B76" s="531" t="s">
        <v>215</v>
      </c>
      <c r="C76" s="338">
        <f t="shared" si="107"/>
        <v>0</v>
      </c>
      <c r="D76" s="338">
        <f t="shared" si="107"/>
        <v>0</v>
      </c>
      <c r="E76" s="338">
        <f t="shared" si="107"/>
        <v>0</v>
      </c>
      <c r="F76" s="500"/>
      <c r="G76" s="338">
        <f t="shared" ref="G76:AE76" si="146">+IFERROR((G32/G$6)*100,0)</f>
        <v>0</v>
      </c>
      <c r="H76" s="338">
        <f t="shared" si="146"/>
        <v>0</v>
      </c>
      <c r="I76" s="338">
        <f t="shared" si="146"/>
        <v>0</v>
      </c>
      <c r="J76" s="338">
        <f t="shared" si="146"/>
        <v>0</v>
      </c>
      <c r="K76" s="338">
        <f t="shared" si="146"/>
        <v>0</v>
      </c>
      <c r="L76" s="338">
        <f t="shared" si="146"/>
        <v>0</v>
      </c>
      <c r="M76" s="338">
        <f t="shared" si="146"/>
        <v>0</v>
      </c>
      <c r="N76" s="338">
        <f t="shared" si="146"/>
        <v>0</v>
      </c>
      <c r="O76" s="338">
        <f t="shared" si="146"/>
        <v>0</v>
      </c>
      <c r="P76" s="338">
        <f t="shared" si="146"/>
        <v>0</v>
      </c>
      <c r="Q76" s="338">
        <f t="shared" si="146"/>
        <v>0</v>
      </c>
      <c r="R76" s="338">
        <f t="shared" si="146"/>
        <v>0</v>
      </c>
      <c r="S76" s="338">
        <f t="shared" si="146"/>
        <v>0</v>
      </c>
      <c r="T76" s="338">
        <f t="shared" si="146"/>
        <v>0</v>
      </c>
      <c r="U76" s="338">
        <f t="shared" si="146"/>
        <v>0</v>
      </c>
      <c r="V76" s="338">
        <f t="shared" si="146"/>
        <v>0</v>
      </c>
      <c r="W76" s="338">
        <f t="shared" si="146"/>
        <v>0</v>
      </c>
      <c r="X76" s="338">
        <f t="shared" si="146"/>
        <v>0</v>
      </c>
      <c r="Y76" s="338">
        <f t="shared" si="146"/>
        <v>0</v>
      </c>
      <c r="Z76" s="338">
        <f t="shared" si="146"/>
        <v>0</v>
      </c>
      <c r="AA76" s="338">
        <f t="shared" si="146"/>
        <v>0</v>
      </c>
      <c r="AB76" s="338">
        <f t="shared" si="146"/>
        <v>0</v>
      </c>
      <c r="AC76" s="338">
        <f t="shared" si="146"/>
        <v>0</v>
      </c>
      <c r="AD76" s="338">
        <f t="shared" si="146"/>
        <v>0</v>
      </c>
      <c r="AE76" s="338">
        <f t="shared" si="146"/>
        <v>0</v>
      </c>
      <c r="AF76" s="338">
        <f t="shared" ref="AF76:AM76" si="147">+IFERROR((AF32/AF$6)*100,0)</f>
        <v>0</v>
      </c>
      <c r="AG76" s="338">
        <f t="shared" si="147"/>
        <v>0</v>
      </c>
      <c r="AH76" s="338">
        <f t="shared" si="147"/>
        <v>0</v>
      </c>
      <c r="AI76" s="338">
        <f t="shared" si="147"/>
        <v>0</v>
      </c>
      <c r="AJ76" s="338">
        <f t="shared" si="147"/>
        <v>0</v>
      </c>
      <c r="AK76" s="338">
        <f t="shared" si="147"/>
        <v>0</v>
      </c>
      <c r="AL76" s="338">
        <f t="shared" si="147"/>
        <v>0</v>
      </c>
      <c r="AM76" s="338">
        <f t="shared" si="147"/>
        <v>0</v>
      </c>
    </row>
    <row r="77" spans="1:39" s="428" customFormat="1" ht="13.95" customHeight="1" outlineLevel="1">
      <c r="A77" s="426"/>
      <c r="B77" s="531" t="s">
        <v>216</v>
      </c>
      <c r="C77" s="338">
        <f t="shared" si="107"/>
        <v>0</v>
      </c>
      <c r="D77" s="338">
        <f t="shared" si="107"/>
        <v>0</v>
      </c>
      <c r="E77" s="338">
        <f t="shared" si="107"/>
        <v>0</v>
      </c>
      <c r="F77" s="500"/>
      <c r="G77" s="338">
        <f t="shared" ref="G77:AE77" si="148">+IFERROR((G33/G$6)*100,0)</f>
        <v>0</v>
      </c>
      <c r="H77" s="338">
        <f t="shared" si="148"/>
        <v>0</v>
      </c>
      <c r="I77" s="338">
        <f t="shared" si="148"/>
        <v>0</v>
      </c>
      <c r="J77" s="338">
        <f t="shared" si="148"/>
        <v>0</v>
      </c>
      <c r="K77" s="338">
        <f t="shared" si="148"/>
        <v>0</v>
      </c>
      <c r="L77" s="338">
        <f t="shared" si="148"/>
        <v>0</v>
      </c>
      <c r="M77" s="338">
        <f t="shared" si="148"/>
        <v>0</v>
      </c>
      <c r="N77" s="338">
        <f t="shared" si="148"/>
        <v>0</v>
      </c>
      <c r="O77" s="338">
        <f t="shared" si="148"/>
        <v>0</v>
      </c>
      <c r="P77" s="338">
        <f t="shared" si="148"/>
        <v>0</v>
      </c>
      <c r="Q77" s="338">
        <f t="shared" si="148"/>
        <v>0</v>
      </c>
      <c r="R77" s="338">
        <f t="shared" si="148"/>
        <v>0</v>
      </c>
      <c r="S77" s="338">
        <f t="shared" si="148"/>
        <v>0</v>
      </c>
      <c r="T77" s="338">
        <f t="shared" si="148"/>
        <v>0</v>
      </c>
      <c r="U77" s="338">
        <f t="shared" si="148"/>
        <v>0</v>
      </c>
      <c r="V77" s="338">
        <f t="shared" si="148"/>
        <v>0</v>
      </c>
      <c r="W77" s="338">
        <f t="shared" si="148"/>
        <v>0</v>
      </c>
      <c r="X77" s="338">
        <f t="shared" si="148"/>
        <v>0</v>
      </c>
      <c r="Y77" s="338">
        <f t="shared" si="148"/>
        <v>0</v>
      </c>
      <c r="Z77" s="338">
        <f t="shared" si="148"/>
        <v>0</v>
      </c>
      <c r="AA77" s="338">
        <f t="shared" si="148"/>
        <v>0</v>
      </c>
      <c r="AB77" s="338">
        <f t="shared" si="148"/>
        <v>0</v>
      </c>
      <c r="AC77" s="338">
        <f t="shared" si="148"/>
        <v>0</v>
      </c>
      <c r="AD77" s="338">
        <f t="shared" si="148"/>
        <v>0</v>
      </c>
      <c r="AE77" s="338">
        <f t="shared" si="148"/>
        <v>0</v>
      </c>
      <c r="AF77" s="338">
        <f t="shared" ref="AF77:AM77" si="149">+IFERROR((AF33/AF$6)*100,0)</f>
        <v>0</v>
      </c>
      <c r="AG77" s="338">
        <f t="shared" si="149"/>
        <v>0</v>
      </c>
      <c r="AH77" s="338">
        <f t="shared" si="149"/>
        <v>0</v>
      </c>
      <c r="AI77" s="338">
        <f t="shared" si="149"/>
        <v>0</v>
      </c>
      <c r="AJ77" s="338">
        <f t="shared" si="149"/>
        <v>0</v>
      </c>
      <c r="AK77" s="338">
        <f t="shared" si="149"/>
        <v>0</v>
      </c>
      <c r="AL77" s="338">
        <f t="shared" si="149"/>
        <v>0</v>
      </c>
      <c r="AM77" s="338">
        <f t="shared" si="149"/>
        <v>0</v>
      </c>
    </row>
    <row r="78" spans="1:39" s="428" customFormat="1" ht="13.95" customHeight="1" outlineLevel="1">
      <c r="A78" s="426"/>
      <c r="B78" s="531" t="s">
        <v>217</v>
      </c>
      <c r="C78" s="338">
        <f t="shared" si="107"/>
        <v>0</v>
      </c>
      <c r="D78" s="338">
        <f t="shared" si="107"/>
        <v>0</v>
      </c>
      <c r="E78" s="338">
        <f t="shared" si="107"/>
        <v>0</v>
      </c>
      <c r="F78" s="500"/>
      <c r="G78" s="338">
        <f t="shared" ref="G78:AE78" si="150">+IFERROR((G34/G$6)*100,0)</f>
        <v>0</v>
      </c>
      <c r="H78" s="338">
        <f t="shared" si="150"/>
        <v>0</v>
      </c>
      <c r="I78" s="338">
        <f t="shared" si="150"/>
        <v>0</v>
      </c>
      <c r="J78" s="338">
        <f t="shared" si="150"/>
        <v>0</v>
      </c>
      <c r="K78" s="338">
        <f t="shared" si="150"/>
        <v>0</v>
      </c>
      <c r="L78" s="338">
        <f t="shared" si="150"/>
        <v>0</v>
      </c>
      <c r="M78" s="338">
        <f t="shared" si="150"/>
        <v>0</v>
      </c>
      <c r="N78" s="338">
        <f t="shared" si="150"/>
        <v>0</v>
      </c>
      <c r="O78" s="338">
        <f t="shared" si="150"/>
        <v>0</v>
      </c>
      <c r="P78" s="338">
        <f t="shared" si="150"/>
        <v>0</v>
      </c>
      <c r="Q78" s="338">
        <f t="shared" si="150"/>
        <v>0</v>
      </c>
      <c r="R78" s="338">
        <f t="shared" si="150"/>
        <v>0</v>
      </c>
      <c r="S78" s="338">
        <f t="shared" si="150"/>
        <v>0</v>
      </c>
      <c r="T78" s="338">
        <f t="shared" si="150"/>
        <v>0</v>
      </c>
      <c r="U78" s="338">
        <f t="shared" si="150"/>
        <v>0</v>
      </c>
      <c r="V78" s="338">
        <f t="shared" si="150"/>
        <v>0</v>
      </c>
      <c r="W78" s="338">
        <f t="shared" si="150"/>
        <v>0</v>
      </c>
      <c r="X78" s="338">
        <f t="shared" si="150"/>
        <v>0</v>
      </c>
      <c r="Y78" s="338">
        <f t="shared" si="150"/>
        <v>0</v>
      </c>
      <c r="Z78" s="338">
        <f t="shared" si="150"/>
        <v>0</v>
      </c>
      <c r="AA78" s="338">
        <f t="shared" si="150"/>
        <v>0</v>
      </c>
      <c r="AB78" s="338">
        <f t="shared" si="150"/>
        <v>0</v>
      </c>
      <c r="AC78" s="338">
        <f t="shared" si="150"/>
        <v>0</v>
      </c>
      <c r="AD78" s="338">
        <f t="shared" si="150"/>
        <v>0</v>
      </c>
      <c r="AE78" s="338">
        <f t="shared" si="150"/>
        <v>0</v>
      </c>
      <c r="AF78" s="338">
        <f t="shared" ref="AF78:AM78" si="151">+IFERROR((AF34/AF$6)*100,0)</f>
        <v>0</v>
      </c>
      <c r="AG78" s="338">
        <f t="shared" si="151"/>
        <v>0</v>
      </c>
      <c r="AH78" s="338">
        <f t="shared" si="151"/>
        <v>0</v>
      </c>
      <c r="AI78" s="338">
        <f t="shared" si="151"/>
        <v>0</v>
      </c>
      <c r="AJ78" s="338">
        <f t="shared" si="151"/>
        <v>0</v>
      </c>
      <c r="AK78" s="338">
        <f t="shared" si="151"/>
        <v>0</v>
      </c>
      <c r="AL78" s="338">
        <f t="shared" si="151"/>
        <v>0</v>
      </c>
      <c r="AM78" s="338">
        <f t="shared" si="151"/>
        <v>0</v>
      </c>
    </row>
    <row r="79" spans="1:39" s="428" customFormat="1" ht="13.95" customHeight="1" outlineLevel="1">
      <c r="A79" s="426"/>
      <c r="B79" s="531" t="s">
        <v>218</v>
      </c>
      <c r="C79" s="338">
        <f t="shared" si="107"/>
        <v>0</v>
      </c>
      <c r="D79" s="338">
        <f t="shared" si="107"/>
        <v>0</v>
      </c>
      <c r="E79" s="338">
        <f t="shared" si="107"/>
        <v>0</v>
      </c>
      <c r="F79" s="500"/>
      <c r="G79" s="338">
        <f t="shared" ref="G79:AE79" si="152">+IFERROR((G35/G$6)*100,0)</f>
        <v>0</v>
      </c>
      <c r="H79" s="338">
        <f t="shared" si="152"/>
        <v>0</v>
      </c>
      <c r="I79" s="338">
        <f t="shared" si="152"/>
        <v>0</v>
      </c>
      <c r="J79" s="338">
        <f t="shared" si="152"/>
        <v>0</v>
      </c>
      <c r="K79" s="338">
        <f t="shared" si="152"/>
        <v>0</v>
      </c>
      <c r="L79" s="338">
        <f t="shared" si="152"/>
        <v>0</v>
      </c>
      <c r="M79" s="338">
        <f t="shared" si="152"/>
        <v>0</v>
      </c>
      <c r="N79" s="338">
        <f t="shared" si="152"/>
        <v>0</v>
      </c>
      <c r="O79" s="338">
        <f t="shared" si="152"/>
        <v>0</v>
      </c>
      <c r="P79" s="338">
        <f t="shared" si="152"/>
        <v>0</v>
      </c>
      <c r="Q79" s="338">
        <f t="shared" si="152"/>
        <v>0</v>
      </c>
      <c r="R79" s="338">
        <f t="shared" si="152"/>
        <v>0</v>
      </c>
      <c r="S79" s="338">
        <f t="shared" si="152"/>
        <v>0</v>
      </c>
      <c r="T79" s="338">
        <f t="shared" si="152"/>
        <v>0</v>
      </c>
      <c r="U79" s="338">
        <f t="shared" si="152"/>
        <v>0</v>
      </c>
      <c r="V79" s="338">
        <f t="shared" si="152"/>
        <v>0</v>
      </c>
      <c r="W79" s="338">
        <f t="shared" si="152"/>
        <v>0</v>
      </c>
      <c r="X79" s="338">
        <f t="shared" si="152"/>
        <v>0</v>
      </c>
      <c r="Y79" s="338">
        <f t="shared" si="152"/>
        <v>0</v>
      </c>
      <c r="Z79" s="338">
        <f t="shared" si="152"/>
        <v>0</v>
      </c>
      <c r="AA79" s="338">
        <f t="shared" si="152"/>
        <v>0</v>
      </c>
      <c r="AB79" s="338">
        <f t="shared" si="152"/>
        <v>0</v>
      </c>
      <c r="AC79" s="338">
        <f t="shared" si="152"/>
        <v>0</v>
      </c>
      <c r="AD79" s="338">
        <f t="shared" si="152"/>
        <v>0</v>
      </c>
      <c r="AE79" s="338">
        <f t="shared" si="152"/>
        <v>0</v>
      </c>
      <c r="AF79" s="338">
        <f t="shared" ref="AF79:AM79" si="153">+IFERROR((AF35/AF$6)*100,0)</f>
        <v>0</v>
      </c>
      <c r="AG79" s="338">
        <f t="shared" si="153"/>
        <v>0</v>
      </c>
      <c r="AH79" s="338">
        <f t="shared" si="153"/>
        <v>0</v>
      </c>
      <c r="AI79" s="338">
        <f t="shared" si="153"/>
        <v>0</v>
      </c>
      <c r="AJ79" s="338">
        <f t="shared" si="153"/>
        <v>0</v>
      </c>
      <c r="AK79" s="338">
        <f t="shared" si="153"/>
        <v>0</v>
      </c>
      <c r="AL79" s="338">
        <f t="shared" si="153"/>
        <v>0</v>
      </c>
      <c r="AM79" s="338">
        <f t="shared" si="153"/>
        <v>0</v>
      </c>
    </row>
    <row r="80" spans="1:39" s="428" customFormat="1" ht="13.95" customHeight="1" outlineLevel="1">
      <c r="A80" s="426"/>
      <c r="B80" s="531" t="s">
        <v>219</v>
      </c>
      <c r="C80" s="338">
        <f t="shared" si="107"/>
        <v>0</v>
      </c>
      <c r="D80" s="338">
        <f t="shared" si="107"/>
        <v>0</v>
      </c>
      <c r="E80" s="338">
        <f t="shared" si="107"/>
        <v>0</v>
      </c>
      <c r="F80" s="500"/>
      <c r="G80" s="338">
        <f t="shared" ref="G80:AE80" si="154">+IFERROR((G36/G$6)*100,0)</f>
        <v>0</v>
      </c>
      <c r="H80" s="338">
        <f t="shared" si="154"/>
        <v>0</v>
      </c>
      <c r="I80" s="338">
        <f t="shared" si="154"/>
        <v>0</v>
      </c>
      <c r="J80" s="338">
        <f t="shared" si="154"/>
        <v>0</v>
      </c>
      <c r="K80" s="338">
        <f t="shared" si="154"/>
        <v>0</v>
      </c>
      <c r="L80" s="338">
        <f t="shared" si="154"/>
        <v>0</v>
      </c>
      <c r="M80" s="338">
        <f t="shared" si="154"/>
        <v>0</v>
      </c>
      <c r="N80" s="338">
        <f t="shared" si="154"/>
        <v>0</v>
      </c>
      <c r="O80" s="338">
        <f t="shared" si="154"/>
        <v>0</v>
      </c>
      <c r="P80" s="338">
        <f t="shared" si="154"/>
        <v>0</v>
      </c>
      <c r="Q80" s="338">
        <f t="shared" si="154"/>
        <v>0</v>
      </c>
      <c r="R80" s="338">
        <f t="shared" si="154"/>
        <v>0</v>
      </c>
      <c r="S80" s="338">
        <f t="shared" si="154"/>
        <v>0</v>
      </c>
      <c r="T80" s="338">
        <f t="shared" si="154"/>
        <v>0</v>
      </c>
      <c r="U80" s="338">
        <f t="shared" si="154"/>
        <v>0</v>
      </c>
      <c r="V80" s="338">
        <f t="shared" si="154"/>
        <v>0</v>
      </c>
      <c r="W80" s="338">
        <f t="shared" si="154"/>
        <v>0</v>
      </c>
      <c r="X80" s="338">
        <f t="shared" si="154"/>
        <v>0</v>
      </c>
      <c r="Y80" s="338">
        <f t="shared" si="154"/>
        <v>0</v>
      </c>
      <c r="Z80" s="338">
        <f t="shared" si="154"/>
        <v>0</v>
      </c>
      <c r="AA80" s="338">
        <f t="shared" si="154"/>
        <v>0</v>
      </c>
      <c r="AB80" s="338">
        <f t="shared" si="154"/>
        <v>0</v>
      </c>
      <c r="AC80" s="338">
        <f t="shared" si="154"/>
        <v>0</v>
      </c>
      <c r="AD80" s="338">
        <f t="shared" si="154"/>
        <v>0</v>
      </c>
      <c r="AE80" s="338">
        <f t="shared" si="154"/>
        <v>0</v>
      </c>
      <c r="AF80" s="338">
        <f t="shared" ref="AF80:AM80" si="155">+IFERROR((AF36/AF$6)*100,0)</f>
        <v>0</v>
      </c>
      <c r="AG80" s="338">
        <f t="shared" si="155"/>
        <v>0</v>
      </c>
      <c r="AH80" s="338">
        <f t="shared" si="155"/>
        <v>0</v>
      </c>
      <c r="AI80" s="338">
        <f t="shared" si="155"/>
        <v>0</v>
      </c>
      <c r="AJ80" s="338">
        <f t="shared" si="155"/>
        <v>0</v>
      </c>
      <c r="AK80" s="338">
        <f t="shared" si="155"/>
        <v>0</v>
      </c>
      <c r="AL80" s="338">
        <f t="shared" si="155"/>
        <v>0</v>
      </c>
      <c r="AM80" s="338">
        <f t="shared" si="155"/>
        <v>0</v>
      </c>
    </row>
    <row r="81" spans="1:39" s="428" customFormat="1" ht="13.95" customHeight="1" outlineLevel="1">
      <c r="A81" s="426"/>
      <c r="B81" s="531" t="s">
        <v>220</v>
      </c>
      <c r="C81" s="338">
        <f t="shared" si="107"/>
        <v>0</v>
      </c>
      <c r="D81" s="338">
        <f t="shared" si="107"/>
        <v>0</v>
      </c>
      <c r="E81" s="338">
        <f t="shared" si="107"/>
        <v>0</v>
      </c>
      <c r="F81" s="500"/>
      <c r="G81" s="338">
        <f t="shared" ref="G81:AE81" si="156">+IFERROR((G37/G$6)*100,0)</f>
        <v>0</v>
      </c>
      <c r="H81" s="338">
        <f t="shared" si="156"/>
        <v>0</v>
      </c>
      <c r="I81" s="338">
        <f t="shared" si="156"/>
        <v>0</v>
      </c>
      <c r="J81" s="338">
        <f t="shared" si="156"/>
        <v>0</v>
      </c>
      <c r="K81" s="338">
        <f t="shared" si="156"/>
        <v>0</v>
      </c>
      <c r="L81" s="338">
        <f t="shared" si="156"/>
        <v>0</v>
      </c>
      <c r="M81" s="338">
        <f t="shared" si="156"/>
        <v>0</v>
      </c>
      <c r="N81" s="338">
        <f t="shared" si="156"/>
        <v>0</v>
      </c>
      <c r="O81" s="338">
        <f t="shared" si="156"/>
        <v>0</v>
      </c>
      <c r="P81" s="338">
        <f t="shared" si="156"/>
        <v>0</v>
      </c>
      <c r="Q81" s="338">
        <f t="shared" si="156"/>
        <v>0</v>
      </c>
      <c r="R81" s="338">
        <f t="shared" si="156"/>
        <v>0</v>
      </c>
      <c r="S81" s="338">
        <f t="shared" si="156"/>
        <v>0</v>
      </c>
      <c r="T81" s="338">
        <f t="shared" si="156"/>
        <v>0</v>
      </c>
      <c r="U81" s="338">
        <f t="shared" si="156"/>
        <v>0</v>
      </c>
      <c r="V81" s="338">
        <f t="shared" si="156"/>
        <v>0</v>
      </c>
      <c r="W81" s="338">
        <f t="shared" si="156"/>
        <v>0</v>
      </c>
      <c r="X81" s="338">
        <f t="shared" si="156"/>
        <v>0</v>
      </c>
      <c r="Y81" s="338">
        <f t="shared" si="156"/>
        <v>0</v>
      </c>
      <c r="Z81" s="338">
        <f t="shared" si="156"/>
        <v>0</v>
      </c>
      <c r="AA81" s="338">
        <f t="shared" si="156"/>
        <v>0</v>
      </c>
      <c r="AB81" s="338">
        <f t="shared" si="156"/>
        <v>0</v>
      </c>
      <c r="AC81" s="338">
        <f t="shared" si="156"/>
        <v>0</v>
      </c>
      <c r="AD81" s="338">
        <f t="shared" si="156"/>
        <v>0</v>
      </c>
      <c r="AE81" s="338">
        <f t="shared" si="156"/>
        <v>0</v>
      </c>
      <c r="AF81" s="338">
        <f t="shared" ref="AF81:AM81" si="157">+IFERROR((AF37/AF$6)*100,0)</f>
        <v>0</v>
      </c>
      <c r="AG81" s="338">
        <f t="shared" si="157"/>
        <v>0</v>
      </c>
      <c r="AH81" s="338">
        <f t="shared" si="157"/>
        <v>0</v>
      </c>
      <c r="AI81" s="338">
        <f t="shared" si="157"/>
        <v>0</v>
      </c>
      <c r="AJ81" s="338">
        <f t="shared" si="157"/>
        <v>0</v>
      </c>
      <c r="AK81" s="338">
        <f t="shared" si="157"/>
        <v>0</v>
      </c>
      <c r="AL81" s="338">
        <f t="shared" si="157"/>
        <v>0</v>
      </c>
      <c r="AM81" s="338">
        <f t="shared" si="157"/>
        <v>0</v>
      </c>
    </row>
    <row r="82" spans="1:39" s="428" customFormat="1" ht="13.95" customHeight="1" outlineLevel="1">
      <c r="A82" s="426"/>
      <c r="B82" s="531" t="s">
        <v>221</v>
      </c>
      <c r="C82" s="338">
        <f t="shared" si="107"/>
        <v>0</v>
      </c>
      <c r="D82" s="338">
        <f t="shared" si="107"/>
        <v>0</v>
      </c>
      <c r="E82" s="338">
        <f t="shared" si="107"/>
        <v>0</v>
      </c>
      <c r="F82" s="500"/>
      <c r="G82" s="338">
        <f t="shared" ref="G82:AE82" si="158">+IFERROR((G38/G$6)*100,0)</f>
        <v>0</v>
      </c>
      <c r="H82" s="338">
        <f t="shared" si="158"/>
        <v>0</v>
      </c>
      <c r="I82" s="338">
        <f t="shared" si="158"/>
        <v>0</v>
      </c>
      <c r="J82" s="338">
        <f t="shared" si="158"/>
        <v>0</v>
      </c>
      <c r="K82" s="338">
        <f t="shared" si="158"/>
        <v>0</v>
      </c>
      <c r="L82" s="338">
        <f t="shared" si="158"/>
        <v>0</v>
      </c>
      <c r="M82" s="338">
        <f t="shared" si="158"/>
        <v>0</v>
      </c>
      <c r="N82" s="338">
        <f t="shared" si="158"/>
        <v>0</v>
      </c>
      <c r="O82" s="338">
        <f t="shared" si="158"/>
        <v>0</v>
      </c>
      <c r="P82" s="338">
        <f t="shared" si="158"/>
        <v>0</v>
      </c>
      <c r="Q82" s="338">
        <f t="shared" si="158"/>
        <v>0</v>
      </c>
      <c r="R82" s="338">
        <f t="shared" si="158"/>
        <v>0</v>
      </c>
      <c r="S82" s="338">
        <f t="shared" si="158"/>
        <v>0</v>
      </c>
      <c r="T82" s="338">
        <f t="shared" si="158"/>
        <v>0</v>
      </c>
      <c r="U82" s="338">
        <f t="shared" si="158"/>
        <v>0</v>
      </c>
      <c r="V82" s="338">
        <f t="shared" si="158"/>
        <v>0</v>
      </c>
      <c r="W82" s="338">
        <f t="shared" si="158"/>
        <v>0</v>
      </c>
      <c r="X82" s="338">
        <f t="shared" si="158"/>
        <v>0</v>
      </c>
      <c r="Y82" s="338">
        <f t="shared" si="158"/>
        <v>0</v>
      </c>
      <c r="Z82" s="338">
        <f t="shared" si="158"/>
        <v>0</v>
      </c>
      <c r="AA82" s="338">
        <f t="shared" si="158"/>
        <v>0</v>
      </c>
      <c r="AB82" s="338">
        <f t="shared" si="158"/>
        <v>0</v>
      </c>
      <c r="AC82" s="338">
        <f t="shared" si="158"/>
        <v>0</v>
      </c>
      <c r="AD82" s="338">
        <f t="shared" si="158"/>
        <v>0</v>
      </c>
      <c r="AE82" s="338">
        <f t="shared" si="158"/>
        <v>0</v>
      </c>
      <c r="AF82" s="338">
        <f t="shared" ref="AF82:AM82" si="159">+IFERROR((AF38/AF$6)*100,0)</f>
        <v>0</v>
      </c>
      <c r="AG82" s="338">
        <f t="shared" si="159"/>
        <v>0</v>
      </c>
      <c r="AH82" s="338">
        <f t="shared" si="159"/>
        <v>0</v>
      </c>
      <c r="AI82" s="338">
        <f t="shared" si="159"/>
        <v>0</v>
      </c>
      <c r="AJ82" s="338">
        <f t="shared" si="159"/>
        <v>0</v>
      </c>
      <c r="AK82" s="338">
        <f t="shared" si="159"/>
        <v>0</v>
      </c>
      <c r="AL82" s="338">
        <f t="shared" si="159"/>
        <v>0</v>
      </c>
      <c r="AM82" s="338">
        <f t="shared" si="159"/>
        <v>0</v>
      </c>
    </row>
    <row r="83" spans="1:39" s="428" customFormat="1" ht="13.95" customHeight="1" outlineLevel="1">
      <c r="A83" s="426"/>
      <c r="B83" s="531" t="s">
        <v>222</v>
      </c>
      <c r="C83" s="338">
        <f t="shared" si="107"/>
        <v>0</v>
      </c>
      <c r="D83" s="338">
        <f t="shared" si="107"/>
        <v>0</v>
      </c>
      <c r="E83" s="338">
        <f t="shared" si="107"/>
        <v>0</v>
      </c>
      <c r="F83" s="500"/>
      <c r="G83" s="338">
        <f t="shared" ref="G83:AE83" si="160">+IFERROR((G39/G$6)*100,0)</f>
        <v>0</v>
      </c>
      <c r="H83" s="338">
        <f t="shared" si="160"/>
        <v>0</v>
      </c>
      <c r="I83" s="338">
        <f t="shared" si="160"/>
        <v>0</v>
      </c>
      <c r="J83" s="338">
        <f t="shared" si="160"/>
        <v>0</v>
      </c>
      <c r="K83" s="338">
        <f t="shared" si="160"/>
        <v>0</v>
      </c>
      <c r="L83" s="338">
        <f t="shared" si="160"/>
        <v>0</v>
      </c>
      <c r="M83" s="338">
        <f t="shared" si="160"/>
        <v>0</v>
      </c>
      <c r="N83" s="338">
        <f t="shared" si="160"/>
        <v>0</v>
      </c>
      <c r="O83" s="338">
        <f t="shared" si="160"/>
        <v>0</v>
      </c>
      <c r="P83" s="338">
        <f t="shared" si="160"/>
        <v>0</v>
      </c>
      <c r="Q83" s="338">
        <f t="shared" si="160"/>
        <v>0</v>
      </c>
      <c r="R83" s="338">
        <f t="shared" si="160"/>
        <v>0</v>
      </c>
      <c r="S83" s="338">
        <f t="shared" si="160"/>
        <v>0</v>
      </c>
      <c r="T83" s="338">
        <f t="shared" si="160"/>
        <v>0</v>
      </c>
      <c r="U83" s="338">
        <f t="shared" si="160"/>
        <v>0</v>
      </c>
      <c r="V83" s="338">
        <f t="shared" si="160"/>
        <v>0</v>
      </c>
      <c r="W83" s="338">
        <f t="shared" si="160"/>
        <v>0</v>
      </c>
      <c r="X83" s="338">
        <f t="shared" si="160"/>
        <v>0</v>
      </c>
      <c r="Y83" s="338">
        <f t="shared" si="160"/>
        <v>0</v>
      </c>
      <c r="Z83" s="338">
        <f t="shared" si="160"/>
        <v>0</v>
      </c>
      <c r="AA83" s="338">
        <f t="shared" si="160"/>
        <v>0</v>
      </c>
      <c r="AB83" s="338">
        <f t="shared" si="160"/>
        <v>0</v>
      </c>
      <c r="AC83" s="338">
        <f t="shared" si="160"/>
        <v>0</v>
      </c>
      <c r="AD83" s="338">
        <f t="shared" si="160"/>
        <v>0</v>
      </c>
      <c r="AE83" s="338">
        <f t="shared" si="160"/>
        <v>0</v>
      </c>
      <c r="AF83" s="338">
        <f t="shared" ref="AF83:AM83" si="161">+IFERROR((AF39/AF$6)*100,0)</f>
        <v>0</v>
      </c>
      <c r="AG83" s="338">
        <f t="shared" si="161"/>
        <v>0</v>
      </c>
      <c r="AH83" s="338">
        <f t="shared" si="161"/>
        <v>0</v>
      </c>
      <c r="AI83" s="338">
        <f t="shared" si="161"/>
        <v>0</v>
      </c>
      <c r="AJ83" s="338">
        <f t="shared" si="161"/>
        <v>0</v>
      </c>
      <c r="AK83" s="338">
        <f t="shared" si="161"/>
        <v>0</v>
      </c>
      <c r="AL83" s="338">
        <f t="shared" si="161"/>
        <v>0</v>
      </c>
      <c r="AM83" s="338">
        <f t="shared" si="161"/>
        <v>0</v>
      </c>
    </row>
    <row r="84" spans="1:39" s="428" customFormat="1" ht="13.95" customHeight="1" outlineLevel="1">
      <c r="A84" s="426"/>
      <c r="B84" s="531" t="s">
        <v>223</v>
      </c>
      <c r="C84" s="338">
        <f t="shared" si="107"/>
        <v>0</v>
      </c>
      <c r="D84" s="338">
        <f t="shared" si="107"/>
        <v>0</v>
      </c>
      <c r="E84" s="338">
        <f t="shared" si="107"/>
        <v>0</v>
      </c>
      <c r="F84" s="500"/>
      <c r="G84" s="338">
        <f t="shared" ref="G84:AE84" si="162">+IFERROR((G40/G$6)*100,0)</f>
        <v>0</v>
      </c>
      <c r="H84" s="338">
        <f t="shared" si="162"/>
        <v>0</v>
      </c>
      <c r="I84" s="338">
        <f t="shared" si="162"/>
        <v>0</v>
      </c>
      <c r="J84" s="338">
        <f t="shared" si="162"/>
        <v>0</v>
      </c>
      <c r="K84" s="338">
        <f t="shared" si="162"/>
        <v>0</v>
      </c>
      <c r="L84" s="338">
        <f t="shared" si="162"/>
        <v>0</v>
      </c>
      <c r="M84" s="338">
        <f t="shared" si="162"/>
        <v>0</v>
      </c>
      <c r="N84" s="338">
        <f t="shared" si="162"/>
        <v>0</v>
      </c>
      <c r="O84" s="338">
        <f t="shared" si="162"/>
        <v>0</v>
      </c>
      <c r="P84" s="338">
        <f t="shared" si="162"/>
        <v>0</v>
      </c>
      <c r="Q84" s="338">
        <f t="shared" si="162"/>
        <v>0</v>
      </c>
      <c r="R84" s="338">
        <f t="shared" si="162"/>
        <v>0</v>
      </c>
      <c r="S84" s="338">
        <f t="shared" si="162"/>
        <v>0</v>
      </c>
      <c r="T84" s="338">
        <f t="shared" si="162"/>
        <v>0</v>
      </c>
      <c r="U84" s="338">
        <f t="shared" si="162"/>
        <v>0</v>
      </c>
      <c r="V84" s="338">
        <f t="shared" si="162"/>
        <v>0</v>
      </c>
      <c r="W84" s="338">
        <f t="shared" si="162"/>
        <v>0</v>
      </c>
      <c r="X84" s="338">
        <f t="shared" si="162"/>
        <v>0</v>
      </c>
      <c r="Y84" s="338">
        <f t="shared" si="162"/>
        <v>0</v>
      </c>
      <c r="Z84" s="338">
        <f t="shared" si="162"/>
        <v>0</v>
      </c>
      <c r="AA84" s="338">
        <f t="shared" si="162"/>
        <v>0</v>
      </c>
      <c r="AB84" s="338">
        <f t="shared" si="162"/>
        <v>0</v>
      </c>
      <c r="AC84" s="338">
        <f t="shared" si="162"/>
        <v>0</v>
      </c>
      <c r="AD84" s="338">
        <f t="shared" si="162"/>
        <v>0</v>
      </c>
      <c r="AE84" s="338">
        <f t="shared" si="162"/>
        <v>0</v>
      </c>
      <c r="AF84" s="338">
        <f t="shared" ref="AF84:AM84" si="163">+IFERROR((AF40/AF$6)*100,0)</f>
        <v>0</v>
      </c>
      <c r="AG84" s="338">
        <f t="shared" si="163"/>
        <v>0</v>
      </c>
      <c r="AH84" s="338">
        <f t="shared" si="163"/>
        <v>0</v>
      </c>
      <c r="AI84" s="338">
        <f t="shared" si="163"/>
        <v>0</v>
      </c>
      <c r="AJ84" s="338">
        <f t="shared" si="163"/>
        <v>0</v>
      </c>
      <c r="AK84" s="338">
        <f t="shared" si="163"/>
        <v>0</v>
      </c>
      <c r="AL84" s="338">
        <f t="shared" si="163"/>
        <v>0</v>
      </c>
      <c r="AM84" s="338">
        <f t="shared" si="163"/>
        <v>0</v>
      </c>
    </row>
    <row r="85" spans="1:39" s="428" customFormat="1" ht="13.95" customHeight="1" outlineLevel="1">
      <c r="A85" s="426"/>
      <c r="B85" s="531" t="s">
        <v>224</v>
      </c>
      <c r="C85" s="338">
        <f t="shared" si="107"/>
        <v>0</v>
      </c>
      <c r="D85" s="338">
        <f t="shared" si="107"/>
        <v>0</v>
      </c>
      <c r="E85" s="338">
        <f t="shared" si="107"/>
        <v>0</v>
      </c>
      <c r="F85" s="500"/>
      <c r="G85" s="338">
        <f t="shared" ref="G85:AE85" si="164">+IFERROR((G41/G$6)*100,0)</f>
        <v>0</v>
      </c>
      <c r="H85" s="338">
        <f t="shared" si="164"/>
        <v>0</v>
      </c>
      <c r="I85" s="338">
        <f t="shared" si="164"/>
        <v>0</v>
      </c>
      <c r="J85" s="338">
        <f t="shared" si="164"/>
        <v>0</v>
      </c>
      <c r="K85" s="338">
        <f t="shared" si="164"/>
        <v>0</v>
      </c>
      <c r="L85" s="338">
        <f t="shared" si="164"/>
        <v>0</v>
      </c>
      <c r="M85" s="338">
        <f t="shared" si="164"/>
        <v>0</v>
      </c>
      <c r="N85" s="338">
        <f t="shared" si="164"/>
        <v>0</v>
      </c>
      <c r="O85" s="338">
        <f t="shared" si="164"/>
        <v>0</v>
      </c>
      <c r="P85" s="338">
        <f t="shared" si="164"/>
        <v>0</v>
      </c>
      <c r="Q85" s="338">
        <f t="shared" si="164"/>
        <v>0</v>
      </c>
      <c r="R85" s="338">
        <f t="shared" si="164"/>
        <v>0</v>
      </c>
      <c r="S85" s="338">
        <f t="shared" si="164"/>
        <v>0</v>
      </c>
      <c r="T85" s="338">
        <f t="shared" si="164"/>
        <v>0</v>
      </c>
      <c r="U85" s="338">
        <f t="shared" si="164"/>
        <v>0</v>
      </c>
      <c r="V85" s="338">
        <f t="shared" si="164"/>
        <v>0</v>
      </c>
      <c r="W85" s="338">
        <f t="shared" si="164"/>
        <v>0</v>
      </c>
      <c r="X85" s="338">
        <f t="shared" si="164"/>
        <v>0</v>
      </c>
      <c r="Y85" s="338">
        <f t="shared" si="164"/>
        <v>0</v>
      </c>
      <c r="Z85" s="338">
        <f t="shared" si="164"/>
        <v>0</v>
      </c>
      <c r="AA85" s="338">
        <f t="shared" si="164"/>
        <v>0</v>
      </c>
      <c r="AB85" s="338">
        <f t="shared" si="164"/>
        <v>0</v>
      </c>
      <c r="AC85" s="338">
        <f t="shared" si="164"/>
        <v>0</v>
      </c>
      <c r="AD85" s="338">
        <f t="shared" si="164"/>
        <v>0</v>
      </c>
      <c r="AE85" s="338">
        <f t="shared" si="164"/>
        <v>0</v>
      </c>
      <c r="AF85" s="338">
        <f t="shared" ref="AF85:AM85" si="165">+IFERROR((AF41/AF$6)*100,0)</f>
        <v>0</v>
      </c>
      <c r="AG85" s="338">
        <f t="shared" si="165"/>
        <v>0</v>
      </c>
      <c r="AH85" s="338">
        <f t="shared" si="165"/>
        <v>0</v>
      </c>
      <c r="AI85" s="338">
        <f t="shared" si="165"/>
        <v>0</v>
      </c>
      <c r="AJ85" s="338">
        <f t="shared" si="165"/>
        <v>0</v>
      </c>
      <c r="AK85" s="338">
        <f t="shared" si="165"/>
        <v>0</v>
      </c>
      <c r="AL85" s="338">
        <f t="shared" si="165"/>
        <v>0</v>
      </c>
      <c r="AM85" s="338">
        <f t="shared" si="165"/>
        <v>0</v>
      </c>
    </row>
    <row r="86" spans="1:39" s="428" customFormat="1" ht="13.95" customHeight="1" outlineLevel="1">
      <c r="A86" s="426"/>
      <c r="B86" s="531" t="s">
        <v>225</v>
      </c>
      <c r="C86" s="338">
        <f t="shared" si="107"/>
        <v>0</v>
      </c>
      <c r="D86" s="338">
        <f t="shared" si="107"/>
        <v>0</v>
      </c>
      <c r="E86" s="338">
        <f t="shared" si="107"/>
        <v>0</v>
      </c>
      <c r="F86" s="500"/>
      <c r="G86" s="338">
        <f t="shared" ref="G86:AE86" si="166">+IFERROR((G42/G$6)*100,0)</f>
        <v>0</v>
      </c>
      <c r="H86" s="338">
        <f t="shared" si="166"/>
        <v>0</v>
      </c>
      <c r="I86" s="338">
        <f t="shared" si="166"/>
        <v>0</v>
      </c>
      <c r="J86" s="338">
        <f t="shared" si="166"/>
        <v>0</v>
      </c>
      <c r="K86" s="338">
        <f t="shared" si="166"/>
        <v>0</v>
      </c>
      <c r="L86" s="338">
        <f t="shared" si="166"/>
        <v>0</v>
      </c>
      <c r="M86" s="338">
        <f t="shared" si="166"/>
        <v>0</v>
      </c>
      <c r="N86" s="338">
        <f t="shared" si="166"/>
        <v>0</v>
      </c>
      <c r="O86" s="338">
        <f t="shared" si="166"/>
        <v>0</v>
      </c>
      <c r="P86" s="338">
        <f t="shared" si="166"/>
        <v>0</v>
      </c>
      <c r="Q86" s="338">
        <f t="shared" si="166"/>
        <v>0</v>
      </c>
      <c r="R86" s="338">
        <f t="shared" si="166"/>
        <v>0</v>
      </c>
      <c r="S86" s="338">
        <f t="shared" si="166"/>
        <v>0</v>
      </c>
      <c r="T86" s="338">
        <f t="shared" si="166"/>
        <v>0</v>
      </c>
      <c r="U86" s="338">
        <f t="shared" si="166"/>
        <v>0</v>
      </c>
      <c r="V86" s="338">
        <f t="shared" si="166"/>
        <v>0</v>
      </c>
      <c r="W86" s="338">
        <f t="shared" si="166"/>
        <v>0</v>
      </c>
      <c r="X86" s="338">
        <f t="shared" si="166"/>
        <v>0</v>
      </c>
      <c r="Y86" s="338">
        <f t="shared" si="166"/>
        <v>0</v>
      </c>
      <c r="Z86" s="338">
        <f t="shared" si="166"/>
        <v>0</v>
      </c>
      <c r="AA86" s="338">
        <f t="shared" si="166"/>
        <v>0</v>
      </c>
      <c r="AB86" s="338">
        <f t="shared" si="166"/>
        <v>0</v>
      </c>
      <c r="AC86" s="338">
        <f t="shared" si="166"/>
        <v>0</v>
      </c>
      <c r="AD86" s="338">
        <f t="shared" si="166"/>
        <v>0</v>
      </c>
      <c r="AE86" s="338">
        <f t="shared" si="166"/>
        <v>0</v>
      </c>
      <c r="AF86" s="338">
        <f t="shared" ref="AF86:AM86" si="167">+IFERROR((AF42/AF$6)*100,0)</f>
        <v>0</v>
      </c>
      <c r="AG86" s="338">
        <f t="shared" si="167"/>
        <v>0</v>
      </c>
      <c r="AH86" s="338">
        <f t="shared" si="167"/>
        <v>0</v>
      </c>
      <c r="AI86" s="338">
        <f t="shared" si="167"/>
        <v>0</v>
      </c>
      <c r="AJ86" s="338">
        <f t="shared" si="167"/>
        <v>0</v>
      </c>
      <c r="AK86" s="338">
        <f t="shared" si="167"/>
        <v>0</v>
      </c>
      <c r="AL86" s="338">
        <f t="shared" si="167"/>
        <v>0</v>
      </c>
      <c r="AM86" s="338">
        <f t="shared" si="167"/>
        <v>0</v>
      </c>
    </row>
    <row r="87" spans="1:39" ht="13.95" customHeight="1" thickBot="1">
      <c r="A87" s="311"/>
      <c r="B87" s="340" t="s">
        <v>4</v>
      </c>
      <c r="C87" s="503">
        <f t="shared" ref="C87:AE87" si="168">+IFERROR((C43/C$6)*100,0)</f>
        <v>0</v>
      </c>
      <c r="D87" s="503">
        <f t="shared" si="168"/>
        <v>0</v>
      </c>
      <c r="E87" s="503">
        <f t="shared" si="168"/>
        <v>0</v>
      </c>
      <c r="F87" s="500"/>
      <c r="G87" s="503">
        <f t="shared" si="168"/>
        <v>0</v>
      </c>
      <c r="H87" s="503">
        <f t="shared" si="168"/>
        <v>0</v>
      </c>
      <c r="I87" s="503">
        <f t="shared" si="168"/>
        <v>0</v>
      </c>
      <c r="J87" s="503">
        <f t="shared" si="168"/>
        <v>0</v>
      </c>
      <c r="K87" s="503">
        <f t="shared" si="168"/>
        <v>0</v>
      </c>
      <c r="L87" s="503">
        <f t="shared" si="168"/>
        <v>0</v>
      </c>
      <c r="M87" s="503">
        <f t="shared" si="168"/>
        <v>0</v>
      </c>
      <c r="N87" s="503">
        <f t="shared" si="168"/>
        <v>0</v>
      </c>
      <c r="O87" s="503">
        <f t="shared" si="168"/>
        <v>0</v>
      </c>
      <c r="P87" s="503">
        <f t="shared" si="168"/>
        <v>0</v>
      </c>
      <c r="Q87" s="503">
        <f t="shared" si="168"/>
        <v>0</v>
      </c>
      <c r="R87" s="503">
        <f t="shared" si="168"/>
        <v>0</v>
      </c>
      <c r="S87" s="503">
        <f t="shared" si="168"/>
        <v>0</v>
      </c>
      <c r="T87" s="503">
        <f t="shared" si="168"/>
        <v>0</v>
      </c>
      <c r="U87" s="503">
        <f t="shared" si="168"/>
        <v>0</v>
      </c>
      <c r="V87" s="503">
        <f t="shared" si="168"/>
        <v>0</v>
      </c>
      <c r="W87" s="503">
        <f t="shared" si="168"/>
        <v>0</v>
      </c>
      <c r="X87" s="503">
        <f t="shared" si="168"/>
        <v>0</v>
      </c>
      <c r="Y87" s="503">
        <f t="shared" si="168"/>
        <v>0</v>
      </c>
      <c r="Z87" s="503">
        <f t="shared" si="168"/>
        <v>0</v>
      </c>
      <c r="AA87" s="503">
        <f t="shared" si="168"/>
        <v>0</v>
      </c>
      <c r="AB87" s="503">
        <f t="shared" si="168"/>
        <v>0</v>
      </c>
      <c r="AC87" s="503">
        <f t="shared" si="168"/>
        <v>0</v>
      </c>
      <c r="AD87" s="503">
        <f t="shared" si="168"/>
        <v>0</v>
      </c>
      <c r="AE87" s="503">
        <f t="shared" si="168"/>
        <v>0</v>
      </c>
      <c r="AF87" s="503">
        <f t="shared" ref="AF87:AM87" si="169">+IFERROR((AF43/AF$6)*100,0)</f>
        <v>0</v>
      </c>
      <c r="AG87" s="503">
        <f t="shared" si="169"/>
        <v>0</v>
      </c>
      <c r="AH87" s="503">
        <f t="shared" si="169"/>
        <v>0</v>
      </c>
      <c r="AI87" s="503">
        <f t="shared" si="169"/>
        <v>0</v>
      </c>
      <c r="AJ87" s="503">
        <f t="shared" si="169"/>
        <v>0</v>
      </c>
      <c r="AK87" s="503">
        <f t="shared" si="169"/>
        <v>0</v>
      </c>
      <c r="AL87" s="503">
        <f t="shared" si="169"/>
        <v>0</v>
      </c>
      <c r="AM87" s="503">
        <f t="shared" si="169"/>
        <v>0</v>
      </c>
    </row>
    <row r="88" spans="1:39" ht="13.95" customHeight="1">
      <c r="B88" s="93" t="s">
        <v>64</v>
      </c>
      <c r="F88" s="334"/>
    </row>
    <row r="89" spans="1:39" ht="13.95" customHeight="1">
      <c r="F89" s="334"/>
    </row>
    <row r="90" spans="1:39" ht="13.95" customHeight="1">
      <c r="F90" s="334"/>
    </row>
    <row r="91" spans="1:39" ht="13.95" customHeight="1">
      <c r="F91" s="334"/>
    </row>
    <row r="92" spans="1:39" ht="13.95" customHeight="1">
      <c r="F92" s="334"/>
    </row>
    <row r="93" spans="1:39" ht="13.95" customHeight="1">
      <c r="F93" s="334"/>
    </row>
    <row r="94" spans="1:39" ht="13.95" customHeight="1">
      <c r="F94" s="334"/>
    </row>
    <row r="95" spans="1:39" ht="13.95" customHeight="1">
      <c r="F95" s="334"/>
    </row>
    <row r="96" spans="1:39" ht="13.95" customHeight="1">
      <c r="F96" s="334"/>
    </row>
    <row r="97" spans="6:6" ht="13.95" customHeight="1">
      <c r="F97" s="334"/>
    </row>
    <row r="98" spans="6:6" ht="13.95" customHeight="1">
      <c r="F98" s="334"/>
    </row>
    <row r="99" spans="6:6" ht="13.95" customHeight="1">
      <c r="F99" s="334"/>
    </row>
    <row r="100" spans="6:6" ht="13.95" customHeight="1">
      <c r="F100" s="334"/>
    </row>
  </sheetData>
  <pageMargins left="0.55118110236220497" right="0.55118110236220497" top="0.39370078740157499" bottom="0.55118110236220497" header="0.31496062992126" footer="0.31496062992126"/>
  <pageSetup scale="46" fitToHeight="0" orientation="landscape" r:id="rId1"/>
  <headerFooter scaleWithDoc="0" alignWithMargins="0">
    <oddHeader>&amp;R&amp;11DRAFT</oddHeader>
    <oddFooter xml:space="preserve">&amp;LPage &amp;P    </oddFooter>
  </headerFooter>
</worksheet>
</file>

<file path=xl/worksheets/sheet10.xml><?xml version="1.0" encoding="utf-8"?>
<worksheet xmlns="http://schemas.openxmlformats.org/spreadsheetml/2006/main" xmlns:r="http://schemas.openxmlformats.org/officeDocument/2006/relationships">
  <sheetPr codeName="Sheet22">
    <pageSetUpPr autoPageBreaks="0" fitToPage="1"/>
  </sheetPr>
  <dimension ref="A1:AM100"/>
  <sheetViews>
    <sheetView showGridLines="0" view="pageBreakPreview" zoomScaleNormal="100" zoomScaleSheetLayoutView="100" workbookViewId="0">
      <pane xSplit="5" ySplit="5" topLeftCell="Y6" activePane="bottomRight" state="frozen"/>
      <selection activeCell="L18" sqref="L18"/>
      <selection pane="topRight" activeCell="L18" sqref="L18"/>
      <selection pane="bottomLeft" activeCell="L18" sqref="L18"/>
      <selection pane="bottomRight" activeCell="AO10" sqref="AO10"/>
    </sheetView>
  </sheetViews>
  <sheetFormatPr defaultColWidth="2.59765625" defaultRowHeight="13.95" customHeight="1" outlineLevelRow="1" outlineLevelCol="1"/>
  <cols>
    <col min="1" max="1" width="17.59765625" style="212" customWidth="1" outlineLevel="1"/>
    <col min="2" max="2" width="25.09765625" style="217" customWidth="1"/>
    <col min="3" max="5" width="5.69921875" style="215" customWidth="1"/>
    <col min="6" max="6" width="1.59765625" style="215" customWidth="1"/>
    <col min="7" max="30" width="5.59765625" style="215" customWidth="1" outlineLevel="1"/>
    <col min="31" max="39" width="5.59765625" style="215" customWidth="1"/>
    <col min="40" max="16384" width="2.59765625" style="215"/>
  </cols>
  <sheetData>
    <row r="1" spans="1:39" ht="13.95" customHeight="1">
      <c r="A1" s="311"/>
      <c r="B1" s="83" t="str">
        <f>Project&amp;" - "&amp;City&amp;", "&amp;State</f>
        <v>OPEN - OPEN, OPEN</v>
      </c>
      <c r="C1" s="213"/>
      <c r="D1" s="213"/>
      <c r="E1" s="213"/>
      <c r="F1" s="213"/>
      <c r="G1" s="213"/>
      <c r="H1" s="213"/>
      <c r="I1" s="213"/>
      <c r="J1" s="213"/>
      <c r="K1" s="213"/>
      <c r="L1" s="213"/>
      <c r="M1" s="213"/>
      <c r="N1" s="213"/>
    </row>
    <row r="2" spans="1:39" s="213" customFormat="1" ht="13.95" customHeight="1">
      <c r="A2" s="311"/>
      <c r="B2" s="432" t="str">
        <f ca="1">MID(CELL("filename",B1),FIND("]",CELL("filename",B1))+1,255)</f>
        <v>Recast Mgmt. Adjusted</v>
      </c>
    </row>
    <row r="3" spans="1:39" s="216" customFormat="1" ht="13.95" customHeight="1">
      <c r="A3" s="311"/>
      <c r="B3" s="49"/>
    </row>
    <row r="4" spans="1:39" s="220" customFormat="1" ht="13.95" customHeight="1">
      <c r="A4" s="310" t="s">
        <v>99</v>
      </c>
      <c r="B4" s="82" t="s">
        <v>69</v>
      </c>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row>
    <row r="5" spans="1:39" s="260" customFormat="1" ht="13.5" customHeight="1" thickBot="1">
      <c r="A5" s="389"/>
      <c r="B5" s="261" t="s">
        <v>7</v>
      </c>
      <c r="C5" s="297">
        <f>First_Reporting_Year</f>
        <v>44926</v>
      </c>
      <c r="D5" s="297">
        <f>Second_Reporting_Year</f>
        <v>45291</v>
      </c>
      <c r="E5" s="296">
        <f>Stub_Period</f>
        <v>45565</v>
      </c>
      <c r="F5" s="259"/>
      <c r="G5" s="249">
        <f>EOMONTH(C5,-11)</f>
        <v>44592</v>
      </c>
      <c r="H5" s="249">
        <f t="shared" ref="H5:AE5" si="0">EOMONTH(G5,1)</f>
        <v>44620</v>
      </c>
      <c r="I5" s="249">
        <f t="shared" si="0"/>
        <v>44651</v>
      </c>
      <c r="J5" s="249">
        <f t="shared" si="0"/>
        <v>44681</v>
      </c>
      <c r="K5" s="249">
        <f t="shared" si="0"/>
        <v>44712</v>
      </c>
      <c r="L5" s="249">
        <f t="shared" si="0"/>
        <v>44742</v>
      </c>
      <c r="M5" s="249">
        <f t="shared" si="0"/>
        <v>44773</v>
      </c>
      <c r="N5" s="249">
        <f t="shared" si="0"/>
        <v>44804</v>
      </c>
      <c r="O5" s="249">
        <f t="shared" si="0"/>
        <v>44834</v>
      </c>
      <c r="P5" s="249">
        <f t="shared" si="0"/>
        <v>44865</v>
      </c>
      <c r="Q5" s="249">
        <f t="shared" si="0"/>
        <v>44895</v>
      </c>
      <c r="R5" s="249">
        <f t="shared" si="0"/>
        <v>44926</v>
      </c>
      <c r="S5" s="249">
        <f t="shared" si="0"/>
        <v>44957</v>
      </c>
      <c r="T5" s="249">
        <f t="shared" si="0"/>
        <v>44985</v>
      </c>
      <c r="U5" s="249">
        <f t="shared" si="0"/>
        <v>45016</v>
      </c>
      <c r="V5" s="249">
        <f t="shared" si="0"/>
        <v>45046</v>
      </c>
      <c r="W5" s="249">
        <f t="shared" si="0"/>
        <v>45077</v>
      </c>
      <c r="X5" s="249">
        <f t="shared" si="0"/>
        <v>45107</v>
      </c>
      <c r="Y5" s="249">
        <f t="shared" si="0"/>
        <v>45138</v>
      </c>
      <c r="Z5" s="249">
        <f t="shared" si="0"/>
        <v>45169</v>
      </c>
      <c r="AA5" s="249">
        <f t="shared" si="0"/>
        <v>45199</v>
      </c>
      <c r="AB5" s="249">
        <f t="shared" si="0"/>
        <v>45230</v>
      </c>
      <c r="AC5" s="249">
        <f t="shared" si="0"/>
        <v>45260</v>
      </c>
      <c r="AD5" s="249">
        <f t="shared" si="0"/>
        <v>45291</v>
      </c>
      <c r="AE5" s="249">
        <f t="shared" si="0"/>
        <v>45322</v>
      </c>
      <c r="AF5" s="249">
        <f t="shared" ref="AF5" si="1">EOMONTH(AE5,1)</f>
        <v>45351</v>
      </c>
      <c r="AG5" s="249">
        <f t="shared" ref="AG5" si="2">EOMONTH(AF5,1)</f>
        <v>45382</v>
      </c>
      <c r="AH5" s="249">
        <f t="shared" ref="AH5" si="3">EOMONTH(AG5,1)</f>
        <v>45412</v>
      </c>
      <c r="AI5" s="249">
        <f t="shared" ref="AI5" si="4">EOMONTH(AH5,1)</f>
        <v>45443</v>
      </c>
      <c r="AJ5" s="249">
        <f t="shared" ref="AJ5" si="5">EOMONTH(AI5,1)</f>
        <v>45473</v>
      </c>
      <c r="AK5" s="249">
        <f t="shared" ref="AK5" si="6">EOMONTH(AJ5,1)</f>
        <v>45504</v>
      </c>
      <c r="AL5" s="249">
        <f t="shared" ref="AL5" si="7">EOMONTH(AK5,1)</f>
        <v>45535</v>
      </c>
      <c r="AM5" s="249">
        <f t="shared" ref="AM5" si="8">EOMONTH(AL5,1)</f>
        <v>45565</v>
      </c>
    </row>
    <row r="6" spans="1:39" s="262" customFormat="1" ht="13.95" customHeight="1">
      <c r="A6" s="311"/>
      <c r="B6" s="302" t="s">
        <v>12</v>
      </c>
      <c r="C6" s="304">
        <f>SUMIFS($G6:$BC6,$G$5:$BC$5,"&lt;="&amp;EOMONTH(C$5,0),$G$6:$BC$6,"&lt;="&amp;C$5)</f>
        <v>0</v>
      </c>
      <c r="D6" s="304">
        <f t="shared" ref="D6:E9" si="9">SUMIFS($G6:$AT6,$G$5:$AT$5,"&gt;"&amp;EOMONTH(D$5,-12),$G$5:$AT$5,"&lt;="&amp;D$5)</f>
        <v>0</v>
      </c>
      <c r="E6" s="304">
        <f t="shared" si="9"/>
        <v>0</v>
      </c>
      <c r="F6" s="342"/>
      <c r="G6" s="342">
        <f>'Recast Reported'!G6+SUMIFS('QE Detail - MGMT.'!H:H,'QE Detail - MGMT.'!$B:$B,'Recast Mgmt. Adjusted'!$B6)</f>
        <v>0</v>
      </c>
      <c r="H6" s="342">
        <f>'Recast Reported'!H6+SUMIFS('QE Detail - MGMT.'!I:I,'QE Detail - MGMT.'!$B:$B,'Recast Mgmt. Adjusted'!$B6)</f>
        <v>0</v>
      </c>
      <c r="I6" s="342">
        <f>'Recast Reported'!I6+SUMIFS('QE Detail - MGMT.'!J:J,'QE Detail - MGMT.'!$B:$B,'Recast Mgmt. Adjusted'!$B6)</f>
        <v>0</v>
      </c>
      <c r="J6" s="342">
        <f>'Recast Reported'!J6+SUMIFS('QE Detail - MGMT.'!K:K,'QE Detail - MGMT.'!$B:$B,'Recast Mgmt. Adjusted'!$B6)</f>
        <v>0</v>
      </c>
      <c r="K6" s="342">
        <f>'Recast Reported'!K6+SUMIFS('QE Detail - MGMT.'!L:L,'QE Detail - MGMT.'!$B:$B,'Recast Mgmt. Adjusted'!$B6)</f>
        <v>0</v>
      </c>
      <c r="L6" s="342">
        <f>'Recast Reported'!L6+SUMIFS('QE Detail - MGMT.'!M:M,'QE Detail - MGMT.'!$B:$B,'Recast Mgmt. Adjusted'!$B6)</f>
        <v>0</v>
      </c>
      <c r="M6" s="342">
        <f>'Recast Reported'!M6+SUMIFS('QE Detail - MGMT.'!N:N,'QE Detail - MGMT.'!$B:$B,'Recast Mgmt. Adjusted'!$B6)</f>
        <v>0</v>
      </c>
      <c r="N6" s="342">
        <f>'Recast Reported'!N6+SUMIFS('QE Detail - MGMT.'!O:O,'QE Detail - MGMT.'!$B:$B,'Recast Mgmt. Adjusted'!$B6)</f>
        <v>0</v>
      </c>
      <c r="O6" s="342">
        <f>'Recast Reported'!O6+SUMIFS('QE Detail - MGMT.'!P:P,'QE Detail - MGMT.'!$B:$B,'Recast Mgmt. Adjusted'!$B6)</f>
        <v>0</v>
      </c>
      <c r="P6" s="342">
        <f>'Recast Reported'!P6+SUMIFS('QE Detail - MGMT.'!Q:Q,'QE Detail - MGMT.'!$B:$B,'Recast Mgmt. Adjusted'!$B6)</f>
        <v>0</v>
      </c>
      <c r="Q6" s="342">
        <f>'Recast Reported'!Q6+SUMIFS('QE Detail - MGMT.'!R:R,'QE Detail - MGMT.'!$B:$B,'Recast Mgmt. Adjusted'!$B6)</f>
        <v>0</v>
      </c>
      <c r="R6" s="342">
        <f>'Recast Reported'!R6+SUMIFS('QE Detail - MGMT.'!S:S,'QE Detail - MGMT.'!$B:$B,'Recast Mgmt. Adjusted'!$B6)</f>
        <v>0</v>
      </c>
      <c r="S6" s="342">
        <f>'Recast Reported'!S6+SUMIFS('QE Detail - MGMT.'!T:T,'QE Detail - MGMT.'!$B:$B,'Recast Mgmt. Adjusted'!$B6)</f>
        <v>0</v>
      </c>
      <c r="T6" s="342">
        <f>'Recast Reported'!T6+SUMIFS('QE Detail - MGMT.'!U:U,'QE Detail - MGMT.'!$B:$B,'Recast Mgmt. Adjusted'!$B6)</f>
        <v>0</v>
      </c>
      <c r="U6" s="342">
        <f>'Recast Reported'!U6+SUMIFS('QE Detail - MGMT.'!V:V,'QE Detail - MGMT.'!$B:$B,'Recast Mgmt. Adjusted'!$B6)</f>
        <v>0</v>
      </c>
      <c r="V6" s="342">
        <f>'Recast Reported'!V6+SUMIFS('QE Detail - MGMT.'!W:W,'QE Detail - MGMT.'!$B:$B,'Recast Mgmt. Adjusted'!$B6)</f>
        <v>0</v>
      </c>
      <c r="W6" s="342">
        <f>'Recast Reported'!W6+SUMIFS('QE Detail - MGMT.'!X:X,'QE Detail - MGMT.'!$B:$B,'Recast Mgmt. Adjusted'!$B6)</f>
        <v>0</v>
      </c>
      <c r="X6" s="342">
        <f>'Recast Reported'!X6+SUMIFS('QE Detail - MGMT.'!Y:Y,'QE Detail - MGMT.'!$B:$B,'Recast Mgmt. Adjusted'!$B6)</f>
        <v>0</v>
      </c>
      <c r="Y6" s="342">
        <f>'Recast Reported'!Y6+SUMIFS('QE Detail - MGMT.'!Z:Z,'QE Detail - MGMT.'!$B:$B,'Recast Mgmt. Adjusted'!$B6)</f>
        <v>0</v>
      </c>
      <c r="Z6" s="342">
        <f>'Recast Reported'!Z6+SUMIFS('QE Detail - MGMT.'!AA:AA,'QE Detail - MGMT.'!$B:$B,'Recast Mgmt. Adjusted'!$B6)</f>
        <v>0</v>
      </c>
      <c r="AA6" s="342">
        <f>'Recast Reported'!AA6+SUMIFS('QE Detail - MGMT.'!AB:AB,'QE Detail - MGMT.'!$B:$B,'Recast Mgmt. Adjusted'!$B6)</f>
        <v>0</v>
      </c>
      <c r="AB6" s="342">
        <f>'Recast Reported'!AB6+SUMIFS('QE Detail - MGMT.'!AC:AC,'QE Detail - MGMT.'!$B:$B,'Recast Mgmt. Adjusted'!$B6)</f>
        <v>0</v>
      </c>
      <c r="AC6" s="342">
        <f>'Recast Reported'!AC6+SUMIFS('QE Detail - MGMT.'!AD:AD,'QE Detail - MGMT.'!$B:$B,'Recast Mgmt. Adjusted'!$B6)</f>
        <v>0</v>
      </c>
      <c r="AD6" s="342">
        <f>'Recast Reported'!AD6+SUMIFS('QE Detail - MGMT.'!AE:AE,'QE Detail - MGMT.'!$B:$B,'Recast Mgmt. Adjusted'!$B6)</f>
        <v>0</v>
      </c>
      <c r="AE6" s="342">
        <f>'Recast Reported'!AE6+SUMIFS('QE Detail - MGMT.'!AF:AF,'QE Detail - MGMT.'!$B:$B,'Recast Mgmt. Adjusted'!$B6)</f>
        <v>0</v>
      </c>
      <c r="AF6" s="342">
        <f>'Recast Reported'!AF6+SUMIFS('QE Detail - MGMT.'!AG:AG,'QE Detail - MGMT.'!$B:$B,'Recast Mgmt. Adjusted'!$B6)</f>
        <v>0</v>
      </c>
      <c r="AG6" s="342">
        <f>'Recast Reported'!AG6+SUMIFS('QE Detail - MGMT.'!AH:AH,'QE Detail - MGMT.'!$B:$B,'Recast Mgmt. Adjusted'!$B6)</f>
        <v>0</v>
      </c>
      <c r="AH6" s="342">
        <f>'Recast Reported'!AH6+SUMIFS('QE Detail - MGMT.'!AI:AI,'QE Detail - MGMT.'!$B:$B,'Recast Mgmt. Adjusted'!$B6)</f>
        <v>0</v>
      </c>
      <c r="AI6" s="342">
        <f>'Recast Reported'!AI6+SUMIFS('QE Detail - MGMT.'!AJ:AJ,'QE Detail - MGMT.'!$B:$B,'Recast Mgmt. Adjusted'!$B6)</f>
        <v>0</v>
      </c>
      <c r="AJ6" s="342">
        <f>'Recast Reported'!AJ6+SUMIFS('QE Detail - MGMT.'!AK:AK,'QE Detail - MGMT.'!$B:$B,'Recast Mgmt. Adjusted'!$B6)</f>
        <v>0</v>
      </c>
      <c r="AK6" s="342">
        <f>'Recast Reported'!AK6+SUMIFS('QE Detail - MGMT.'!AL:AL,'QE Detail - MGMT.'!$B:$B,'Recast Mgmt. Adjusted'!$B6)</f>
        <v>0</v>
      </c>
      <c r="AL6" s="342">
        <f>'Recast Reported'!AL6+SUMIFS('QE Detail - MGMT.'!AM:AM,'QE Detail - MGMT.'!$B:$B,'Recast Mgmt. Adjusted'!$B6)</f>
        <v>0</v>
      </c>
      <c r="AM6" s="342">
        <f>'Recast Reported'!AM6+SUMIFS('QE Detail - MGMT.'!AN:AN,'QE Detail - MGMT.'!$B:$B,'Recast Mgmt. Adjusted'!$B6)</f>
        <v>0</v>
      </c>
    </row>
    <row r="7" spans="1:39" s="262" customFormat="1" ht="13.95" customHeight="1">
      <c r="A7" s="311" t="s">
        <v>168</v>
      </c>
      <c r="B7" s="223" t="s">
        <v>168</v>
      </c>
      <c r="C7" s="323">
        <f>SUMIFS($G7:$BC7,$G$5:$BC$5,"&lt;="&amp;EOMONTH(C$5,0),$G$6:$BC$6,"&lt;="&amp;C$5)</f>
        <v>0</v>
      </c>
      <c r="D7" s="323">
        <f t="shared" si="9"/>
        <v>0</v>
      </c>
      <c r="E7" s="323">
        <f t="shared" si="9"/>
        <v>0</v>
      </c>
      <c r="F7" s="334"/>
      <c r="G7" s="335">
        <f>'Recast Reported'!G7-SUMIFS('QE Detail - MGMT.'!H:H,'QE Detail - MGMT.'!$B:$B,'Recast Mgmt. Adjusted'!$B7)</f>
        <v>0</v>
      </c>
      <c r="H7" s="335">
        <f>'Recast Reported'!H7-SUMIFS('QE Detail - MGMT.'!I:I,'QE Detail - MGMT.'!$B:$B,'Recast Mgmt. Adjusted'!$B7)</f>
        <v>0</v>
      </c>
      <c r="I7" s="335">
        <f>'Recast Reported'!I7-SUMIFS('QE Detail - MGMT.'!J:J,'QE Detail - MGMT.'!$B:$B,'Recast Mgmt. Adjusted'!$B7)</f>
        <v>0</v>
      </c>
      <c r="J7" s="335">
        <f>'Recast Reported'!J7-SUMIFS('QE Detail - MGMT.'!K:K,'QE Detail - MGMT.'!$B:$B,'Recast Mgmt. Adjusted'!$B7)</f>
        <v>0</v>
      </c>
      <c r="K7" s="335">
        <f>'Recast Reported'!K7-SUMIFS('QE Detail - MGMT.'!L:L,'QE Detail - MGMT.'!$B:$B,'Recast Mgmt. Adjusted'!$B7)</f>
        <v>0</v>
      </c>
      <c r="L7" s="335">
        <f>'Recast Reported'!L7-SUMIFS('QE Detail - MGMT.'!M:M,'QE Detail - MGMT.'!$B:$B,'Recast Mgmt. Adjusted'!$B7)</f>
        <v>0</v>
      </c>
      <c r="M7" s="335">
        <f>'Recast Reported'!M7-SUMIFS('QE Detail - MGMT.'!N:N,'QE Detail - MGMT.'!$B:$B,'Recast Mgmt. Adjusted'!$B7)</f>
        <v>0</v>
      </c>
      <c r="N7" s="335">
        <f>'Recast Reported'!N7-SUMIFS('QE Detail - MGMT.'!O:O,'QE Detail - MGMT.'!$B:$B,'Recast Mgmt. Adjusted'!$B7)</f>
        <v>0</v>
      </c>
      <c r="O7" s="335">
        <f>'Recast Reported'!O7-SUMIFS('QE Detail - MGMT.'!P:P,'QE Detail - MGMT.'!$B:$B,'Recast Mgmt. Adjusted'!$B7)</f>
        <v>0</v>
      </c>
      <c r="P7" s="335">
        <f>'Recast Reported'!P7-SUMIFS('QE Detail - MGMT.'!Q:Q,'QE Detail - MGMT.'!$B:$B,'Recast Mgmt. Adjusted'!$B7)</f>
        <v>0</v>
      </c>
      <c r="Q7" s="335">
        <f>'Recast Reported'!Q7-SUMIFS('QE Detail - MGMT.'!R:R,'QE Detail - MGMT.'!$B:$B,'Recast Mgmt. Adjusted'!$B7)</f>
        <v>0</v>
      </c>
      <c r="R7" s="335">
        <f>'Recast Reported'!R7-SUMIFS('QE Detail - MGMT.'!S:S,'QE Detail - MGMT.'!$B:$B,'Recast Mgmt. Adjusted'!$B7)</f>
        <v>0</v>
      </c>
      <c r="S7" s="335">
        <f>'Recast Reported'!S7-SUMIFS('QE Detail - MGMT.'!T:T,'QE Detail - MGMT.'!$B:$B,'Recast Mgmt. Adjusted'!$B7)</f>
        <v>0</v>
      </c>
      <c r="T7" s="335">
        <f>'Recast Reported'!T7-SUMIFS('QE Detail - MGMT.'!U:U,'QE Detail - MGMT.'!$B:$B,'Recast Mgmt. Adjusted'!$B7)</f>
        <v>0</v>
      </c>
      <c r="U7" s="335">
        <f>'Recast Reported'!U7-SUMIFS('QE Detail - MGMT.'!V:V,'QE Detail - MGMT.'!$B:$B,'Recast Mgmt. Adjusted'!$B7)</f>
        <v>0</v>
      </c>
      <c r="V7" s="335">
        <f>'Recast Reported'!V7-SUMIFS('QE Detail - MGMT.'!W:W,'QE Detail - MGMT.'!$B:$B,'Recast Mgmt. Adjusted'!$B7)</f>
        <v>0</v>
      </c>
      <c r="W7" s="335">
        <f>'Recast Reported'!W7-SUMIFS('QE Detail - MGMT.'!X:X,'QE Detail - MGMT.'!$B:$B,'Recast Mgmt. Adjusted'!$B7)</f>
        <v>0</v>
      </c>
      <c r="X7" s="335">
        <f>'Recast Reported'!X7-SUMIFS('QE Detail - MGMT.'!Y:Y,'QE Detail - MGMT.'!$B:$B,'Recast Mgmt. Adjusted'!$B7)</f>
        <v>0</v>
      </c>
      <c r="Y7" s="335">
        <f>'Recast Reported'!Y7-SUMIFS('QE Detail - MGMT.'!Z:Z,'QE Detail - MGMT.'!$B:$B,'Recast Mgmt. Adjusted'!$B7)</f>
        <v>0</v>
      </c>
      <c r="Z7" s="335">
        <f>'Recast Reported'!Z7-SUMIFS('QE Detail - MGMT.'!AA:AA,'QE Detail - MGMT.'!$B:$B,'Recast Mgmt. Adjusted'!$B7)</f>
        <v>0</v>
      </c>
      <c r="AA7" s="335">
        <f>'Recast Reported'!AA7-SUMIFS('QE Detail - MGMT.'!AB:AB,'QE Detail - MGMT.'!$B:$B,'Recast Mgmt. Adjusted'!$B7)</f>
        <v>0</v>
      </c>
      <c r="AB7" s="335">
        <f>'Recast Reported'!AB7-SUMIFS('QE Detail - MGMT.'!AC:AC,'QE Detail - MGMT.'!$B:$B,'Recast Mgmt. Adjusted'!$B7)</f>
        <v>0</v>
      </c>
      <c r="AC7" s="335">
        <f>'Recast Reported'!AC7-SUMIFS('QE Detail - MGMT.'!AD:AD,'QE Detail - MGMT.'!$B:$B,'Recast Mgmt. Adjusted'!$B7)</f>
        <v>0</v>
      </c>
      <c r="AD7" s="335">
        <f>'Recast Reported'!AD7-SUMIFS('QE Detail - MGMT.'!AE:AE,'QE Detail - MGMT.'!$B:$B,'Recast Mgmt. Adjusted'!$B7)</f>
        <v>0</v>
      </c>
      <c r="AE7" s="335">
        <f>'Recast Reported'!AE7-SUMIFS('QE Detail - MGMT.'!AF:AF,'QE Detail - MGMT.'!$B:$B,'Recast Mgmt. Adjusted'!$B7)</f>
        <v>0</v>
      </c>
      <c r="AF7" s="335">
        <f>'Recast Reported'!AF7-SUMIFS('QE Detail - MGMT.'!AG:AG,'QE Detail - MGMT.'!$B:$B,'Recast Mgmt. Adjusted'!$B7)</f>
        <v>0</v>
      </c>
      <c r="AG7" s="335">
        <f>'Recast Reported'!AG7-SUMIFS('QE Detail - MGMT.'!AH:AH,'QE Detail - MGMT.'!$B:$B,'Recast Mgmt. Adjusted'!$B7)</f>
        <v>0</v>
      </c>
      <c r="AH7" s="335">
        <f>'Recast Reported'!AH7-SUMIFS('QE Detail - MGMT.'!AI:AI,'QE Detail - MGMT.'!$B:$B,'Recast Mgmt. Adjusted'!$B7)</f>
        <v>0</v>
      </c>
      <c r="AI7" s="335">
        <f>'Recast Reported'!AI7-SUMIFS('QE Detail - MGMT.'!AJ:AJ,'QE Detail - MGMT.'!$B:$B,'Recast Mgmt. Adjusted'!$B7)</f>
        <v>0</v>
      </c>
      <c r="AJ7" s="335">
        <f>'Recast Reported'!AJ7-SUMIFS('QE Detail - MGMT.'!AK:AK,'QE Detail - MGMT.'!$B:$B,'Recast Mgmt. Adjusted'!$B7)</f>
        <v>0</v>
      </c>
      <c r="AK7" s="335">
        <f>'Recast Reported'!AK7-SUMIFS('QE Detail - MGMT.'!AL:AL,'QE Detail - MGMT.'!$B:$B,'Recast Mgmt. Adjusted'!$B7)</f>
        <v>0</v>
      </c>
      <c r="AL7" s="335">
        <f>'Recast Reported'!AL7-SUMIFS('QE Detail - MGMT.'!AM:AM,'QE Detail - MGMT.'!$B:$B,'Recast Mgmt. Adjusted'!$B7)</f>
        <v>0</v>
      </c>
      <c r="AM7" s="335">
        <f>'Recast Reported'!AM7-SUMIFS('QE Detail - MGMT.'!AN:AN,'QE Detail - MGMT.'!$B:$B,'Recast Mgmt. Adjusted'!$B7)</f>
        <v>0</v>
      </c>
    </row>
    <row r="8" spans="1:39" s="262" customFormat="1" ht="13.95" customHeight="1">
      <c r="A8" s="311" t="s">
        <v>169</v>
      </c>
      <c r="B8" s="223" t="s">
        <v>169</v>
      </c>
      <c r="C8" s="323">
        <f>SUMIFS($G8:$BC8,$G$5:$BC$5,"&lt;="&amp;EOMONTH(C$5,0),$G$6:$BC$6,"&lt;="&amp;C$5)</f>
        <v>0</v>
      </c>
      <c r="D8" s="323">
        <f t="shared" si="9"/>
        <v>0</v>
      </c>
      <c r="E8" s="323">
        <f t="shared" si="9"/>
        <v>0</v>
      </c>
      <c r="F8" s="335"/>
      <c r="G8" s="335">
        <f>'Recast Reported'!G8-SUMIFS('QE Detail - MGMT.'!H:H,'QE Detail - MGMT.'!$B:$B,'Recast Mgmt. Adjusted'!$B8)</f>
        <v>0</v>
      </c>
      <c r="H8" s="335">
        <f>'Recast Reported'!H8-SUMIFS('QE Detail - MGMT.'!I:I,'QE Detail - MGMT.'!$B:$B,'Recast Mgmt. Adjusted'!$B8)</f>
        <v>0</v>
      </c>
      <c r="I8" s="335">
        <f>'Recast Reported'!I8-SUMIFS('QE Detail - MGMT.'!J:J,'QE Detail - MGMT.'!$B:$B,'Recast Mgmt. Adjusted'!$B8)</f>
        <v>0</v>
      </c>
      <c r="J8" s="335">
        <f>'Recast Reported'!J8-SUMIFS('QE Detail - MGMT.'!K:K,'QE Detail - MGMT.'!$B:$B,'Recast Mgmt. Adjusted'!$B8)</f>
        <v>0</v>
      </c>
      <c r="K8" s="335">
        <f>'Recast Reported'!K8-SUMIFS('QE Detail - MGMT.'!L:L,'QE Detail - MGMT.'!$B:$B,'Recast Mgmt. Adjusted'!$B8)</f>
        <v>0</v>
      </c>
      <c r="L8" s="335">
        <f>'Recast Reported'!L8-SUMIFS('QE Detail - MGMT.'!M:M,'QE Detail - MGMT.'!$B:$B,'Recast Mgmt. Adjusted'!$B8)</f>
        <v>0</v>
      </c>
      <c r="M8" s="335">
        <f>'Recast Reported'!M8-SUMIFS('QE Detail - MGMT.'!N:N,'QE Detail - MGMT.'!$B:$B,'Recast Mgmt. Adjusted'!$B8)</f>
        <v>0</v>
      </c>
      <c r="N8" s="335">
        <f>'Recast Reported'!N8-SUMIFS('QE Detail - MGMT.'!O:O,'QE Detail - MGMT.'!$B:$B,'Recast Mgmt. Adjusted'!$B8)</f>
        <v>0</v>
      </c>
      <c r="O8" s="335">
        <f>'Recast Reported'!O8-SUMIFS('QE Detail - MGMT.'!P:P,'QE Detail - MGMT.'!$B:$B,'Recast Mgmt. Adjusted'!$B8)</f>
        <v>0</v>
      </c>
      <c r="P8" s="335">
        <f>'Recast Reported'!P8-SUMIFS('QE Detail - MGMT.'!Q:Q,'QE Detail - MGMT.'!$B:$B,'Recast Mgmt. Adjusted'!$B8)</f>
        <v>0</v>
      </c>
      <c r="Q8" s="335">
        <f>'Recast Reported'!Q8-SUMIFS('QE Detail - MGMT.'!R:R,'QE Detail - MGMT.'!$B:$B,'Recast Mgmt. Adjusted'!$B8)</f>
        <v>0</v>
      </c>
      <c r="R8" s="335">
        <f>'Recast Reported'!R8-SUMIFS('QE Detail - MGMT.'!S:S,'QE Detail - MGMT.'!$B:$B,'Recast Mgmt. Adjusted'!$B8)</f>
        <v>0</v>
      </c>
      <c r="S8" s="335">
        <f>'Recast Reported'!S8-SUMIFS('QE Detail - MGMT.'!T:T,'QE Detail - MGMT.'!$B:$B,'Recast Mgmt. Adjusted'!$B8)</f>
        <v>0</v>
      </c>
      <c r="T8" s="335">
        <f>'Recast Reported'!T8-SUMIFS('QE Detail - MGMT.'!U:U,'QE Detail - MGMT.'!$B:$B,'Recast Mgmt. Adjusted'!$B8)</f>
        <v>0</v>
      </c>
      <c r="U8" s="335">
        <f>'Recast Reported'!U8-SUMIFS('QE Detail - MGMT.'!V:V,'QE Detail - MGMT.'!$B:$B,'Recast Mgmt. Adjusted'!$B8)</f>
        <v>0</v>
      </c>
      <c r="V8" s="335">
        <f>'Recast Reported'!V8-SUMIFS('QE Detail - MGMT.'!W:W,'QE Detail - MGMT.'!$B:$B,'Recast Mgmt. Adjusted'!$B8)</f>
        <v>0</v>
      </c>
      <c r="W8" s="335">
        <f>'Recast Reported'!W8-SUMIFS('QE Detail - MGMT.'!X:X,'QE Detail - MGMT.'!$B:$B,'Recast Mgmt. Adjusted'!$B8)</f>
        <v>0</v>
      </c>
      <c r="X8" s="335">
        <f>'Recast Reported'!X8-SUMIFS('QE Detail - MGMT.'!Y:Y,'QE Detail - MGMT.'!$B:$B,'Recast Mgmt. Adjusted'!$B8)</f>
        <v>0</v>
      </c>
      <c r="Y8" s="335">
        <f>'Recast Reported'!Y8-SUMIFS('QE Detail - MGMT.'!Z:Z,'QE Detail - MGMT.'!$B:$B,'Recast Mgmt. Adjusted'!$B8)</f>
        <v>0</v>
      </c>
      <c r="Z8" s="335">
        <f>'Recast Reported'!Z8-SUMIFS('QE Detail - MGMT.'!AA:AA,'QE Detail - MGMT.'!$B:$B,'Recast Mgmt. Adjusted'!$B8)</f>
        <v>0</v>
      </c>
      <c r="AA8" s="335">
        <f>'Recast Reported'!AA8-SUMIFS('QE Detail - MGMT.'!AB:AB,'QE Detail - MGMT.'!$B:$B,'Recast Mgmt. Adjusted'!$B8)</f>
        <v>0</v>
      </c>
      <c r="AB8" s="335">
        <f>'Recast Reported'!AB8-SUMIFS('QE Detail - MGMT.'!AC:AC,'QE Detail - MGMT.'!$B:$B,'Recast Mgmt. Adjusted'!$B8)</f>
        <v>0</v>
      </c>
      <c r="AC8" s="335">
        <f>'Recast Reported'!AC8-SUMIFS('QE Detail - MGMT.'!AD:AD,'QE Detail - MGMT.'!$B:$B,'Recast Mgmt. Adjusted'!$B8)</f>
        <v>0</v>
      </c>
      <c r="AD8" s="335">
        <f>'Recast Reported'!AD8-SUMIFS('QE Detail - MGMT.'!AE:AE,'QE Detail - MGMT.'!$B:$B,'Recast Mgmt. Adjusted'!$B8)</f>
        <v>0</v>
      </c>
      <c r="AE8" s="335">
        <f>'Recast Reported'!AE8-SUMIFS('QE Detail - MGMT.'!AF:AF,'QE Detail - MGMT.'!$B:$B,'Recast Mgmt. Adjusted'!$B8)</f>
        <v>0</v>
      </c>
      <c r="AF8" s="335">
        <f>'Recast Reported'!AF8-SUMIFS('QE Detail - MGMT.'!AG:AG,'QE Detail - MGMT.'!$B:$B,'Recast Mgmt. Adjusted'!$B8)</f>
        <v>0</v>
      </c>
      <c r="AG8" s="335">
        <f>'Recast Reported'!AG8-SUMIFS('QE Detail - MGMT.'!AH:AH,'QE Detail - MGMT.'!$B:$B,'Recast Mgmt. Adjusted'!$B8)</f>
        <v>0</v>
      </c>
      <c r="AH8" s="335">
        <f>'Recast Reported'!AH8-SUMIFS('QE Detail - MGMT.'!AI:AI,'QE Detail - MGMT.'!$B:$B,'Recast Mgmt. Adjusted'!$B8)</f>
        <v>0</v>
      </c>
      <c r="AI8" s="335">
        <f>'Recast Reported'!AI8-SUMIFS('QE Detail - MGMT.'!AJ:AJ,'QE Detail - MGMT.'!$B:$B,'Recast Mgmt. Adjusted'!$B8)</f>
        <v>0</v>
      </c>
      <c r="AJ8" s="335">
        <f>'Recast Reported'!AJ8-SUMIFS('QE Detail - MGMT.'!AK:AK,'QE Detail - MGMT.'!$B:$B,'Recast Mgmt. Adjusted'!$B8)</f>
        <v>0</v>
      </c>
      <c r="AK8" s="335">
        <f>'Recast Reported'!AK8-SUMIFS('QE Detail - MGMT.'!AL:AL,'QE Detail - MGMT.'!$B:$B,'Recast Mgmt. Adjusted'!$B8)</f>
        <v>0</v>
      </c>
      <c r="AL8" s="335">
        <f>'Recast Reported'!AL8-SUMIFS('QE Detail - MGMT.'!AM:AM,'QE Detail - MGMT.'!$B:$B,'Recast Mgmt. Adjusted'!$B8)</f>
        <v>0</v>
      </c>
      <c r="AM8" s="335">
        <f>'Recast Reported'!AM8-SUMIFS('QE Detail - MGMT.'!AN:AN,'QE Detail - MGMT.'!$B:$B,'Recast Mgmt. Adjusted'!$B8)</f>
        <v>0</v>
      </c>
    </row>
    <row r="9" spans="1:39" s="262" customFormat="1" ht="13.95" customHeight="1">
      <c r="A9" s="311" t="s">
        <v>74</v>
      </c>
      <c r="B9" s="424" t="s">
        <v>74</v>
      </c>
      <c r="C9" s="350">
        <f>SUMIFS($G9:$BC9,$G$5:$BC$5,"&lt;="&amp;EOMONTH(C$5,0),$G$6:$BC$6,"&lt;="&amp;C$5)</f>
        <v>0</v>
      </c>
      <c r="D9" s="350">
        <f t="shared" si="9"/>
        <v>0</v>
      </c>
      <c r="E9" s="350">
        <f t="shared" si="9"/>
        <v>0</v>
      </c>
      <c r="F9" s="335"/>
      <c r="G9" s="425">
        <f>'Recast Reported'!G9-SUMIFS('QE Detail - MGMT.'!H:H,'QE Detail - MGMT.'!$B:$B,'Recast Mgmt. Adjusted'!$B9)</f>
        <v>0</v>
      </c>
      <c r="H9" s="425">
        <f>'Recast Reported'!H9-SUMIFS('QE Detail - MGMT.'!I:I,'QE Detail - MGMT.'!$B:$B,'Recast Mgmt. Adjusted'!$B9)</f>
        <v>0</v>
      </c>
      <c r="I9" s="425">
        <f>'Recast Reported'!I9-SUMIFS('QE Detail - MGMT.'!J:J,'QE Detail - MGMT.'!$B:$B,'Recast Mgmt. Adjusted'!$B9)</f>
        <v>0</v>
      </c>
      <c r="J9" s="425">
        <f>'Recast Reported'!J9-SUMIFS('QE Detail - MGMT.'!K:K,'QE Detail - MGMT.'!$B:$B,'Recast Mgmt. Adjusted'!$B9)</f>
        <v>0</v>
      </c>
      <c r="K9" s="425">
        <f>'Recast Reported'!K9-SUMIFS('QE Detail - MGMT.'!L:L,'QE Detail - MGMT.'!$B:$B,'Recast Mgmt. Adjusted'!$B9)</f>
        <v>0</v>
      </c>
      <c r="L9" s="425">
        <f>'Recast Reported'!L9-SUMIFS('QE Detail - MGMT.'!M:M,'QE Detail - MGMT.'!$B:$B,'Recast Mgmt. Adjusted'!$B9)</f>
        <v>0</v>
      </c>
      <c r="M9" s="425">
        <f>'Recast Reported'!M9-SUMIFS('QE Detail - MGMT.'!N:N,'QE Detail - MGMT.'!$B:$B,'Recast Mgmt. Adjusted'!$B9)</f>
        <v>0</v>
      </c>
      <c r="N9" s="425">
        <f>'Recast Reported'!N9-SUMIFS('QE Detail - MGMT.'!O:O,'QE Detail - MGMT.'!$B:$B,'Recast Mgmt. Adjusted'!$B9)</f>
        <v>0</v>
      </c>
      <c r="O9" s="425">
        <f>'Recast Reported'!O9-SUMIFS('QE Detail - MGMT.'!P:P,'QE Detail - MGMT.'!$B:$B,'Recast Mgmt. Adjusted'!$B9)</f>
        <v>0</v>
      </c>
      <c r="P9" s="425">
        <f>'Recast Reported'!P9-SUMIFS('QE Detail - MGMT.'!Q:Q,'QE Detail - MGMT.'!$B:$B,'Recast Mgmt. Adjusted'!$B9)</f>
        <v>0</v>
      </c>
      <c r="Q9" s="425">
        <f>'Recast Reported'!Q9-SUMIFS('QE Detail - MGMT.'!R:R,'QE Detail - MGMT.'!$B:$B,'Recast Mgmt. Adjusted'!$B9)</f>
        <v>0</v>
      </c>
      <c r="R9" s="425">
        <f>'Recast Reported'!R9-SUMIFS('QE Detail - MGMT.'!S:S,'QE Detail - MGMT.'!$B:$B,'Recast Mgmt. Adjusted'!$B9)</f>
        <v>0</v>
      </c>
      <c r="S9" s="425">
        <f>'Recast Reported'!S9-SUMIFS('QE Detail - MGMT.'!T:T,'QE Detail - MGMT.'!$B:$B,'Recast Mgmt. Adjusted'!$B9)</f>
        <v>0</v>
      </c>
      <c r="T9" s="425">
        <f>'Recast Reported'!T9-SUMIFS('QE Detail - MGMT.'!U:U,'QE Detail - MGMT.'!$B:$B,'Recast Mgmt. Adjusted'!$B9)</f>
        <v>0</v>
      </c>
      <c r="U9" s="425">
        <f>'Recast Reported'!U9-SUMIFS('QE Detail - MGMT.'!V:V,'QE Detail - MGMT.'!$B:$B,'Recast Mgmt. Adjusted'!$B9)</f>
        <v>0</v>
      </c>
      <c r="V9" s="425">
        <f>'Recast Reported'!V9-SUMIFS('QE Detail - MGMT.'!W:W,'QE Detail - MGMT.'!$B:$B,'Recast Mgmt. Adjusted'!$B9)</f>
        <v>0</v>
      </c>
      <c r="W9" s="425">
        <f>'Recast Reported'!W9-SUMIFS('QE Detail - MGMT.'!X:X,'QE Detail - MGMT.'!$B:$B,'Recast Mgmt. Adjusted'!$B9)</f>
        <v>0</v>
      </c>
      <c r="X9" s="425">
        <f>'Recast Reported'!X9-SUMIFS('QE Detail - MGMT.'!Y:Y,'QE Detail - MGMT.'!$B:$B,'Recast Mgmt. Adjusted'!$B9)</f>
        <v>0</v>
      </c>
      <c r="Y9" s="425">
        <f>'Recast Reported'!Y9-SUMIFS('QE Detail - MGMT.'!Z:Z,'QE Detail - MGMT.'!$B:$B,'Recast Mgmt. Adjusted'!$B9)</f>
        <v>0</v>
      </c>
      <c r="Z9" s="425">
        <f>'Recast Reported'!Z9-SUMIFS('QE Detail - MGMT.'!AA:AA,'QE Detail - MGMT.'!$B:$B,'Recast Mgmt. Adjusted'!$B9)</f>
        <v>0</v>
      </c>
      <c r="AA9" s="425">
        <f>'Recast Reported'!AA9-SUMIFS('QE Detail - MGMT.'!AB:AB,'QE Detail - MGMT.'!$B:$B,'Recast Mgmt. Adjusted'!$B9)</f>
        <v>0</v>
      </c>
      <c r="AB9" s="425">
        <f>'Recast Reported'!AB9-SUMIFS('QE Detail - MGMT.'!AC:AC,'QE Detail - MGMT.'!$B:$B,'Recast Mgmt. Adjusted'!$B9)</f>
        <v>0</v>
      </c>
      <c r="AC9" s="425">
        <f>'Recast Reported'!AC9-SUMIFS('QE Detail - MGMT.'!AD:AD,'QE Detail - MGMT.'!$B:$B,'Recast Mgmt. Adjusted'!$B9)</f>
        <v>0</v>
      </c>
      <c r="AD9" s="425">
        <f>'Recast Reported'!AD9-SUMIFS('QE Detail - MGMT.'!AE:AE,'QE Detail - MGMT.'!$B:$B,'Recast Mgmt. Adjusted'!$B9)</f>
        <v>0</v>
      </c>
      <c r="AE9" s="425">
        <f>'Recast Reported'!AE9-SUMIFS('QE Detail - MGMT.'!AF:AF,'QE Detail - MGMT.'!$B:$B,'Recast Mgmt. Adjusted'!$B9)</f>
        <v>0</v>
      </c>
      <c r="AF9" s="425">
        <f>'Recast Reported'!AF9-SUMIFS('QE Detail - MGMT.'!AG:AG,'QE Detail - MGMT.'!$B:$B,'Recast Mgmt. Adjusted'!$B9)</f>
        <v>0</v>
      </c>
      <c r="AG9" s="425">
        <f>'Recast Reported'!AG9-SUMIFS('QE Detail - MGMT.'!AH:AH,'QE Detail - MGMT.'!$B:$B,'Recast Mgmt. Adjusted'!$B9)</f>
        <v>0</v>
      </c>
      <c r="AH9" s="425">
        <f>'Recast Reported'!AH9-SUMIFS('QE Detail - MGMT.'!AI:AI,'QE Detail - MGMT.'!$B:$B,'Recast Mgmt. Adjusted'!$B9)</f>
        <v>0</v>
      </c>
      <c r="AI9" s="425">
        <f>'Recast Reported'!AI9-SUMIFS('QE Detail - MGMT.'!AJ:AJ,'QE Detail - MGMT.'!$B:$B,'Recast Mgmt. Adjusted'!$B9)</f>
        <v>0</v>
      </c>
      <c r="AJ9" s="425">
        <f>'Recast Reported'!AJ9-SUMIFS('QE Detail - MGMT.'!AK:AK,'QE Detail - MGMT.'!$B:$B,'Recast Mgmt. Adjusted'!$B9)</f>
        <v>0</v>
      </c>
      <c r="AK9" s="425">
        <f>'Recast Reported'!AK9-SUMIFS('QE Detail - MGMT.'!AL:AL,'QE Detail - MGMT.'!$B:$B,'Recast Mgmt. Adjusted'!$B9)</f>
        <v>0</v>
      </c>
      <c r="AL9" s="425">
        <f>'Recast Reported'!AL9-SUMIFS('QE Detail - MGMT.'!AM:AM,'QE Detail - MGMT.'!$B:$B,'Recast Mgmt. Adjusted'!$B9)</f>
        <v>0</v>
      </c>
      <c r="AM9" s="425">
        <f>'Recast Reported'!AM9-SUMIFS('QE Detail - MGMT.'!AN:AN,'QE Detail - MGMT.'!$B:$B,'Recast Mgmt. Adjusted'!$B9)</f>
        <v>0</v>
      </c>
    </row>
    <row r="10" spans="1:39" s="264" customFormat="1" ht="13.95" customHeight="1">
      <c r="A10" s="435"/>
      <c r="B10" s="434" t="s">
        <v>29</v>
      </c>
      <c r="C10" s="319">
        <f t="shared" ref="C10:G10" si="10">SUM(C7:C9)</f>
        <v>0</v>
      </c>
      <c r="D10" s="319">
        <f t="shared" si="10"/>
        <v>0</v>
      </c>
      <c r="E10" s="319">
        <f t="shared" ref="E10" si="11">SUM(E7:E9)</f>
        <v>0</v>
      </c>
      <c r="F10" s="529"/>
      <c r="G10" s="529">
        <f t="shared" si="10"/>
        <v>0</v>
      </c>
      <c r="H10" s="529">
        <f t="shared" ref="H10:AE10" si="12">SUM(H7:H9)</f>
        <v>0</v>
      </c>
      <c r="I10" s="529">
        <f t="shared" si="12"/>
        <v>0</v>
      </c>
      <c r="J10" s="529">
        <f t="shared" si="12"/>
        <v>0</v>
      </c>
      <c r="K10" s="529">
        <f t="shared" si="12"/>
        <v>0</v>
      </c>
      <c r="L10" s="529">
        <f t="shared" si="12"/>
        <v>0</v>
      </c>
      <c r="M10" s="529">
        <f t="shared" si="12"/>
        <v>0</v>
      </c>
      <c r="N10" s="529">
        <f t="shared" si="12"/>
        <v>0</v>
      </c>
      <c r="O10" s="529">
        <f t="shared" si="12"/>
        <v>0</v>
      </c>
      <c r="P10" s="529">
        <f t="shared" si="12"/>
        <v>0</v>
      </c>
      <c r="Q10" s="529">
        <f t="shared" si="12"/>
        <v>0</v>
      </c>
      <c r="R10" s="529">
        <f t="shared" si="12"/>
        <v>0</v>
      </c>
      <c r="S10" s="529">
        <f t="shared" si="12"/>
        <v>0</v>
      </c>
      <c r="T10" s="529">
        <f t="shared" si="12"/>
        <v>0</v>
      </c>
      <c r="U10" s="529">
        <f t="shared" si="12"/>
        <v>0</v>
      </c>
      <c r="V10" s="529">
        <f t="shared" si="12"/>
        <v>0</v>
      </c>
      <c r="W10" s="529">
        <f t="shared" si="12"/>
        <v>0</v>
      </c>
      <c r="X10" s="529">
        <f t="shared" si="12"/>
        <v>0</v>
      </c>
      <c r="Y10" s="529">
        <f t="shared" si="12"/>
        <v>0</v>
      </c>
      <c r="Z10" s="529">
        <f t="shared" si="12"/>
        <v>0</v>
      </c>
      <c r="AA10" s="529">
        <f t="shared" si="12"/>
        <v>0</v>
      </c>
      <c r="AB10" s="529">
        <f t="shared" si="12"/>
        <v>0</v>
      </c>
      <c r="AC10" s="529">
        <f t="shared" si="12"/>
        <v>0</v>
      </c>
      <c r="AD10" s="529">
        <f t="shared" si="12"/>
        <v>0</v>
      </c>
      <c r="AE10" s="529">
        <f t="shared" si="12"/>
        <v>0</v>
      </c>
      <c r="AF10" s="529">
        <f t="shared" ref="AF10:AM10" si="13">SUM(AF7:AF9)</f>
        <v>0</v>
      </c>
      <c r="AG10" s="529">
        <f t="shared" si="13"/>
        <v>0</v>
      </c>
      <c r="AH10" s="529">
        <f t="shared" si="13"/>
        <v>0</v>
      </c>
      <c r="AI10" s="529">
        <f t="shared" si="13"/>
        <v>0</v>
      </c>
      <c r="AJ10" s="529">
        <f t="shared" si="13"/>
        <v>0</v>
      </c>
      <c r="AK10" s="529">
        <f t="shared" si="13"/>
        <v>0</v>
      </c>
      <c r="AL10" s="529">
        <f t="shared" si="13"/>
        <v>0</v>
      </c>
      <c r="AM10" s="529">
        <f t="shared" si="13"/>
        <v>0</v>
      </c>
    </row>
    <row r="11" spans="1:39" s="262" customFormat="1" ht="13.95" customHeight="1">
      <c r="A11" s="311"/>
      <c r="B11" s="236" t="s">
        <v>11</v>
      </c>
      <c r="C11" s="336">
        <f t="shared" ref="C11:G11" si="14">C6-SUM(C7:C9)</f>
        <v>0</v>
      </c>
      <c r="D11" s="336">
        <f t="shared" si="14"/>
        <v>0</v>
      </c>
      <c r="E11" s="336">
        <f t="shared" ref="E11" si="15">E6-SUM(E7:E9)</f>
        <v>0</v>
      </c>
      <c r="F11" s="337"/>
      <c r="G11" s="336">
        <f t="shared" si="14"/>
        <v>0</v>
      </c>
      <c r="H11" s="336">
        <f t="shared" ref="H11:AE11" si="16">H6-SUM(H7:H9)</f>
        <v>0</v>
      </c>
      <c r="I11" s="336">
        <f t="shared" si="16"/>
        <v>0</v>
      </c>
      <c r="J11" s="336">
        <f t="shared" si="16"/>
        <v>0</v>
      </c>
      <c r="K11" s="336">
        <f t="shared" si="16"/>
        <v>0</v>
      </c>
      <c r="L11" s="336">
        <f t="shared" si="16"/>
        <v>0</v>
      </c>
      <c r="M11" s="336">
        <f t="shared" si="16"/>
        <v>0</v>
      </c>
      <c r="N11" s="336">
        <f t="shared" si="16"/>
        <v>0</v>
      </c>
      <c r="O11" s="336">
        <f t="shared" si="16"/>
        <v>0</v>
      </c>
      <c r="P11" s="336">
        <f t="shared" si="16"/>
        <v>0</v>
      </c>
      <c r="Q11" s="336">
        <f t="shared" si="16"/>
        <v>0</v>
      </c>
      <c r="R11" s="336">
        <f t="shared" si="16"/>
        <v>0</v>
      </c>
      <c r="S11" s="336">
        <f t="shared" si="16"/>
        <v>0</v>
      </c>
      <c r="T11" s="336">
        <f t="shared" si="16"/>
        <v>0</v>
      </c>
      <c r="U11" s="336">
        <f t="shared" si="16"/>
        <v>0</v>
      </c>
      <c r="V11" s="336">
        <f t="shared" si="16"/>
        <v>0</v>
      </c>
      <c r="W11" s="336">
        <f t="shared" si="16"/>
        <v>0</v>
      </c>
      <c r="X11" s="336">
        <f t="shared" si="16"/>
        <v>0</v>
      </c>
      <c r="Y11" s="336">
        <f t="shared" si="16"/>
        <v>0</v>
      </c>
      <c r="Z11" s="336">
        <f t="shared" si="16"/>
        <v>0</v>
      </c>
      <c r="AA11" s="336">
        <f t="shared" si="16"/>
        <v>0</v>
      </c>
      <c r="AB11" s="336">
        <f t="shared" si="16"/>
        <v>0</v>
      </c>
      <c r="AC11" s="336">
        <f t="shared" si="16"/>
        <v>0</v>
      </c>
      <c r="AD11" s="336">
        <f t="shared" si="16"/>
        <v>0</v>
      </c>
      <c r="AE11" s="336">
        <f t="shared" si="16"/>
        <v>0</v>
      </c>
      <c r="AF11" s="336">
        <f t="shared" ref="AF11:AM11" si="17">AF6-SUM(AF7:AF9)</f>
        <v>0</v>
      </c>
      <c r="AG11" s="336">
        <f t="shared" si="17"/>
        <v>0</v>
      </c>
      <c r="AH11" s="336">
        <f t="shared" si="17"/>
        <v>0</v>
      </c>
      <c r="AI11" s="336">
        <f t="shared" si="17"/>
        <v>0</v>
      </c>
      <c r="AJ11" s="336">
        <f t="shared" si="17"/>
        <v>0</v>
      </c>
      <c r="AK11" s="336">
        <f t="shared" si="17"/>
        <v>0</v>
      </c>
      <c r="AL11" s="336">
        <f t="shared" si="17"/>
        <v>0</v>
      </c>
      <c r="AM11" s="336">
        <f t="shared" si="17"/>
        <v>0</v>
      </c>
    </row>
    <row r="12" spans="1:39" s="262" customFormat="1" ht="5.25" customHeight="1">
      <c r="A12" s="311"/>
      <c r="B12" s="240"/>
      <c r="C12" s="319"/>
      <c r="D12" s="319"/>
      <c r="E12" s="319"/>
      <c r="F12" s="337"/>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row>
    <row r="13" spans="1:39" s="262" customFormat="1" ht="13.95" customHeight="1">
      <c r="A13" s="311" t="s">
        <v>72</v>
      </c>
      <c r="B13" s="223" t="s">
        <v>72</v>
      </c>
      <c r="C13" s="323">
        <f>SUMIFS($G13:$BC13,$G$5:$BC$5,"&lt;="&amp;EOMONTH(C$5,0),$G$6:$BC$6,"&lt;="&amp;C$5)</f>
        <v>0</v>
      </c>
      <c r="D13" s="323">
        <f t="shared" ref="D13:E15" si="18">SUMIFS($G13:$AT13,$G$5:$AT$5,"&gt;"&amp;EOMONTH(D$5,-12),$G$5:$AT$5,"&lt;="&amp;D$5)</f>
        <v>0</v>
      </c>
      <c r="E13" s="323">
        <f t="shared" si="18"/>
        <v>0</v>
      </c>
      <c r="F13" s="334"/>
      <c r="G13" s="323">
        <f>'Recast Reported'!G13-SUMIFS('QE Detail - MGMT.'!H:H,'QE Detail - MGMT.'!$B:$B,'Recast Mgmt. Adjusted'!$B13)</f>
        <v>0</v>
      </c>
      <c r="H13" s="323">
        <f>'Recast Reported'!H13-SUMIFS('QE Detail - MGMT.'!I:I,'QE Detail - MGMT.'!$B:$B,'Recast Mgmt. Adjusted'!$B13)</f>
        <v>0</v>
      </c>
      <c r="I13" s="323">
        <f>'Recast Reported'!I13-SUMIFS('QE Detail - MGMT.'!J:J,'QE Detail - MGMT.'!$B:$B,'Recast Mgmt. Adjusted'!$B13)</f>
        <v>0</v>
      </c>
      <c r="J13" s="323">
        <f>'Recast Reported'!J13-SUMIFS('QE Detail - MGMT.'!K:K,'QE Detail - MGMT.'!$B:$B,'Recast Mgmt. Adjusted'!$B13)</f>
        <v>0</v>
      </c>
      <c r="K13" s="323">
        <f>'Recast Reported'!K13-SUMIFS('QE Detail - MGMT.'!L:L,'QE Detail - MGMT.'!$B:$B,'Recast Mgmt. Adjusted'!$B13)</f>
        <v>0</v>
      </c>
      <c r="L13" s="323">
        <f>'Recast Reported'!L13-SUMIFS('QE Detail - MGMT.'!M:M,'QE Detail - MGMT.'!$B:$B,'Recast Mgmt. Adjusted'!$B13)</f>
        <v>0</v>
      </c>
      <c r="M13" s="323">
        <f>'Recast Reported'!M13-SUMIFS('QE Detail - MGMT.'!N:N,'QE Detail - MGMT.'!$B:$B,'Recast Mgmt. Adjusted'!$B13)</f>
        <v>0</v>
      </c>
      <c r="N13" s="323">
        <f>'Recast Reported'!N13-SUMIFS('QE Detail - MGMT.'!O:O,'QE Detail - MGMT.'!$B:$B,'Recast Mgmt. Adjusted'!$B13)</f>
        <v>0</v>
      </c>
      <c r="O13" s="323">
        <f>'Recast Reported'!O13-SUMIFS('QE Detail - MGMT.'!P:P,'QE Detail - MGMT.'!$B:$B,'Recast Mgmt. Adjusted'!$B13)</f>
        <v>0</v>
      </c>
      <c r="P13" s="323">
        <f>'Recast Reported'!P13-SUMIFS('QE Detail - MGMT.'!Q:Q,'QE Detail - MGMT.'!$B:$B,'Recast Mgmt. Adjusted'!$B13)</f>
        <v>0</v>
      </c>
      <c r="Q13" s="323">
        <f>'Recast Reported'!Q13-SUMIFS('QE Detail - MGMT.'!R:R,'QE Detail - MGMT.'!$B:$B,'Recast Mgmt. Adjusted'!$B13)</f>
        <v>0</v>
      </c>
      <c r="R13" s="323">
        <f>'Recast Reported'!R13-SUMIFS('QE Detail - MGMT.'!S:S,'QE Detail - MGMT.'!$B:$B,'Recast Mgmt. Adjusted'!$B13)</f>
        <v>0</v>
      </c>
      <c r="S13" s="323">
        <f>'Recast Reported'!S13-SUMIFS('QE Detail - MGMT.'!T:T,'QE Detail - MGMT.'!$B:$B,'Recast Mgmt. Adjusted'!$B13)</f>
        <v>0</v>
      </c>
      <c r="T13" s="323">
        <f>'Recast Reported'!T13-SUMIFS('QE Detail - MGMT.'!U:U,'QE Detail - MGMT.'!$B:$B,'Recast Mgmt. Adjusted'!$B13)</f>
        <v>0</v>
      </c>
      <c r="U13" s="323">
        <f>'Recast Reported'!U13-SUMIFS('QE Detail - MGMT.'!V:V,'QE Detail - MGMT.'!$B:$B,'Recast Mgmt. Adjusted'!$B13)</f>
        <v>0</v>
      </c>
      <c r="V13" s="323">
        <f>'Recast Reported'!V13-SUMIFS('QE Detail - MGMT.'!W:W,'QE Detail - MGMT.'!$B:$B,'Recast Mgmt. Adjusted'!$B13)</f>
        <v>0</v>
      </c>
      <c r="W13" s="323">
        <f>'Recast Reported'!W13-SUMIFS('QE Detail - MGMT.'!X:X,'QE Detail - MGMT.'!$B:$B,'Recast Mgmt. Adjusted'!$B13)</f>
        <v>0</v>
      </c>
      <c r="X13" s="323">
        <f>'Recast Reported'!X13-SUMIFS('QE Detail - MGMT.'!Y:Y,'QE Detail - MGMT.'!$B:$B,'Recast Mgmt. Adjusted'!$B13)</f>
        <v>0</v>
      </c>
      <c r="Y13" s="323">
        <f>'Recast Reported'!Y13-SUMIFS('QE Detail - MGMT.'!Z:Z,'QE Detail - MGMT.'!$B:$B,'Recast Mgmt. Adjusted'!$B13)</f>
        <v>0</v>
      </c>
      <c r="Z13" s="323">
        <f>'Recast Reported'!Z13-SUMIFS('QE Detail - MGMT.'!AA:AA,'QE Detail - MGMT.'!$B:$B,'Recast Mgmt. Adjusted'!$B13)</f>
        <v>0</v>
      </c>
      <c r="AA13" s="323">
        <f>'Recast Reported'!AA13-SUMIFS('QE Detail - MGMT.'!AB:AB,'QE Detail - MGMT.'!$B:$B,'Recast Mgmt. Adjusted'!$B13)</f>
        <v>0</v>
      </c>
      <c r="AB13" s="323">
        <f>'Recast Reported'!AB13-SUMIFS('QE Detail - MGMT.'!AC:AC,'QE Detail - MGMT.'!$B:$B,'Recast Mgmt. Adjusted'!$B13)</f>
        <v>0</v>
      </c>
      <c r="AC13" s="323">
        <f>'Recast Reported'!AC13-SUMIFS('QE Detail - MGMT.'!AD:AD,'QE Detail - MGMT.'!$B:$B,'Recast Mgmt. Adjusted'!$B13)</f>
        <v>0</v>
      </c>
      <c r="AD13" s="323">
        <f>'Recast Reported'!AD13-SUMIFS('QE Detail - MGMT.'!AE:AE,'QE Detail - MGMT.'!$B:$B,'Recast Mgmt. Adjusted'!$B13)</f>
        <v>0</v>
      </c>
      <c r="AE13" s="323">
        <f>'Recast Reported'!AE13-SUMIFS('QE Detail - MGMT.'!AF:AF,'QE Detail - MGMT.'!$B:$B,'Recast Mgmt. Adjusted'!$B13)</f>
        <v>0</v>
      </c>
      <c r="AF13" s="323">
        <f>'Recast Reported'!AF13-SUMIFS('QE Detail - MGMT.'!AG:AG,'QE Detail - MGMT.'!$B:$B,'Recast Mgmt. Adjusted'!$B13)</f>
        <v>0</v>
      </c>
      <c r="AG13" s="323">
        <f>'Recast Reported'!AG13-SUMIFS('QE Detail - MGMT.'!AH:AH,'QE Detail - MGMT.'!$B:$B,'Recast Mgmt. Adjusted'!$B13)</f>
        <v>0</v>
      </c>
      <c r="AH13" s="323">
        <f>'Recast Reported'!AH13-SUMIFS('QE Detail - MGMT.'!AI:AI,'QE Detail - MGMT.'!$B:$B,'Recast Mgmt. Adjusted'!$B13)</f>
        <v>0</v>
      </c>
      <c r="AI13" s="323">
        <f>'Recast Reported'!AI13-SUMIFS('QE Detail - MGMT.'!AJ:AJ,'QE Detail - MGMT.'!$B:$B,'Recast Mgmt. Adjusted'!$B13)</f>
        <v>0</v>
      </c>
      <c r="AJ13" s="323">
        <f>'Recast Reported'!AJ13-SUMIFS('QE Detail - MGMT.'!AK:AK,'QE Detail - MGMT.'!$B:$B,'Recast Mgmt. Adjusted'!$B13)</f>
        <v>0</v>
      </c>
      <c r="AK13" s="323">
        <f>'Recast Reported'!AK13-SUMIFS('QE Detail - MGMT.'!AL:AL,'QE Detail - MGMT.'!$B:$B,'Recast Mgmt. Adjusted'!$B13)</f>
        <v>0</v>
      </c>
      <c r="AL13" s="323">
        <f>'Recast Reported'!AL13-SUMIFS('QE Detail - MGMT.'!AM:AM,'QE Detail - MGMT.'!$B:$B,'Recast Mgmt. Adjusted'!$B13)</f>
        <v>0</v>
      </c>
      <c r="AM13" s="323">
        <f>'Recast Reported'!AM13-SUMIFS('QE Detail - MGMT.'!AN:AN,'QE Detail - MGMT.'!$B:$B,'Recast Mgmt. Adjusted'!$B13)</f>
        <v>0</v>
      </c>
    </row>
    <row r="14" spans="1:39" s="262" customFormat="1" ht="13.95" customHeight="1">
      <c r="A14" s="311" t="s">
        <v>174</v>
      </c>
      <c r="B14" s="223" t="s">
        <v>174</v>
      </c>
      <c r="C14" s="323">
        <f>SUMIFS($G14:$BC14,$G$5:$BC$5,"&lt;="&amp;EOMONTH(C$5,0),$G$6:$BC$6,"&lt;="&amp;C$5)</f>
        <v>0</v>
      </c>
      <c r="D14" s="323">
        <f t="shared" si="18"/>
        <v>0</v>
      </c>
      <c r="E14" s="323">
        <f t="shared" si="18"/>
        <v>0</v>
      </c>
      <c r="F14" s="334"/>
      <c r="G14" s="323">
        <f>'Recast Reported'!G14-SUMIFS('QE Detail - MGMT.'!H:H,'QE Detail - MGMT.'!$B:$B,'Recast Mgmt. Adjusted'!$B14)</f>
        <v>0</v>
      </c>
      <c r="H14" s="323">
        <f>'Recast Reported'!H14-SUMIFS('QE Detail - MGMT.'!I:I,'QE Detail - MGMT.'!$B:$B,'Recast Mgmt. Adjusted'!$B14)</f>
        <v>0</v>
      </c>
      <c r="I14" s="323">
        <f>'Recast Reported'!I14-SUMIFS('QE Detail - MGMT.'!J:J,'QE Detail - MGMT.'!$B:$B,'Recast Mgmt. Adjusted'!$B14)</f>
        <v>0</v>
      </c>
      <c r="J14" s="323">
        <f>'Recast Reported'!J14-SUMIFS('QE Detail - MGMT.'!K:K,'QE Detail - MGMT.'!$B:$B,'Recast Mgmt. Adjusted'!$B14)</f>
        <v>0</v>
      </c>
      <c r="K14" s="323">
        <f>'Recast Reported'!K14-SUMIFS('QE Detail - MGMT.'!L:L,'QE Detail - MGMT.'!$B:$B,'Recast Mgmt. Adjusted'!$B14)</f>
        <v>0</v>
      </c>
      <c r="L14" s="323">
        <f>'Recast Reported'!L14-SUMIFS('QE Detail - MGMT.'!M:M,'QE Detail - MGMT.'!$B:$B,'Recast Mgmt. Adjusted'!$B14)</f>
        <v>0</v>
      </c>
      <c r="M14" s="323">
        <f>'Recast Reported'!M14-SUMIFS('QE Detail - MGMT.'!N:N,'QE Detail - MGMT.'!$B:$B,'Recast Mgmt. Adjusted'!$B14)</f>
        <v>0</v>
      </c>
      <c r="N14" s="323">
        <f>'Recast Reported'!N14-SUMIFS('QE Detail - MGMT.'!O:O,'QE Detail - MGMT.'!$B:$B,'Recast Mgmt. Adjusted'!$B14)</f>
        <v>0</v>
      </c>
      <c r="O14" s="323">
        <f>'Recast Reported'!O14-SUMIFS('QE Detail - MGMT.'!P:P,'QE Detail - MGMT.'!$B:$B,'Recast Mgmt. Adjusted'!$B14)</f>
        <v>0</v>
      </c>
      <c r="P14" s="323">
        <f>'Recast Reported'!P14-SUMIFS('QE Detail - MGMT.'!Q:Q,'QE Detail - MGMT.'!$B:$B,'Recast Mgmt. Adjusted'!$B14)</f>
        <v>0</v>
      </c>
      <c r="Q14" s="323">
        <f>'Recast Reported'!Q14-SUMIFS('QE Detail - MGMT.'!R:R,'QE Detail - MGMT.'!$B:$B,'Recast Mgmt. Adjusted'!$B14)</f>
        <v>0</v>
      </c>
      <c r="R14" s="323">
        <f>'Recast Reported'!R14-SUMIFS('QE Detail - MGMT.'!S:S,'QE Detail - MGMT.'!$B:$B,'Recast Mgmt. Adjusted'!$B14)</f>
        <v>0</v>
      </c>
      <c r="S14" s="323">
        <f>'Recast Reported'!S14-SUMIFS('QE Detail - MGMT.'!T:T,'QE Detail - MGMT.'!$B:$B,'Recast Mgmt. Adjusted'!$B14)</f>
        <v>0</v>
      </c>
      <c r="T14" s="323">
        <f>'Recast Reported'!T14-SUMIFS('QE Detail - MGMT.'!U:U,'QE Detail - MGMT.'!$B:$B,'Recast Mgmt. Adjusted'!$B14)</f>
        <v>0</v>
      </c>
      <c r="U14" s="323">
        <f>'Recast Reported'!U14-SUMIFS('QE Detail - MGMT.'!V:V,'QE Detail - MGMT.'!$B:$B,'Recast Mgmt. Adjusted'!$B14)</f>
        <v>0</v>
      </c>
      <c r="V14" s="323">
        <f>'Recast Reported'!V14-SUMIFS('QE Detail - MGMT.'!W:W,'QE Detail - MGMT.'!$B:$B,'Recast Mgmt. Adjusted'!$B14)</f>
        <v>0</v>
      </c>
      <c r="W14" s="323">
        <f>'Recast Reported'!W14-SUMIFS('QE Detail - MGMT.'!X:X,'QE Detail - MGMT.'!$B:$B,'Recast Mgmt. Adjusted'!$B14)</f>
        <v>0</v>
      </c>
      <c r="X14" s="323">
        <f>'Recast Reported'!X14-SUMIFS('QE Detail - MGMT.'!Y:Y,'QE Detail - MGMT.'!$B:$B,'Recast Mgmt. Adjusted'!$B14)</f>
        <v>0</v>
      </c>
      <c r="Y14" s="323">
        <f>'Recast Reported'!Y14-SUMIFS('QE Detail - MGMT.'!Z:Z,'QE Detail - MGMT.'!$B:$B,'Recast Mgmt. Adjusted'!$B14)</f>
        <v>0</v>
      </c>
      <c r="Z14" s="323">
        <f>'Recast Reported'!Z14-SUMIFS('QE Detail - MGMT.'!AA:AA,'QE Detail - MGMT.'!$B:$B,'Recast Mgmt. Adjusted'!$B14)</f>
        <v>0</v>
      </c>
      <c r="AA14" s="323">
        <f>'Recast Reported'!AA14-SUMIFS('QE Detail - MGMT.'!AB:AB,'QE Detail - MGMT.'!$B:$B,'Recast Mgmt. Adjusted'!$B14)</f>
        <v>0</v>
      </c>
      <c r="AB14" s="323">
        <f>'Recast Reported'!AB14-SUMIFS('QE Detail - MGMT.'!AC:AC,'QE Detail - MGMT.'!$B:$B,'Recast Mgmt. Adjusted'!$B14)</f>
        <v>0</v>
      </c>
      <c r="AC14" s="323">
        <f>'Recast Reported'!AC14-SUMIFS('QE Detail - MGMT.'!AD:AD,'QE Detail - MGMT.'!$B:$B,'Recast Mgmt. Adjusted'!$B14)</f>
        <v>0</v>
      </c>
      <c r="AD14" s="323">
        <f>'Recast Reported'!AD14-SUMIFS('QE Detail - MGMT.'!AE:AE,'QE Detail - MGMT.'!$B:$B,'Recast Mgmt. Adjusted'!$B14)</f>
        <v>0</v>
      </c>
      <c r="AE14" s="323">
        <f>'Recast Reported'!AE14-SUMIFS('QE Detail - MGMT.'!AF:AF,'QE Detail - MGMT.'!$B:$B,'Recast Mgmt. Adjusted'!$B14)</f>
        <v>0</v>
      </c>
      <c r="AF14" s="323">
        <f>'Recast Reported'!AF14-SUMIFS('QE Detail - MGMT.'!AG:AG,'QE Detail - MGMT.'!$B:$B,'Recast Mgmt. Adjusted'!$B14)</f>
        <v>0</v>
      </c>
      <c r="AG14" s="323">
        <f>'Recast Reported'!AG14-SUMIFS('QE Detail - MGMT.'!AH:AH,'QE Detail - MGMT.'!$B:$B,'Recast Mgmt. Adjusted'!$B14)</f>
        <v>0</v>
      </c>
      <c r="AH14" s="323">
        <f>'Recast Reported'!AH14-SUMIFS('QE Detail - MGMT.'!AI:AI,'QE Detail - MGMT.'!$B:$B,'Recast Mgmt. Adjusted'!$B14)</f>
        <v>0</v>
      </c>
      <c r="AI14" s="323">
        <f>'Recast Reported'!AI14-SUMIFS('QE Detail - MGMT.'!AJ:AJ,'QE Detail - MGMT.'!$B:$B,'Recast Mgmt. Adjusted'!$B14)</f>
        <v>0</v>
      </c>
      <c r="AJ14" s="323">
        <f>'Recast Reported'!AJ14-SUMIFS('QE Detail - MGMT.'!AK:AK,'QE Detail - MGMT.'!$B:$B,'Recast Mgmt. Adjusted'!$B14)</f>
        <v>0</v>
      </c>
      <c r="AK14" s="323">
        <f>'Recast Reported'!AK14-SUMIFS('QE Detail - MGMT.'!AL:AL,'QE Detail - MGMT.'!$B:$B,'Recast Mgmt. Adjusted'!$B14)</f>
        <v>0</v>
      </c>
      <c r="AL14" s="323">
        <f>'Recast Reported'!AL14-SUMIFS('QE Detail - MGMT.'!AM:AM,'QE Detail - MGMT.'!$B:$B,'Recast Mgmt. Adjusted'!$B14)</f>
        <v>0</v>
      </c>
      <c r="AM14" s="323">
        <f>'Recast Reported'!AM14-SUMIFS('QE Detail - MGMT.'!AN:AN,'QE Detail - MGMT.'!$B:$B,'Recast Mgmt. Adjusted'!$B14)</f>
        <v>0</v>
      </c>
    </row>
    <row r="15" spans="1:39" s="262" customFormat="1" ht="13.95" customHeight="1">
      <c r="A15" s="311" t="s">
        <v>175</v>
      </c>
      <c r="B15" s="424" t="s">
        <v>175</v>
      </c>
      <c r="C15" s="350">
        <f>SUMIFS($G15:$BC15,$G$5:$BC$5,"&lt;="&amp;EOMONTH(C$5,0),$G$6:$BC$6,"&lt;="&amp;C$5)</f>
        <v>0</v>
      </c>
      <c r="D15" s="350">
        <f t="shared" si="18"/>
        <v>0</v>
      </c>
      <c r="E15" s="350">
        <f t="shared" si="18"/>
        <v>0</v>
      </c>
      <c r="F15" s="334"/>
      <c r="G15" s="350">
        <f>'Recast Reported'!G15-SUMIFS('QE Detail - MGMT.'!H:H,'QE Detail - MGMT.'!$B:$B,'Recast Mgmt. Adjusted'!$B15)</f>
        <v>0</v>
      </c>
      <c r="H15" s="350">
        <f>'Recast Reported'!H15-SUMIFS('QE Detail - MGMT.'!I:I,'QE Detail - MGMT.'!$B:$B,'Recast Mgmt. Adjusted'!$B15)</f>
        <v>0</v>
      </c>
      <c r="I15" s="350">
        <f>'Recast Reported'!I15-SUMIFS('QE Detail - MGMT.'!J:J,'QE Detail - MGMT.'!$B:$B,'Recast Mgmt. Adjusted'!$B15)</f>
        <v>0</v>
      </c>
      <c r="J15" s="350">
        <f>'Recast Reported'!J15-SUMIFS('QE Detail - MGMT.'!K:K,'QE Detail - MGMT.'!$B:$B,'Recast Mgmt. Adjusted'!$B15)</f>
        <v>0</v>
      </c>
      <c r="K15" s="350">
        <f>'Recast Reported'!K15-SUMIFS('QE Detail - MGMT.'!L:L,'QE Detail - MGMT.'!$B:$B,'Recast Mgmt. Adjusted'!$B15)</f>
        <v>0</v>
      </c>
      <c r="L15" s="350">
        <f>'Recast Reported'!L15-SUMIFS('QE Detail - MGMT.'!M:M,'QE Detail - MGMT.'!$B:$B,'Recast Mgmt. Adjusted'!$B15)</f>
        <v>0</v>
      </c>
      <c r="M15" s="350">
        <f>'Recast Reported'!M15-SUMIFS('QE Detail - MGMT.'!N:N,'QE Detail - MGMT.'!$B:$B,'Recast Mgmt. Adjusted'!$B15)</f>
        <v>0</v>
      </c>
      <c r="N15" s="350">
        <f>'Recast Reported'!N15-SUMIFS('QE Detail - MGMT.'!O:O,'QE Detail - MGMT.'!$B:$B,'Recast Mgmt. Adjusted'!$B15)</f>
        <v>0</v>
      </c>
      <c r="O15" s="350">
        <f>'Recast Reported'!O15-SUMIFS('QE Detail - MGMT.'!P:P,'QE Detail - MGMT.'!$B:$B,'Recast Mgmt. Adjusted'!$B15)</f>
        <v>0</v>
      </c>
      <c r="P15" s="350">
        <f>'Recast Reported'!P15-SUMIFS('QE Detail - MGMT.'!Q:Q,'QE Detail - MGMT.'!$B:$B,'Recast Mgmt. Adjusted'!$B15)</f>
        <v>0</v>
      </c>
      <c r="Q15" s="350">
        <f>'Recast Reported'!Q15-SUMIFS('QE Detail - MGMT.'!R:R,'QE Detail - MGMT.'!$B:$B,'Recast Mgmt. Adjusted'!$B15)</f>
        <v>0</v>
      </c>
      <c r="R15" s="350">
        <f>'Recast Reported'!R15-SUMIFS('QE Detail - MGMT.'!S:S,'QE Detail - MGMT.'!$B:$B,'Recast Mgmt. Adjusted'!$B15)</f>
        <v>0</v>
      </c>
      <c r="S15" s="350">
        <f>'Recast Reported'!S15-SUMIFS('QE Detail - MGMT.'!T:T,'QE Detail - MGMT.'!$B:$B,'Recast Mgmt. Adjusted'!$B15)</f>
        <v>0</v>
      </c>
      <c r="T15" s="350">
        <f>'Recast Reported'!T15-SUMIFS('QE Detail - MGMT.'!U:U,'QE Detail - MGMT.'!$B:$B,'Recast Mgmt. Adjusted'!$B15)</f>
        <v>0</v>
      </c>
      <c r="U15" s="350">
        <f>'Recast Reported'!U15-SUMIFS('QE Detail - MGMT.'!V:V,'QE Detail - MGMT.'!$B:$B,'Recast Mgmt. Adjusted'!$B15)</f>
        <v>0</v>
      </c>
      <c r="V15" s="350">
        <f>'Recast Reported'!V15-SUMIFS('QE Detail - MGMT.'!W:W,'QE Detail - MGMT.'!$B:$B,'Recast Mgmt. Adjusted'!$B15)</f>
        <v>0</v>
      </c>
      <c r="W15" s="350">
        <f>'Recast Reported'!W15-SUMIFS('QE Detail - MGMT.'!X:X,'QE Detail - MGMT.'!$B:$B,'Recast Mgmt. Adjusted'!$B15)</f>
        <v>0</v>
      </c>
      <c r="X15" s="350">
        <f>'Recast Reported'!X15-SUMIFS('QE Detail - MGMT.'!Y:Y,'QE Detail - MGMT.'!$B:$B,'Recast Mgmt. Adjusted'!$B15)</f>
        <v>0</v>
      </c>
      <c r="Y15" s="350">
        <f>'Recast Reported'!Y15-SUMIFS('QE Detail - MGMT.'!Z:Z,'QE Detail - MGMT.'!$B:$B,'Recast Mgmt. Adjusted'!$B15)</f>
        <v>0</v>
      </c>
      <c r="Z15" s="350">
        <f>'Recast Reported'!Z15-SUMIFS('QE Detail - MGMT.'!AA:AA,'QE Detail - MGMT.'!$B:$B,'Recast Mgmt. Adjusted'!$B15)</f>
        <v>0</v>
      </c>
      <c r="AA15" s="350">
        <f>'Recast Reported'!AA15-SUMIFS('QE Detail - MGMT.'!AB:AB,'QE Detail - MGMT.'!$B:$B,'Recast Mgmt. Adjusted'!$B15)</f>
        <v>0</v>
      </c>
      <c r="AB15" s="350">
        <f>'Recast Reported'!AB15-SUMIFS('QE Detail - MGMT.'!AC:AC,'QE Detail - MGMT.'!$B:$B,'Recast Mgmt. Adjusted'!$B15)</f>
        <v>0</v>
      </c>
      <c r="AC15" s="350">
        <f>'Recast Reported'!AC15-SUMIFS('QE Detail - MGMT.'!AD:AD,'QE Detail - MGMT.'!$B:$B,'Recast Mgmt. Adjusted'!$B15)</f>
        <v>0</v>
      </c>
      <c r="AD15" s="350">
        <f>'Recast Reported'!AD15-SUMIFS('QE Detail - MGMT.'!AE:AE,'QE Detail - MGMT.'!$B:$B,'Recast Mgmt. Adjusted'!$B15)</f>
        <v>0</v>
      </c>
      <c r="AE15" s="350">
        <f>'Recast Reported'!AE15-SUMIFS('QE Detail - MGMT.'!AF:AF,'QE Detail - MGMT.'!$B:$B,'Recast Mgmt. Adjusted'!$B15)</f>
        <v>0</v>
      </c>
      <c r="AF15" s="350">
        <f>'Recast Reported'!AF15-SUMIFS('QE Detail - MGMT.'!AG:AG,'QE Detail - MGMT.'!$B:$B,'Recast Mgmt. Adjusted'!$B15)</f>
        <v>0</v>
      </c>
      <c r="AG15" s="350">
        <f>'Recast Reported'!AG15-SUMIFS('QE Detail - MGMT.'!AH:AH,'QE Detail - MGMT.'!$B:$B,'Recast Mgmt. Adjusted'!$B15)</f>
        <v>0</v>
      </c>
      <c r="AH15" s="350">
        <f>'Recast Reported'!AH15-SUMIFS('QE Detail - MGMT.'!AI:AI,'QE Detail - MGMT.'!$B:$B,'Recast Mgmt. Adjusted'!$B15)</f>
        <v>0</v>
      </c>
      <c r="AI15" s="350">
        <f>'Recast Reported'!AI15-SUMIFS('QE Detail - MGMT.'!AJ:AJ,'QE Detail - MGMT.'!$B:$B,'Recast Mgmt. Adjusted'!$B15)</f>
        <v>0</v>
      </c>
      <c r="AJ15" s="350">
        <f>'Recast Reported'!AJ15-SUMIFS('QE Detail - MGMT.'!AK:AK,'QE Detail - MGMT.'!$B:$B,'Recast Mgmt. Adjusted'!$B15)</f>
        <v>0</v>
      </c>
      <c r="AK15" s="350">
        <f>'Recast Reported'!AK15-SUMIFS('QE Detail - MGMT.'!AL:AL,'QE Detail - MGMT.'!$B:$B,'Recast Mgmt. Adjusted'!$B15)</f>
        <v>0</v>
      </c>
      <c r="AL15" s="350">
        <f>'Recast Reported'!AL15-SUMIFS('QE Detail - MGMT.'!AM:AM,'QE Detail - MGMT.'!$B:$B,'Recast Mgmt. Adjusted'!$B15)</f>
        <v>0</v>
      </c>
      <c r="AM15" s="350">
        <f>'Recast Reported'!AM15-SUMIFS('QE Detail - MGMT.'!AN:AN,'QE Detail - MGMT.'!$B:$B,'Recast Mgmt. Adjusted'!$B15)</f>
        <v>0</v>
      </c>
    </row>
    <row r="16" spans="1:39" s="264" customFormat="1" ht="13.95" customHeight="1">
      <c r="A16" s="435"/>
      <c r="B16" s="434" t="s">
        <v>170</v>
      </c>
      <c r="C16" s="319">
        <f>SUBTOTAL(9,C13:C15)</f>
        <v>0</v>
      </c>
      <c r="D16" s="319">
        <f>SUBTOTAL(9,D13:D15)</f>
        <v>0</v>
      </c>
      <c r="E16" s="319">
        <f>SUBTOTAL(9,E13:E15)</f>
        <v>0</v>
      </c>
      <c r="F16" s="337"/>
      <c r="G16" s="319">
        <f t="shared" ref="G16:AE16" si="19">SUBTOTAL(9,G13:G15)</f>
        <v>0</v>
      </c>
      <c r="H16" s="319">
        <f t="shared" si="19"/>
        <v>0</v>
      </c>
      <c r="I16" s="319">
        <f t="shared" si="19"/>
        <v>0</v>
      </c>
      <c r="J16" s="319">
        <f t="shared" si="19"/>
        <v>0</v>
      </c>
      <c r="K16" s="319">
        <f t="shared" si="19"/>
        <v>0</v>
      </c>
      <c r="L16" s="319">
        <f t="shared" si="19"/>
        <v>0</v>
      </c>
      <c r="M16" s="319">
        <f t="shared" si="19"/>
        <v>0</v>
      </c>
      <c r="N16" s="319">
        <f t="shared" si="19"/>
        <v>0</v>
      </c>
      <c r="O16" s="319">
        <f t="shared" si="19"/>
        <v>0</v>
      </c>
      <c r="P16" s="319">
        <f t="shared" si="19"/>
        <v>0</v>
      </c>
      <c r="Q16" s="319">
        <f t="shared" si="19"/>
        <v>0</v>
      </c>
      <c r="R16" s="319">
        <f t="shared" si="19"/>
        <v>0</v>
      </c>
      <c r="S16" s="319">
        <f t="shared" si="19"/>
        <v>0</v>
      </c>
      <c r="T16" s="319">
        <f t="shared" si="19"/>
        <v>0</v>
      </c>
      <c r="U16" s="319">
        <f t="shared" si="19"/>
        <v>0</v>
      </c>
      <c r="V16" s="319">
        <f t="shared" si="19"/>
        <v>0</v>
      </c>
      <c r="W16" s="319">
        <f t="shared" si="19"/>
        <v>0</v>
      </c>
      <c r="X16" s="319">
        <f t="shared" si="19"/>
        <v>0</v>
      </c>
      <c r="Y16" s="319">
        <f t="shared" si="19"/>
        <v>0</v>
      </c>
      <c r="Z16" s="319">
        <f t="shared" si="19"/>
        <v>0</v>
      </c>
      <c r="AA16" s="319">
        <f t="shared" si="19"/>
        <v>0</v>
      </c>
      <c r="AB16" s="319">
        <f t="shared" si="19"/>
        <v>0</v>
      </c>
      <c r="AC16" s="319">
        <f t="shared" si="19"/>
        <v>0</v>
      </c>
      <c r="AD16" s="319">
        <f t="shared" si="19"/>
        <v>0</v>
      </c>
      <c r="AE16" s="319">
        <f t="shared" si="19"/>
        <v>0</v>
      </c>
      <c r="AF16" s="319">
        <f t="shared" ref="AF16:AM16" si="20">SUBTOTAL(9,AF13:AF15)</f>
        <v>0</v>
      </c>
      <c r="AG16" s="319">
        <f t="shared" si="20"/>
        <v>0</v>
      </c>
      <c r="AH16" s="319">
        <f t="shared" si="20"/>
        <v>0</v>
      </c>
      <c r="AI16" s="319">
        <f t="shared" si="20"/>
        <v>0</v>
      </c>
      <c r="AJ16" s="319">
        <f t="shared" si="20"/>
        <v>0</v>
      </c>
      <c r="AK16" s="319">
        <f t="shared" si="20"/>
        <v>0</v>
      </c>
      <c r="AL16" s="319">
        <f t="shared" si="20"/>
        <v>0</v>
      </c>
      <c r="AM16" s="319">
        <f t="shared" si="20"/>
        <v>0</v>
      </c>
    </row>
    <row r="17" spans="1:39" s="262" customFormat="1" ht="13.95" customHeight="1">
      <c r="A17" s="311" t="s">
        <v>171</v>
      </c>
      <c r="B17" s="223" t="s">
        <v>171</v>
      </c>
      <c r="C17" s="323">
        <f>SUMIFS($G17:$BC17,$G$5:$BC$5,"&lt;="&amp;EOMONTH(C$5,0),$G$6:$BC$6,"&lt;="&amp;C$5)</f>
        <v>0</v>
      </c>
      <c r="D17" s="323">
        <f t="shared" ref="D17:E19" si="21">SUMIFS($G17:$AT17,$G$5:$AT$5,"&gt;"&amp;EOMONTH(D$5,-12),$G$5:$AT$5,"&lt;="&amp;D$5)</f>
        <v>0</v>
      </c>
      <c r="E17" s="323">
        <f t="shared" si="21"/>
        <v>0</v>
      </c>
      <c r="F17" s="334"/>
      <c r="G17" s="323">
        <f>'Recast Reported'!G17-SUMIFS('QE Detail - MGMT.'!H:H,'QE Detail - MGMT.'!$B:$B,'Recast Mgmt. Adjusted'!$B17)</f>
        <v>0</v>
      </c>
      <c r="H17" s="323">
        <f>'Recast Reported'!H17-SUMIFS('QE Detail - MGMT.'!I:I,'QE Detail - MGMT.'!$B:$B,'Recast Mgmt. Adjusted'!$B17)</f>
        <v>0</v>
      </c>
      <c r="I17" s="323">
        <f>'Recast Reported'!I17-SUMIFS('QE Detail - MGMT.'!J:J,'QE Detail - MGMT.'!$B:$B,'Recast Mgmt. Adjusted'!$B17)</f>
        <v>0</v>
      </c>
      <c r="J17" s="323">
        <f>'Recast Reported'!J17-SUMIFS('QE Detail - MGMT.'!K:K,'QE Detail - MGMT.'!$B:$B,'Recast Mgmt. Adjusted'!$B17)</f>
        <v>0</v>
      </c>
      <c r="K17" s="323">
        <f>'Recast Reported'!K17-SUMIFS('QE Detail - MGMT.'!L:L,'QE Detail - MGMT.'!$B:$B,'Recast Mgmt. Adjusted'!$B17)</f>
        <v>0</v>
      </c>
      <c r="L17" s="323">
        <f>'Recast Reported'!L17-SUMIFS('QE Detail - MGMT.'!M:M,'QE Detail - MGMT.'!$B:$B,'Recast Mgmt. Adjusted'!$B17)</f>
        <v>0</v>
      </c>
      <c r="M17" s="323">
        <f>'Recast Reported'!M17-SUMIFS('QE Detail - MGMT.'!N:N,'QE Detail - MGMT.'!$B:$B,'Recast Mgmt. Adjusted'!$B17)</f>
        <v>0</v>
      </c>
      <c r="N17" s="323">
        <f>'Recast Reported'!N17-SUMIFS('QE Detail - MGMT.'!O:O,'QE Detail - MGMT.'!$B:$B,'Recast Mgmt. Adjusted'!$B17)</f>
        <v>0</v>
      </c>
      <c r="O17" s="323">
        <f>'Recast Reported'!O17-SUMIFS('QE Detail - MGMT.'!P:P,'QE Detail - MGMT.'!$B:$B,'Recast Mgmt. Adjusted'!$B17)</f>
        <v>0</v>
      </c>
      <c r="P17" s="323">
        <f>'Recast Reported'!P17-SUMIFS('QE Detail - MGMT.'!Q:Q,'QE Detail - MGMT.'!$B:$B,'Recast Mgmt. Adjusted'!$B17)</f>
        <v>0</v>
      </c>
      <c r="Q17" s="323">
        <f>'Recast Reported'!Q17-SUMIFS('QE Detail - MGMT.'!R:R,'QE Detail - MGMT.'!$B:$B,'Recast Mgmt. Adjusted'!$B17)</f>
        <v>0</v>
      </c>
      <c r="R17" s="323">
        <f>'Recast Reported'!R17-SUMIFS('QE Detail - MGMT.'!S:S,'QE Detail - MGMT.'!$B:$B,'Recast Mgmt. Adjusted'!$B17)</f>
        <v>0</v>
      </c>
      <c r="S17" s="323">
        <f>'Recast Reported'!S17-SUMIFS('QE Detail - MGMT.'!T:T,'QE Detail - MGMT.'!$B:$B,'Recast Mgmt. Adjusted'!$B17)</f>
        <v>0</v>
      </c>
      <c r="T17" s="323">
        <f>'Recast Reported'!T17-SUMIFS('QE Detail - MGMT.'!U:U,'QE Detail - MGMT.'!$B:$B,'Recast Mgmt. Adjusted'!$B17)</f>
        <v>0</v>
      </c>
      <c r="U17" s="323">
        <f>'Recast Reported'!U17-SUMIFS('QE Detail - MGMT.'!V:V,'QE Detail - MGMT.'!$B:$B,'Recast Mgmt. Adjusted'!$B17)</f>
        <v>0</v>
      </c>
      <c r="V17" s="323">
        <f>'Recast Reported'!V17-SUMIFS('QE Detail - MGMT.'!W:W,'QE Detail - MGMT.'!$B:$B,'Recast Mgmt. Adjusted'!$B17)</f>
        <v>0</v>
      </c>
      <c r="W17" s="323">
        <f>'Recast Reported'!W17-SUMIFS('QE Detail - MGMT.'!X:X,'QE Detail - MGMT.'!$B:$B,'Recast Mgmt. Adjusted'!$B17)</f>
        <v>0</v>
      </c>
      <c r="X17" s="323">
        <f>'Recast Reported'!X17-SUMIFS('QE Detail - MGMT.'!Y:Y,'QE Detail - MGMT.'!$B:$B,'Recast Mgmt. Adjusted'!$B17)</f>
        <v>0</v>
      </c>
      <c r="Y17" s="323">
        <f>'Recast Reported'!Y17-SUMIFS('QE Detail - MGMT.'!Z:Z,'QE Detail - MGMT.'!$B:$B,'Recast Mgmt. Adjusted'!$B17)</f>
        <v>0</v>
      </c>
      <c r="Z17" s="323">
        <f>'Recast Reported'!Z17-SUMIFS('QE Detail - MGMT.'!AA:AA,'QE Detail - MGMT.'!$B:$B,'Recast Mgmt. Adjusted'!$B17)</f>
        <v>0</v>
      </c>
      <c r="AA17" s="323">
        <f>'Recast Reported'!AA17-SUMIFS('QE Detail - MGMT.'!AB:AB,'QE Detail - MGMT.'!$B:$B,'Recast Mgmt. Adjusted'!$B17)</f>
        <v>0</v>
      </c>
      <c r="AB17" s="323">
        <f>'Recast Reported'!AB17-SUMIFS('QE Detail - MGMT.'!AC:AC,'QE Detail - MGMT.'!$B:$B,'Recast Mgmt. Adjusted'!$B17)</f>
        <v>0</v>
      </c>
      <c r="AC17" s="323">
        <f>'Recast Reported'!AC17-SUMIFS('QE Detail - MGMT.'!AD:AD,'QE Detail - MGMT.'!$B:$B,'Recast Mgmt. Adjusted'!$B17)</f>
        <v>0</v>
      </c>
      <c r="AD17" s="323">
        <f>'Recast Reported'!AD17-SUMIFS('QE Detail - MGMT.'!AE:AE,'QE Detail - MGMT.'!$B:$B,'Recast Mgmt. Adjusted'!$B17)</f>
        <v>0</v>
      </c>
      <c r="AE17" s="323">
        <f>'Recast Reported'!AE17-SUMIFS('QE Detail - MGMT.'!AF:AF,'QE Detail - MGMT.'!$B:$B,'Recast Mgmt. Adjusted'!$B17)</f>
        <v>0</v>
      </c>
      <c r="AF17" s="323">
        <f>'Recast Reported'!AF17-SUMIFS('QE Detail - MGMT.'!AG:AG,'QE Detail - MGMT.'!$B:$B,'Recast Mgmt. Adjusted'!$B17)</f>
        <v>0</v>
      </c>
      <c r="AG17" s="323">
        <f>'Recast Reported'!AG17-SUMIFS('QE Detail - MGMT.'!AH:AH,'QE Detail - MGMT.'!$B:$B,'Recast Mgmt. Adjusted'!$B17)</f>
        <v>0</v>
      </c>
      <c r="AH17" s="323">
        <f>'Recast Reported'!AH17-SUMIFS('QE Detail - MGMT.'!AI:AI,'QE Detail - MGMT.'!$B:$B,'Recast Mgmt. Adjusted'!$B17)</f>
        <v>0</v>
      </c>
      <c r="AI17" s="323">
        <f>'Recast Reported'!AI17-SUMIFS('QE Detail - MGMT.'!AJ:AJ,'QE Detail - MGMT.'!$B:$B,'Recast Mgmt. Adjusted'!$B17)</f>
        <v>0</v>
      </c>
      <c r="AJ17" s="323">
        <f>'Recast Reported'!AJ17-SUMIFS('QE Detail - MGMT.'!AK:AK,'QE Detail - MGMT.'!$B:$B,'Recast Mgmt. Adjusted'!$B17)</f>
        <v>0</v>
      </c>
      <c r="AK17" s="323">
        <f>'Recast Reported'!AK17-SUMIFS('QE Detail - MGMT.'!AL:AL,'QE Detail - MGMT.'!$B:$B,'Recast Mgmt. Adjusted'!$B17)</f>
        <v>0</v>
      </c>
      <c r="AL17" s="323">
        <f>'Recast Reported'!AL17-SUMIFS('QE Detail - MGMT.'!AM:AM,'QE Detail - MGMT.'!$B:$B,'Recast Mgmt. Adjusted'!$B17)</f>
        <v>0</v>
      </c>
      <c r="AM17" s="323">
        <f>'Recast Reported'!AM17-SUMIFS('QE Detail - MGMT.'!AN:AN,'QE Detail - MGMT.'!$B:$B,'Recast Mgmt. Adjusted'!$B17)</f>
        <v>0</v>
      </c>
    </row>
    <row r="18" spans="1:39" s="262" customFormat="1" ht="13.95" customHeight="1">
      <c r="A18" s="311" t="s">
        <v>49</v>
      </c>
      <c r="B18" s="223" t="s">
        <v>49</v>
      </c>
      <c r="C18" s="323">
        <f>SUMIFS($G18:$BC18,$G$5:$BC$5,"&lt;="&amp;EOMONTH(C$5,0),$G$6:$BC$6,"&lt;="&amp;C$5)</f>
        <v>0</v>
      </c>
      <c r="D18" s="323">
        <f t="shared" si="21"/>
        <v>0</v>
      </c>
      <c r="E18" s="323">
        <f t="shared" si="21"/>
        <v>0</v>
      </c>
      <c r="F18" s="334"/>
      <c r="G18" s="323">
        <f>'Recast Reported'!G18-SUMIFS('QE Detail - MGMT.'!H:H,'QE Detail - MGMT.'!$B:$B,'Recast Mgmt. Adjusted'!$B18)</f>
        <v>0</v>
      </c>
      <c r="H18" s="323">
        <f>'Recast Reported'!H18-SUMIFS('QE Detail - MGMT.'!I:I,'QE Detail - MGMT.'!$B:$B,'Recast Mgmt. Adjusted'!$B18)</f>
        <v>0</v>
      </c>
      <c r="I18" s="323">
        <f>'Recast Reported'!I18-SUMIFS('QE Detail - MGMT.'!J:J,'QE Detail - MGMT.'!$B:$B,'Recast Mgmt. Adjusted'!$B18)</f>
        <v>0</v>
      </c>
      <c r="J18" s="323">
        <f>'Recast Reported'!J18-SUMIFS('QE Detail - MGMT.'!K:K,'QE Detail - MGMT.'!$B:$B,'Recast Mgmt. Adjusted'!$B18)</f>
        <v>0</v>
      </c>
      <c r="K18" s="323">
        <f>'Recast Reported'!K18-SUMIFS('QE Detail - MGMT.'!L:L,'QE Detail - MGMT.'!$B:$B,'Recast Mgmt. Adjusted'!$B18)</f>
        <v>0</v>
      </c>
      <c r="L18" s="323">
        <f>'Recast Reported'!L18-SUMIFS('QE Detail - MGMT.'!M:M,'QE Detail - MGMT.'!$B:$B,'Recast Mgmt. Adjusted'!$B18)</f>
        <v>0</v>
      </c>
      <c r="M18" s="323">
        <f>'Recast Reported'!M18-SUMIFS('QE Detail - MGMT.'!N:N,'QE Detail - MGMT.'!$B:$B,'Recast Mgmt. Adjusted'!$B18)</f>
        <v>0</v>
      </c>
      <c r="N18" s="323">
        <f>'Recast Reported'!N18-SUMIFS('QE Detail - MGMT.'!O:O,'QE Detail - MGMT.'!$B:$B,'Recast Mgmt. Adjusted'!$B18)</f>
        <v>0</v>
      </c>
      <c r="O18" s="323">
        <f>'Recast Reported'!O18-SUMIFS('QE Detail - MGMT.'!P:P,'QE Detail - MGMT.'!$B:$B,'Recast Mgmt. Adjusted'!$B18)</f>
        <v>0</v>
      </c>
      <c r="P18" s="323">
        <f>'Recast Reported'!P18-SUMIFS('QE Detail - MGMT.'!Q:Q,'QE Detail - MGMT.'!$B:$B,'Recast Mgmt. Adjusted'!$B18)</f>
        <v>0</v>
      </c>
      <c r="Q18" s="323">
        <f>'Recast Reported'!Q18-SUMIFS('QE Detail - MGMT.'!R:R,'QE Detail - MGMT.'!$B:$B,'Recast Mgmt. Adjusted'!$B18)</f>
        <v>0</v>
      </c>
      <c r="R18" s="323">
        <f>'Recast Reported'!R18-SUMIFS('QE Detail - MGMT.'!S:S,'QE Detail - MGMT.'!$B:$B,'Recast Mgmt. Adjusted'!$B18)</f>
        <v>0</v>
      </c>
      <c r="S18" s="323">
        <f>'Recast Reported'!S18-SUMIFS('QE Detail - MGMT.'!T:T,'QE Detail - MGMT.'!$B:$B,'Recast Mgmt. Adjusted'!$B18)</f>
        <v>0</v>
      </c>
      <c r="T18" s="323">
        <f>'Recast Reported'!T18-SUMIFS('QE Detail - MGMT.'!U:U,'QE Detail - MGMT.'!$B:$B,'Recast Mgmt. Adjusted'!$B18)</f>
        <v>0</v>
      </c>
      <c r="U18" s="323">
        <f>'Recast Reported'!U18-SUMIFS('QE Detail - MGMT.'!V:V,'QE Detail - MGMT.'!$B:$B,'Recast Mgmt. Adjusted'!$B18)</f>
        <v>0</v>
      </c>
      <c r="V18" s="323">
        <f>'Recast Reported'!V18-SUMIFS('QE Detail - MGMT.'!W:W,'QE Detail - MGMT.'!$B:$B,'Recast Mgmt. Adjusted'!$B18)</f>
        <v>0</v>
      </c>
      <c r="W18" s="323">
        <f>'Recast Reported'!W18-SUMIFS('QE Detail - MGMT.'!X:X,'QE Detail - MGMT.'!$B:$B,'Recast Mgmt. Adjusted'!$B18)</f>
        <v>0</v>
      </c>
      <c r="X18" s="323">
        <f>'Recast Reported'!X18-SUMIFS('QE Detail - MGMT.'!Y:Y,'QE Detail - MGMT.'!$B:$B,'Recast Mgmt. Adjusted'!$B18)</f>
        <v>0</v>
      </c>
      <c r="Y18" s="323">
        <f>'Recast Reported'!Y18-SUMIFS('QE Detail - MGMT.'!Z:Z,'QE Detail - MGMT.'!$B:$B,'Recast Mgmt. Adjusted'!$B18)</f>
        <v>0</v>
      </c>
      <c r="Z18" s="323">
        <f>'Recast Reported'!Z18-SUMIFS('QE Detail - MGMT.'!AA:AA,'QE Detail - MGMT.'!$B:$B,'Recast Mgmt. Adjusted'!$B18)</f>
        <v>0</v>
      </c>
      <c r="AA18" s="323">
        <f>'Recast Reported'!AA18-SUMIFS('QE Detail - MGMT.'!AB:AB,'QE Detail - MGMT.'!$B:$B,'Recast Mgmt. Adjusted'!$B18)</f>
        <v>0</v>
      </c>
      <c r="AB18" s="323">
        <f>'Recast Reported'!AB18-SUMIFS('QE Detail - MGMT.'!AC:AC,'QE Detail - MGMT.'!$B:$B,'Recast Mgmt. Adjusted'!$B18)</f>
        <v>0</v>
      </c>
      <c r="AC18" s="323">
        <f>'Recast Reported'!AC18-SUMIFS('QE Detail - MGMT.'!AD:AD,'QE Detail - MGMT.'!$B:$B,'Recast Mgmt. Adjusted'!$B18)</f>
        <v>0</v>
      </c>
      <c r="AD18" s="323">
        <f>'Recast Reported'!AD18-SUMIFS('QE Detail - MGMT.'!AE:AE,'QE Detail - MGMT.'!$B:$B,'Recast Mgmt. Adjusted'!$B18)</f>
        <v>0</v>
      </c>
      <c r="AE18" s="323">
        <f>'Recast Reported'!AE18-SUMIFS('QE Detail - MGMT.'!AF:AF,'QE Detail - MGMT.'!$B:$B,'Recast Mgmt. Adjusted'!$B18)</f>
        <v>0</v>
      </c>
      <c r="AF18" s="323">
        <f>'Recast Reported'!AF18-SUMIFS('QE Detail - MGMT.'!AG:AG,'QE Detail - MGMT.'!$B:$B,'Recast Mgmt. Adjusted'!$B18)</f>
        <v>0</v>
      </c>
      <c r="AG18" s="323">
        <f>'Recast Reported'!AG18-SUMIFS('QE Detail - MGMT.'!AH:AH,'QE Detail - MGMT.'!$B:$B,'Recast Mgmt. Adjusted'!$B18)</f>
        <v>0</v>
      </c>
      <c r="AH18" s="323">
        <f>'Recast Reported'!AH18-SUMIFS('QE Detail - MGMT.'!AI:AI,'QE Detail - MGMT.'!$B:$B,'Recast Mgmt. Adjusted'!$B18)</f>
        <v>0</v>
      </c>
      <c r="AI18" s="323">
        <f>'Recast Reported'!AI18-SUMIFS('QE Detail - MGMT.'!AJ:AJ,'QE Detail - MGMT.'!$B:$B,'Recast Mgmt. Adjusted'!$B18)</f>
        <v>0</v>
      </c>
      <c r="AJ18" s="323">
        <f>'Recast Reported'!AJ18-SUMIFS('QE Detail - MGMT.'!AK:AK,'QE Detail - MGMT.'!$B:$B,'Recast Mgmt. Adjusted'!$B18)</f>
        <v>0</v>
      </c>
      <c r="AK18" s="323">
        <f>'Recast Reported'!AK18-SUMIFS('QE Detail - MGMT.'!AL:AL,'QE Detail - MGMT.'!$B:$B,'Recast Mgmt. Adjusted'!$B18)</f>
        <v>0</v>
      </c>
      <c r="AL18" s="323">
        <f>'Recast Reported'!AL18-SUMIFS('QE Detail - MGMT.'!AM:AM,'QE Detail - MGMT.'!$B:$B,'Recast Mgmt. Adjusted'!$B18)</f>
        <v>0</v>
      </c>
      <c r="AM18" s="323">
        <f>'Recast Reported'!AM18-SUMIFS('QE Detail - MGMT.'!AN:AN,'QE Detail - MGMT.'!$B:$B,'Recast Mgmt. Adjusted'!$B18)</f>
        <v>0</v>
      </c>
    </row>
    <row r="19" spans="1:39" s="262" customFormat="1" ht="13.95" customHeight="1">
      <c r="A19" s="311" t="s">
        <v>176</v>
      </c>
      <c r="B19" s="424" t="s">
        <v>176</v>
      </c>
      <c r="C19" s="350">
        <f>SUMIFS($G19:$BC19,$G$5:$BC$5,"&lt;="&amp;EOMONTH(C$5,0),$G$6:$BC$6,"&lt;="&amp;C$5)</f>
        <v>0</v>
      </c>
      <c r="D19" s="350">
        <f t="shared" si="21"/>
        <v>0</v>
      </c>
      <c r="E19" s="350">
        <f t="shared" si="21"/>
        <v>0</v>
      </c>
      <c r="F19" s="334"/>
      <c r="G19" s="350">
        <f>'Recast Reported'!G19-SUMIFS('QE Detail - MGMT.'!H:H,'QE Detail - MGMT.'!$B:$B,'Recast Mgmt. Adjusted'!$B19)</f>
        <v>0</v>
      </c>
      <c r="H19" s="350">
        <f>'Recast Reported'!H19-SUMIFS('QE Detail - MGMT.'!I:I,'QE Detail - MGMT.'!$B:$B,'Recast Mgmt. Adjusted'!$B19)</f>
        <v>0</v>
      </c>
      <c r="I19" s="350">
        <f>'Recast Reported'!I19-SUMIFS('QE Detail - MGMT.'!J:J,'QE Detail - MGMT.'!$B:$B,'Recast Mgmt. Adjusted'!$B19)</f>
        <v>0</v>
      </c>
      <c r="J19" s="350">
        <f>'Recast Reported'!J19-SUMIFS('QE Detail - MGMT.'!K:K,'QE Detail - MGMT.'!$B:$B,'Recast Mgmt. Adjusted'!$B19)</f>
        <v>0</v>
      </c>
      <c r="K19" s="350">
        <f>'Recast Reported'!K19-SUMIFS('QE Detail - MGMT.'!L:L,'QE Detail - MGMT.'!$B:$B,'Recast Mgmt. Adjusted'!$B19)</f>
        <v>0</v>
      </c>
      <c r="L19" s="350">
        <f>'Recast Reported'!L19-SUMIFS('QE Detail - MGMT.'!M:M,'QE Detail - MGMT.'!$B:$B,'Recast Mgmt. Adjusted'!$B19)</f>
        <v>0</v>
      </c>
      <c r="M19" s="350">
        <f>'Recast Reported'!M19-SUMIFS('QE Detail - MGMT.'!N:N,'QE Detail - MGMT.'!$B:$B,'Recast Mgmt. Adjusted'!$B19)</f>
        <v>0</v>
      </c>
      <c r="N19" s="350">
        <f>'Recast Reported'!N19-SUMIFS('QE Detail - MGMT.'!O:O,'QE Detail - MGMT.'!$B:$B,'Recast Mgmt. Adjusted'!$B19)</f>
        <v>0</v>
      </c>
      <c r="O19" s="350">
        <f>'Recast Reported'!O19-SUMIFS('QE Detail - MGMT.'!P:P,'QE Detail - MGMT.'!$B:$B,'Recast Mgmt. Adjusted'!$B19)</f>
        <v>0</v>
      </c>
      <c r="P19" s="350">
        <f>'Recast Reported'!P19-SUMIFS('QE Detail - MGMT.'!Q:Q,'QE Detail - MGMT.'!$B:$B,'Recast Mgmt. Adjusted'!$B19)</f>
        <v>0</v>
      </c>
      <c r="Q19" s="350">
        <f>'Recast Reported'!Q19-SUMIFS('QE Detail - MGMT.'!R:R,'QE Detail - MGMT.'!$B:$B,'Recast Mgmt. Adjusted'!$B19)</f>
        <v>0</v>
      </c>
      <c r="R19" s="350">
        <f>'Recast Reported'!R19-SUMIFS('QE Detail - MGMT.'!S:S,'QE Detail - MGMT.'!$B:$B,'Recast Mgmt. Adjusted'!$B19)</f>
        <v>0</v>
      </c>
      <c r="S19" s="350">
        <f>'Recast Reported'!S19-SUMIFS('QE Detail - MGMT.'!T:T,'QE Detail - MGMT.'!$B:$B,'Recast Mgmt. Adjusted'!$B19)</f>
        <v>0</v>
      </c>
      <c r="T19" s="350">
        <f>'Recast Reported'!T19-SUMIFS('QE Detail - MGMT.'!U:U,'QE Detail - MGMT.'!$B:$B,'Recast Mgmt. Adjusted'!$B19)</f>
        <v>0</v>
      </c>
      <c r="U19" s="350">
        <f>'Recast Reported'!U19-SUMIFS('QE Detail - MGMT.'!V:V,'QE Detail - MGMT.'!$B:$B,'Recast Mgmt. Adjusted'!$B19)</f>
        <v>0</v>
      </c>
      <c r="V19" s="350">
        <f>'Recast Reported'!V19-SUMIFS('QE Detail - MGMT.'!W:W,'QE Detail - MGMT.'!$B:$B,'Recast Mgmt. Adjusted'!$B19)</f>
        <v>0</v>
      </c>
      <c r="W19" s="350">
        <f>'Recast Reported'!W19-SUMIFS('QE Detail - MGMT.'!X:X,'QE Detail - MGMT.'!$B:$B,'Recast Mgmt. Adjusted'!$B19)</f>
        <v>0</v>
      </c>
      <c r="X19" s="350">
        <f>'Recast Reported'!X19-SUMIFS('QE Detail - MGMT.'!Y:Y,'QE Detail - MGMT.'!$B:$B,'Recast Mgmt. Adjusted'!$B19)</f>
        <v>0</v>
      </c>
      <c r="Y19" s="350">
        <f>'Recast Reported'!Y19-SUMIFS('QE Detail - MGMT.'!Z:Z,'QE Detail - MGMT.'!$B:$B,'Recast Mgmt. Adjusted'!$B19)</f>
        <v>0</v>
      </c>
      <c r="Z19" s="350">
        <f>'Recast Reported'!Z19-SUMIFS('QE Detail - MGMT.'!AA:AA,'QE Detail - MGMT.'!$B:$B,'Recast Mgmt. Adjusted'!$B19)</f>
        <v>0</v>
      </c>
      <c r="AA19" s="350">
        <f>'Recast Reported'!AA19-SUMIFS('QE Detail - MGMT.'!AB:AB,'QE Detail - MGMT.'!$B:$B,'Recast Mgmt. Adjusted'!$B19)</f>
        <v>0</v>
      </c>
      <c r="AB19" s="350">
        <f>'Recast Reported'!AB19-SUMIFS('QE Detail - MGMT.'!AC:AC,'QE Detail - MGMT.'!$B:$B,'Recast Mgmt. Adjusted'!$B19)</f>
        <v>0</v>
      </c>
      <c r="AC19" s="350">
        <f>'Recast Reported'!AC19-SUMIFS('QE Detail - MGMT.'!AD:AD,'QE Detail - MGMT.'!$B:$B,'Recast Mgmt. Adjusted'!$B19)</f>
        <v>0</v>
      </c>
      <c r="AD19" s="350">
        <f>'Recast Reported'!AD19-SUMIFS('QE Detail - MGMT.'!AE:AE,'QE Detail - MGMT.'!$B:$B,'Recast Mgmt. Adjusted'!$B19)</f>
        <v>0</v>
      </c>
      <c r="AE19" s="350">
        <f>'Recast Reported'!AE19-SUMIFS('QE Detail - MGMT.'!AF:AF,'QE Detail - MGMT.'!$B:$B,'Recast Mgmt. Adjusted'!$B19)</f>
        <v>0</v>
      </c>
      <c r="AF19" s="350">
        <f>'Recast Reported'!AF19-SUMIFS('QE Detail - MGMT.'!AG:AG,'QE Detail - MGMT.'!$B:$B,'Recast Mgmt. Adjusted'!$B19)</f>
        <v>0</v>
      </c>
      <c r="AG19" s="350">
        <f>'Recast Reported'!AG19-SUMIFS('QE Detail - MGMT.'!AH:AH,'QE Detail - MGMT.'!$B:$B,'Recast Mgmt. Adjusted'!$B19)</f>
        <v>0</v>
      </c>
      <c r="AH19" s="350">
        <f>'Recast Reported'!AH19-SUMIFS('QE Detail - MGMT.'!AI:AI,'QE Detail - MGMT.'!$B:$B,'Recast Mgmt. Adjusted'!$B19)</f>
        <v>0</v>
      </c>
      <c r="AI19" s="350">
        <f>'Recast Reported'!AI19-SUMIFS('QE Detail - MGMT.'!AJ:AJ,'QE Detail - MGMT.'!$B:$B,'Recast Mgmt. Adjusted'!$B19)</f>
        <v>0</v>
      </c>
      <c r="AJ19" s="350">
        <f>'Recast Reported'!AJ19-SUMIFS('QE Detail - MGMT.'!AK:AK,'QE Detail - MGMT.'!$B:$B,'Recast Mgmt. Adjusted'!$B19)</f>
        <v>0</v>
      </c>
      <c r="AK19" s="350">
        <f>'Recast Reported'!AK19-SUMIFS('QE Detail - MGMT.'!AL:AL,'QE Detail - MGMT.'!$B:$B,'Recast Mgmt. Adjusted'!$B19)</f>
        <v>0</v>
      </c>
      <c r="AL19" s="350">
        <f>'Recast Reported'!AL19-SUMIFS('QE Detail - MGMT.'!AM:AM,'QE Detail - MGMT.'!$B:$B,'Recast Mgmt. Adjusted'!$B19)</f>
        <v>0</v>
      </c>
      <c r="AM19" s="350">
        <f>'Recast Reported'!AM19-SUMIFS('QE Detail - MGMT.'!AN:AN,'QE Detail - MGMT.'!$B:$B,'Recast Mgmt. Adjusted'!$B19)</f>
        <v>0</v>
      </c>
    </row>
    <row r="20" spans="1:39" s="264" customFormat="1" ht="13.95" customHeight="1">
      <c r="A20" s="435"/>
      <c r="B20" s="434" t="s">
        <v>172</v>
      </c>
      <c r="C20" s="319">
        <f>SUM(C16:C19)</f>
        <v>0</v>
      </c>
      <c r="D20" s="319">
        <f>SUM(D16:D19)</f>
        <v>0</v>
      </c>
      <c r="E20" s="319">
        <f>SUM(E16:E19)</f>
        <v>0</v>
      </c>
      <c r="F20" s="337"/>
      <c r="G20" s="319">
        <f t="shared" ref="G20:AE20" si="22">SUM(G16:G19)</f>
        <v>0</v>
      </c>
      <c r="H20" s="319">
        <f t="shared" si="22"/>
        <v>0</v>
      </c>
      <c r="I20" s="319">
        <f t="shared" si="22"/>
        <v>0</v>
      </c>
      <c r="J20" s="319">
        <f t="shared" si="22"/>
        <v>0</v>
      </c>
      <c r="K20" s="319">
        <f t="shared" si="22"/>
        <v>0</v>
      </c>
      <c r="L20" s="319">
        <f t="shared" si="22"/>
        <v>0</v>
      </c>
      <c r="M20" s="319">
        <f t="shared" si="22"/>
        <v>0</v>
      </c>
      <c r="N20" s="319">
        <f t="shared" si="22"/>
        <v>0</v>
      </c>
      <c r="O20" s="319">
        <f t="shared" si="22"/>
        <v>0</v>
      </c>
      <c r="P20" s="319">
        <f t="shared" si="22"/>
        <v>0</v>
      </c>
      <c r="Q20" s="319">
        <f t="shared" si="22"/>
        <v>0</v>
      </c>
      <c r="R20" s="319">
        <f t="shared" si="22"/>
        <v>0</v>
      </c>
      <c r="S20" s="319">
        <f t="shared" si="22"/>
        <v>0</v>
      </c>
      <c r="T20" s="319">
        <f t="shared" si="22"/>
        <v>0</v>
      </c>
      <c r="U20" s="319">
        <f t="shared" si="22"/>
        <v>0</v>
      </c>
      <c r="V20" s="319">
        <f t="shared" si="22"/>
        <v>0</v>
      </c>
      <c r="W20" s="319">
        <f t="shared" si="22"/>
        <v>0</v>
      </c>
      <c r="X20" s="319">
        <f t="shared" si="22"/>
        <v>0</v>
      </c>
      <c r="Y20" s="319">
        <f t="shared" si="22"/>
        <v>0</v>
      </c>
      <c r="Z20" s="319">
        <f t="shared" si="22"/>
        <v>0</v>
      </c>
      <c r="AA20" s="319">
        <f t="shared" si="22"/>
        <v>0</v>
      </c>
      <c r="AB20" s="319">
        <f t="shared" si="22"/>
        <v>0</v>
      </c>
      <c r="AC20" s="319">
        <f t="shared" si="22"/>
        <v>0</v>
      </c>
      <c r="AD20" s="319">
        <f t="shared" si="22"/>
        <v>0</v>
      </c>
      <c r="AE20" s="319">
        <f t="shared" si="22"/>
        <v>0</v>
      </c>
      <c r="AF20" s="319">
        <f t="shared" ref="AF20:AM20" si="23">SUM(AF16:AF19)</f>
        <v>0</v>
      </c>
      <c r="AG20" s="319">
        <f t="shared" si="23"/>
        <v>0</v>
      </c>
      <c r="AH20" s="319">
        <f t="shared" si="23"/>
        <v>0</v>
      </c>
      <c r="AI20" s="319">
        <f t="shared" si="23"/>
        <v>0</v>
      </c>
      <c r="AJ20" s="319">
        <f t="shared" si="23"/>
        <v>0</v>
      </c>
      <c r="AK20" s="319">
        <f t="shared" si="23"/>
        <v>0</v>
      </c>
      <c r="AL20" s="319">
        <f t="shared" si="23"/>
        <v>0</v>
      </c>
      <c r="AM20" s="319">
        <f t="shared" si="23"/>
        <v>0</v>
      </c>
    </row>
    <row r="21" spans="1:39" s="264" customFormat="1" ht="13.95" customHeight="1">
      <c r="A21" s="311" t="s">
        <v>177</v>
      </c>
      <c r="B21" s="223" t="s">
        <v>177</v>
      </c>
      <c r="C21" s="323">
        <f>SUMIFS($G21:$BC21,$G$5:$BC$5,"&lt;="&amp;EOMONTH(C$5,0),$G$6:$BC$6,"&lt;="&amp;C$5)</f>
        <v>0</v>
      </c>
      <c r="D21" s="323">
        <f t="shared" ref="D21:E24" si="24">SUMIFS($G21:$AT21,$G$5:$AT$5,"&gt;"&amp;EOMONTH(D$5,-12),$G$5:$AT$5,"&lt;="&amp;D$5)</f>
        <v>0</v>
      </c>
      <c r="E21" s="323">
        <f t="shared" si="24"/>
        <v>0</v>
      </c>
      <c r="F21" s="334"/>
      <c r="G21" s="323">
        <f>'Recast Reported'!G21-SUMIFS('QE Detail - MGMT.'!H:H,'QE Detail - MGMT.'!$B:$B,'Recast Mgmt. Adjusted'!$B21)</f>
        <v>0</v>
      </c>
      <c r="H21" s="323">
        <f>'Recast Reported'!H21-SUMIFS('QE Detail - MGMT.'!I:I,'QE Detail - MGMT.'!$B:$B,'Recast Mgmt. Adjusted'!$B21)</f>
        <v>0</v>
      </c>
      <c r="I21" s="323">
        <f>'Recast Reported'!I21-SUMIFS('QE Detail - MGMT.'!J:J,'QE Detail - MGMT.'!$B:$B,'Recast Mgmt. Adjusted'!$B21)</f>
        <v>0</v>
      </c>
      <c r="J21" s="323">
        <f>'Recast Reported'!J21-SUMIFS('QE Detail - MGMT.'!K:K,'QE Detail - MGMT.'!$B:$B,'Recast Mgmt. Adjusted'!$B21)</f>
        <v>0</v>
      </c>
      <c r="K21" s="323">
        <f>'Recast Reported'!K21-SUMIFS('QE Detail - MGMT.'!L:L,'QE Detail - MGMT.'!$B:$B,'Recast Mgmt. Adjusted'!$B21)</f>
        <v>0</v>
      </c>
      <c r="L21" s="323">
        <f>'Recast Reported'!L21-SUMIFS('QE Detail - MGMT.'!M:M,'QE Detail - MGMT.'!$B:$B,'Recast Mgmt. Adjusted'!$B21)</f>
        <v>0</v>
      </c>
      <c r="M21" s="323">
        <f>'Recast Reported'!M21-SUMIFS('QE Detail - MGMT.'!N:N,'QE Detail - MGMT.'!$B:$B,'Recast Mgmt. Adjusted'!$B21)</f>
        <v>0</v>
      </c>
      <c r="N21" s="323">
        <f>'Recast Reported'!N21-SUMIFS('QE Detail - MGMT.'!O:O,'QE Detail - MGMT.'!$B:$B,'Recast Mgmt. Adjusted'!$B21)</f>
        <v>0</v>
      </c>
      <c r="O21" s="323">
        <f>'Recast Reported'!O21-SUMIFS('QE Detail - MGMT.'!P:P,'QE Detail - MGMT.'!$B:$B,'Recast Mgmt. Adjusted'!$B21)</f>
        <v>0</v>
      </c>
      <c r="P21" s="323">
        <f>'Recast Reported'!P21-SUMIFS('QE Detail - MGMT.'!Q:Q,'QE Detail - MGMT.'!$B:$B,'Recast Mgmt. Adjusted'!$B21)</f>
        <v>0</v>
      </c>
      <c r="Q21" s="323">
        <f>'Recast Reported'!Q21-SUMIFS('QE Detail - MGMT.'!R:R,'QE Detail - MGMT.'!$B:$B,'Recast Mgmt. Adjusted'!$B21)</f>
        <v>0</v>
      </c>
      <c r="R21" s="323">
        <f>'Recast Reported'!R21-SUMIFS('QE Detail - MGMT.'!S:S,'QE Detail - MGMT.'!$B:$B,'Recast Mgmt. Adjusted'!$B21)</f>
        <v>0</v>
      </c>
      <c r="S21" s="323">
        <f>'Recast Reported'!S21-SUMIFS('QE Detail - MGMT.'!T:T,'QE Detail - MGMT.'!$B:$B,'Recast Mgmt. Adjusted'!$B21)</f>
        <v>0</v>
      </c>
      <c r="T21" s="323">
        <f>'Recast Reported'!T21-SUMIFS('QE Detail - MGMT.'!U:U,'QE Detail - MGMT.'!$B:$B,'Recast Mgmt. Adjusted'!$B21)</f>
        <v>0</v>
      </c>
      <c r="U21" s="323">
        <f>'Recast Reported'!U21-SUMIFS('QE Detail - MGMT.'!V:V,'QE Detail - MGMT.'!$B:$B,'Recast Mgmt. Adjusted'!$B21)</f>
        <v>0</v>
      </c>
      <c r="V21" s="323">
        <f>'Recast Reported'!V21-SUMIFS('QE Detail - MGMT.'!W:W,'QE Detail - MGMT.'!$B:$B,'Recast Mgmt. Adjusted'!$B21)</f>
        <v>0</v>
      </c>
      <c r="W21" s="323">
        <f>'Recast Reported'!W21-SUMIFS('QE Detail - MGMT.'!X:X,'QE Detail - MGMT.'!$B:$B,'Recast Mgmt. Adjusted'!$B21)</f>
        <v>0</v>
      </c>
      <c r="X21" s="323">
        <f>'Recast Reported'!X21-SUMIFS('QE Detail - MGMT.'!Y:Y,'QE Detail - MGMT.'!$B:$B,'Recast Mgmt. Adjusted'!$B21)</f>
        <v>0</v>
      </c>
      <c r="Y21" s="323">
        <f>'Recast Reported'!Y21-SUMIFS('QE Detail - MGMT.'!Z:Z,'QE Detail - MGMT.'!$B:$B,'Recast Mgmt. Adjusted'!$B21)</f>
        <v>0</v>
      </c>
      <c r="Z21" s="323">
        <f>'Recast Reported'!Z21-SUMIFS('QE Detail - MGMT.'!AA:AA,'QE Detail - MGMT.'!$B:$B,'Recast Mgmt. Adjusted'!$B21)</f>
        <v>0</v>
      </c>
      <c r="AA21" s="323">
        <f>'Recast Reported'!AA21-SUMIFS('QE Detail - MGMT.'!AB:AB,'QE Detail - MGMT.'!$B:$B,'Recast Mgmt. Adjusted'!$B21)</f>
        <v>0</v>
      </c>
      <c r="AB21" s="323">
        <f>'Recast Reported'!AB21-SUMIFS('QE Detail - MGMT.'!AC:AC,'QE Detail - MGMT.'!$B:$B,'Recast Mgmt. Adjusted'!$B21)</f>
        <v>0</v>
      </c>
      <c r="AC21" s="323">
        <f>'Recast Reported'!AC21-SUMIFS('QE Detail - MGMT.'!AD:AD,'QE Detail - MGMT.'!$B:$B,'Recast Mgmt. Adjusted'!$B21)</f>
        <v>0</v>
      </c>
      <c r="AD21" s="323">
        <f>'Recast Reported'!AD21-SUMIFS('QE Detail - MGMT.'!AE:AE,'QE Detail - MGMT.'!$B:$B,'Recast Mgmt. Adjusted'!$B21)</f>
        <v>0</v>
      </c>
      <c r="AE21" s="323">
        <f>'Recast Reported'!AE21-SUMIFS('QE Detail - MGMT.'!AF:AF,'QE Detail - MGMT.'!$B:$B,'Recast Mgmt. Adjusted'!$B21)</f>
        <v>0</v>
      </c>
      <c r="AF21" s="323">
        <f>'Recast Reported'!AF21-SUMIFS('QE Detail - MGMT.'!AG:AG,'QE Detail - MGMT.'!$B:$B,'Recast Mgmt. Adjusted'!$B21)</f>
        <v>0</v>
      </c>
      <c r="AG21" s="323">
        <f>'Recast Reported'!AG21-SUMIFS('QE Detail - MGMT.'!AH:AH,'QE Detail - MGMT.'!$B:$B,'Recast Mgmt. Adjusted'!$B21)</f>
        <v>0</v>
      </c>
      <c r="AH21" s="323">
        <f>'Recast Reported'!AH21-SUMIFS('QE Detail - MGMT.'!AI:AI,'QE Detail - MGMT.'!$B:$B,'Recast Mgmt. Adjusted'!$B21)</f>
        <v>0</v>
      </c>
      <c r="AI21" s="323">
        <f>'Recast Reported'!AI21-SUMIFS('QE Detail - MGMT.'!AJ:AJ,'QE Detail - MGMT.'!$B:$B,'Recast Mgmt. Adjusted'!$B21)</f>
        <v>0</v>
      </c>
      <c r="AJ21" s="323">
        <f>'Recast Reported'!AJ21-SUMIFS('QE Detail - MGMT.'!AK:AK,'QE Detail - MGMT.'!$B:$B,'Recast Mgmt. Adjusted'!$B21)</f>
        <v>0</v>
      </c>
      <c r="AK21" s="323">
        <f>'Recast Reported'!AK21-SUMIFS('QE Detail - MGMT.'!AL:AL,'QE Detail - MGMT.'!$B:$B,'Recast Mgmt. Adjusted'!$B21)</f>
        <v>0</v>
      </c>
      <c r="AL21" s="323">
        <f>'Recast Reported'!AL21-SUMIFS('QE Detail - MGMT.'!AM:AM,'QE Detail - MGMT.'!$B:$B,'Recast Mgmt. Adjusted'!$B21)</f>
        <v>0</v>
      </c>
      <c r="AM21" s="323">
        <f>'Recast Reported'!AM21-SUMIFS('QE Detail - MGMT.'!AN:AN,'QE Detail - MGMT.'!$B:$B,'Recast Mgmt. Adjusted'!$B21)</f>
        <v>0</v>
      </c>
    </row>
    <row r="22" spans="1:39" s="264" customFormat="1" ht="13.95" customHeight="1">
      <c r="A22" s="311" t="s">
        <v>181</v>
      </c>
      <c r="B22" s="223" t="s">
        <v>181</v>
      </c>
      <c r="C22" s="323">
        <f>SUMIFS($G22:$BC22,$G$5:$BC$5,"&lt;="&amp;EOMONTH(C$5,0),$G$6:$BC$6,"&lt;="&amp;C$5)</f>
        <v>0</v>
      </c>
      <c r="D22" s="323">
        <f t="shared" si="24"/>
        <v>0</v>
      </c>
      <c r="E22" s="323">
        <f t="shared" si="24"/>
        <v>0</v>
      </c>
      <c r="F22" s="334"/>
      <c r="G22" s="323">
        <f>'Recast Reported'!G22-SUMIFS('QE Detail - MGMT.'!H:H,'QE Detail - MGMT.'!$B:$B,'Recast Mgmt. Adjusted'!$B22)</f>
        <v>0</v>
      </c>
      <c r="H22" s="323">
        <f>'Recast Reported'!H22-SUMIFS('QE Detail - MGMT.'!I:I,'QE Detail - MGMT.'!$B:$B,'Recast Mgmt. Adjusted'!$B22)</f>
        <v>0</v>
      </c>
      <c r="I22" s="323">
        <f>'Recast Reported'!I22-SUMIFS('QE Detail - MGMT.'!J:J,'QE Detail - MGMT.'!$B:$B,'Recast Mgmt. Adjusted'!$B22)</f>
        <v>0</v>
      </c>
      <c r="J22" s="323">
        <f>'Recast Reported'!J22-SUMIFS('QE Detail - MGMT.'!K:K,'QE Detail - MGMT.'!$B:$B,'Recast Mgmt. Adjusted'!$B22)</f>
        <v>0</v>
      </c>
      <c r="K22" s="323">
        <f>'Recast Reported'!K22-SUMIFS('QE Detail - MGMT.'!L:L,'QE Detail - MGMT.'!$B:$B,'Recast Mgmt. Adjusted'!$B22)</f>
        <v>0</v>
      </c>
      <c r="L22" s="323">
        <f>'Recast Reported'!L22-SUMIFS('QE Detail - MGMT.'!M:M,'QE Detail - MGMT.'!$B:$B,'Recast Mgmt. Adjusted'!$B22)</f>
        <v>0</v>
      </c>
      <c r="M22" s="323">
        <f>'Recast Reported'!M22-SUMIFS('QE Detail - MGMT.'!N:N,'QE Detail - MGMT.'!$B:$B,'Recast Mgmt. Adjusted'!$B22)</f>
        <v>0</v>
      </c>
      <c r="N22" s="323">
        <f>'Recast Reported'!N22-SUMIFS('QE Detail - MGMT.'!O:O,'QE Detail - MGMT.'!$B:$B,'Recast Mgmt. Adjusted'!$B22)</f>
        <v>0</v>
      </c>
      <c r="O22" s="323">
        <f>'Recast Reported'!O22-SUMIFS('QE Detail - MGMT.'!P:P,'QE Detail - MGMT.'!$B:$B,'Recast Mgmt. Adjusted'!$B22)</f>
        <v>0</v>
      </c>
      <c r="P22" s="323">
        <f>'Recast Reported'!P22-SUMIFS('QE Detail - MGMT.'!Q:Q,'QE Detail - MGMT.'!$B:$B,'Recast Mgmt. Adjusted'!$B22)</f>
        <v>0</v>
      </c>
      <c r="Q22" s="323">
        <f>'Recast Reported'!Q22-SUMIFS('QE Detail - MGMT.'!R:R,'QE Detail - MGMT.'!$B:$B,'Recast Mgmt. Adjusted'!$B22)</f>
        <v>0</v>
      </c>
      <c r="R22" s="323">
        <f>'Recast Reported'!R22-SUMIFS('QE Detail - MGMT.'!S:S,'QE Detail - MGMT.'!$B:$B,'Recast Mgmt. Adjusted'!$B22)</f>
        <v>0</v>
      </c>
      <c r="S22" s="323">
        <f>'Recast Reported'!S22-SUMIFS('QE Detail - MGMT.'!T:T,'QE Detail - MGMT.'!$B:$B,'Recast Mgmt. Adjusted'!$B22)</f>
        <v>0</v>
      </c>
      <c r="T22" s="323">
        <f>'Recast Reported'!T22-SUMIFS('QE Detail - MGMT.'!U:U,'QE Detail - MGMT.'!$B:$B,'Recast Mgmt. Adjusted'!$B22)</f>
        <v>0</v>
      </c>
      <c r="U22" s="323">
        <f>'Recast Reported'!U22-SUMIFS('QE Detail - MGMT.'!V:V,'QE Detail - MGMT.'!$B:$B,'Recast Mgmt. Adjusted'!$B22)</f>
        <v>0</v>
      </c>
      <c r="V22" s="323">
        <f>'Recast Reported'!V22-SUMIFS('QE Detail - MGMT.'!W:W,'QE Detail - MGMT.'!$B:$B,'Recast Mgmt. Adjusted'!$B22)</f>
        <v>0</v>
      </c>
      <c r="W22" s="323">
        <f>'Recast Reported'!W22-SUMIFS('QE Detail - MGMT.'!X:X,'QE Detail - MGMT.'!$B:$B,'Recast Mgmt. Adjusted'!$B22)</f>
        <v>0</v>
      </c>
      <c r="X22" s="323">
        <f>'Recast Reported'!X22-SUMIFS('QE Detail - MGMT.'!Y:Y,'QE Detail - MGMT.'!$B:$B,'Recast Mgmt. Adjusted'!$B22)</f>
        <v>0</v>
      </c>
      <c r="Y22" s="323">
        <f>'Recast Reported'!Y22-SUMIFS('QE Detail - MGMT.'!Z:Z,'QE Detail - MGMT.'!$B:$B,'Recast Mgmt. Adjusted'!$B22)</f>
        <v>0</v>
      </c>
      <c r="Z22" s="323">
        <f>'Recast Reported'!Z22-SUMIFS('QE Detail - MGMT.'!AA:AA,'QE Detail - MGMT.'!$B:$B,'Recast Mgmt. Adjusted'!$B22)</f>
        <v>0</v>
      </c>
      <c r="AA22" s="323">
        <f>'Recast Reported'!AA22-SUMIFS('QE Detail - MGMT.'!AB:AB,'QE Detail - MGMT.'!$B:$B,'Recast Mgmt. Adjusted'!$B22)</f>
        <v>0</v>
      </c>
      <c r="AB22" s="323">
        <f>'Recast Reported'!AB22-SUMIFS('QE Detail - MGMT.'!AC:AC,'QE Detail - MGMT.'!$B:$B,'Recast Mgmt. Adjusted'!$B22)</f>
        <v>0</v>
      </c>
      <c r="AC22" s="323">
        <f>'Recast Reported'!AC22-SUMIFS('QE Detail - MGMT.'!AD:AD,'QE Detail - MGMT.'!$B:$B,'Recast Mgmt. Adjusted'!$B22)</f>
        <v>0</v>
      </c>
      <c r="AD22" s="323">
        <f>'Recast Reported'!AD22-SUMIFS('QE Detail - MGMT.'!AE:AE,'QE Detail - MGMT.'!$B:$B,'Recast Mgmt. Adjusted'!$B22)</f>
        <v>0</v>
      </c>
      <c r="AE22" s="323">
        <f>'Recast Reported'!AE22-SUMIFS('QE Detail - MGMT.'!AF:AF,'QE Detail - MGMT.'!$B:$B,'Recast Mgmt. Adjusted'!$B22)</f>
        <v>0</v>
      </c>
      <c r="AF22" s="323">
        <f>'Recast Reported'!AF22-SUMIFS('QE Detail - MGMT.'!AG:AG,'QE Detail - MGMT.'!$B:$B,'Recast Mgmt. Adjusted'!$B22)</f>
        <v>0</v>
      </c>
      <c r="AG22" s="323">
        <f>'Recast Reported'!AG22-SUMIFS('QE Detail - MGMT.'!AH:AH,'QE Detail - MGMT.'!$B:$B,'Recast Mgmt. Adjusted'!$B22)</f>
        <v>0</v>
      </c>
      <c r="AH22" s="323">
        <f>'Recast Reported'!AH22-SUMIFS('QE Detail - MGMT.'!AI:AI,'QE Detail - MGMT.'!$B:$B,'Recast Mgmt. Adjusted'!$B22)</f>
        <v>0</v>
      </c>
      <c r="AI22" s="323">
        <f>'Recast Reported'!AI22-SUMIFS('QE Detail - MGMT.'!AJ:AJ,'QE Detail - MGMT.'!$B:$B,'Recast Mgmt. Adjusted'!$B22)</f>
        <v>0</v>
      </c>
      <c r="AJ22" s="323">
        <f>'Recast Reported'!AJ22-SUMIFS('QE Detail - MGMT.'!AK:AK,'QE Detail - MGMT.'!$B:$B,'Recast Mgmt. Adjusted'!$B22)</f>
        <v>0</v>
      </c>
      <c r="AK22" s="323">
        <f>'Recast Reported'!AK22-SUMIFS('QE Detail - MGMT.'!AL:AL,'QE Detail - MGMT.'!$B:$B,'Recast Mgmt. Adjusted'!$B22)</f>
        <v>0</v>
      </c>
      <c r="AL22" s="323">
        <f>'Recast Reported'!AL22-SUMIFS('QE Detail - MGMT.'!AM:AM,'QE Detail - MGMT.'!$B:$B,'Recast Mgmt. Adjusted'!$B22)</f>
        <v>0</v>
      </c>
      <c r="AM22" s="323">
        <f>'Recast Reported'!AM22-SUMIFS('QE Detail - MGMT.'!AN:AN,'QE Detail - MGMT.'!$B:$B,'Recast Mgmt. Adjusted'!$B22)</f>
        <v>0</v>
      </c>
    </row>
    <row r="23" spans="1:39" s="264" customFormat="1" ht="13.95" customHeight="1">
      <c r="A23" s="311" t="s">
        <v>178</v>
      </c>
      <c r="B23" s="223" t="s">
        <v>178</v>
      </c>
      <c r="C23" s="323">
        <f>SUMIFS($G23:$BC23,$G$5:$BC$5,"&lt;="&amp;EOMONTH(C$5,0),$G$6:$BC$6,"&lt;="&amp;C$5)</f>
        <v>0</v>
      </c>
      <c r="D23" s="323">
        <f t="shared" si="24"/>
        <v>0</v>
      </c>
      <c r="E23" s="323">
        <f t="shared" si="24"/>
        <v>0</v>
      </c>
      <c r="F23" s="334"/>
      <c r="G23" s="323">
        <f>'Recast Reported'!G23-SUMIFS('QE Detail - MGMT.'!H:H,'QE Detail - MGMT.'!$B:$B,'Recast Mgmt. Adjusted'!$B23)</f>
        <v>0</v>
      </c>
      <c r="H23" s="323">
        <f>'Recast Reported'!H23-SUMIFS('QE Detail - MGMT.'!I:I,'QE Detail - MGMT.'!$B:$B,'Recast Mgmt. Adjusted'!$B23)</f>
        <v>0</v>
      </c>
      <c r="I23" s="323">
        <f>'Recast Reported'!I23-SUMIFS('QE Detail - MGMT.'!J:J,'QE Detail - MGMT.'!$B:$B,'Recast Mgmt. Adjusted'!$B23)</f>
        <v>0</v>
      </c>
      <c r="J23" s="323">
        <f>'Recast Reported'!J23-SUMIFS('QE Detail - MGMT.'!K:K,'QE Detail - MGMT.'!$B:$B,'Recast Mgmt. Adjusted'!$B23)</f>
        <v>0</v>
      </c>
      <c r="K23" s="323">
        <f>'Recast Reported'!K23-SUMIFS('QE Detail - MGMT.'!L:L,'QE Detail - MGMT.'!$B:$B,'Recast Mgmt. Adjusted'!$B23)</f>
        <v>0</v>
      </c>
      <c r="L23" s="323">
        <f>'Recast Reported'!L23-SUMIFS('QE Detail - MGMT.'!M:M,'QE Detail - MGMT.'!$B:$B,'Recast Mgmt. Adjusted'!$B23)</f>
        <v>0</v>
      </c>
      <c r="M23" s="323">
        <f>'Recast Reported'!M23-SUMIFS('QE Detail - MGMT.'!N:N,'QE Detail - MGMT.'!$B:$B,'Recast Mgmt. Adjusted'!$B23)</f>
        <v>0</v>
      </c>
      <c r="N23" s="323">
        <f>'Recast Reported'!N23-SUMIFS('QE Detail - MGMT.'!O:O,'QE Detail - MGMT.'!$B:$B,'Recast Mgmt. Adjusted'!$B23)</f>
        <v>0</v>
      </c>
      <c r="O23" s="323">
        <f>'Recast Reported'!O23-SUMIFS('QE Detail - MGMT.'!P:P,'QE Detail - MGMT.'!$B:$B,'Recast Mgmt. Adjusted'!$B23)</f>
        <v>0</v>
      </c>
      <c r="P23" s="323">
        <f>'Recast Reported'!P23-SUMIFS('QE Detail - MGMT.'!Q:Q,'QE Detail - MGMT.'!$B:$B,'Recast Mgmt. Adjusted'!$B23)</f>
        <v>0</v>
      </c>
      <c r="Q23" s="323">
        <f>'Recast Reported'!Q23-SUMIFS('QE Detail - MGMT.'!R:R,'QE Detail - MGMT.'!$B:$B,'Recast Mgmt. Adjusted'!$B23)</f>
        <v>0</v>
      </c>
      <c r="R23" s="323">
        <f>'Recast Reported'!R23-SUMIFS('QE Detail - MGMT.'!S:S,'QE Detail - MGMT.'!$B:$B,'Recast Mgmt. Adjusted'!$B23)</f>
        <v>0</v>
      </c>
      <c r="S23" s="323">
        <f>'Recast Reported'!S23-SUMIFS('QE Detail - MGMT.'!T:T,'QE Detail - MGMT.'!$B:$B,'Recast Mgmt. Adjusted'!$B23)</f>
        <v>0</v>
      </c>
      <c r="T23" s="323">
        <f>'Recast Reported'!T23-SUMIFS('QE Detail - MGMT.'!U:U,'QE Detail - MGMT.'!$B:$B,'Recast Mgmt. Adjusted'!$B23)</f>
        <v>0</v>
      </c>
      <c r="U23" s="323">
        <f>'Recast Reported'!U23-SUMIFS('QE Detail - MGMT.'!V:V,'QE Detail - MGMT.'!$B:$B,'Recast Mgmt. Adjusted'!$B23)</f>
        <v>0</v>
      </c>
      <c r="V23" s="323">
        <f>'Recast Reported'!V23-SUMIFS('QE Detail - MGMT.'!W:W,'QE Detail - MGMT.'!$B:$B,'Recast Mgmt. Adjusted'!$B23)</f>
        <v>0</v>
      </c>
      <c r="W23" s="323">
        <f>'Recast Reported'!W23-SUMIFS('QE Detail - MGMT.'!X:X,'QE Detail - MGMT.'!$B:$B,'Recast Mgmt. Adjusted'!$B23)</f>
        <v>0</v>
      </c>
      <c r="X23" s="323">
        <f>'Recast Reported'!X23-SUMIFS('QE Detail - MGMT.'!Y:Y,'QE Detail - MGMT.'!$B:$B,'Recast Mgmt. Adjusted'!$B23)</f>
        <v>0</v>
      </c>
      <c r="Y23" s="323">
        <f>'Recast Reported'!Y23-SUMIFS('QE Detail - MGMT.'!Z:Z,'QE Detail - MGMT.'!$B:$B,'Recast Mgmt. Adjusted'!$B23)</f>
        <v>0</v>
      </c>
      <c r="Z23" s="323">
        <f>'Recast Reported'!Z23-SUMIFS('QE Detail - MGMT.'!AA:AA,'QE Detail - MGMT.'!$B:$B,'Recast Mgmt. Adjusted'!$B23)</f>
        <v>0</v>
      </c>
      <c r="AA23" s="323">
        <f>'Recast Reported'!AA23-SUMIFS('QE Detail - MGMT.'!AB:AB,'QE Detail - MGMT.'!$B:$B,'Recast Mgmt. Adjusted'!$B23)</f>
        <v>0</v>
      </c>
      <c r="AB23" s="323">
        <f>'Recast Reported'!AB23-SUMIFS('QE Detail - MGMT.'!AC:AC,'QE Detail - MGMT.'!$B:$B,'Recast Mgmt. Adjusted'!$B23)</f>
        <v>0</v>
      </c>
      <c r="AC23" s="323">
        <f>'Recast Reported'!AC23-SUMIFS('QE Detail - MGMT.'!AD:AD,'QE Detail - MGMT.'!$B:$B,'Recast Mgmt. Adjusted'!$B23)</f>
        <v>0</v>
      </c>
      <c r="AD23" s="323">
        <f>'Recast Reported'!AD23-SUMIFS('QE Detail - MGMT.'!AE:AE,'QE Detail - MGMT.'!$B:$B,'Recast Mgmt. Adjusted'!$B23)</f>
        <v>0</v>
      </c>
      <c r="AE23" s="323">
        <f>'Recast Reported'!AE23-SUMIFS('QE Detail - MGMT.'!AF:AF,'QE Detail - MGMT.'!$B:$B,'Recast Mgmt. Adjusted'!$B23)</f>
        <v>0</v>
      </c>
      <c r="AF23" s="323">
        <f>'Recast Reported'!AF23-SUMIFS('QE Detail - MGMT.'!AG:AG,'QE Detail - MGMT.'!$B:$B,'Recast Mgmt. Adjusted'!$B23)</f>
        <v>0</v>
      </c>
      <c r="AG23" s="323">
        <f>'Recast Reported'!AG23-SUMIFS('QE Detail - MGMT.'!AH:AH,'QE Detail - MGMT.'!$B:$B,'Recast Mgmt. Adjusted'!$B23)</f>
        <v>0</v>
      </c>
      <c r="AH23" s="323">
        <f>'Recast Reported'!AH23-SUMIFS('QE Detail - MGMT.'!AI:AI,'QE Detail - MGMT.'!$B:$B,'Recast Mgmt. Adjusted'!$B23)</f>
        <v>0</v>
      </c>
      <c r="AI23" s="323">
        <f>'Recast Reported'!AI23-SUMIFS('QE Detail - MGMT.'!AJ:AJ,'QE Detail - MGMT.'!$B:$B,'Recast Mgmt. Adjusted'!$B23)</f>
        <v>0</v>
      </c>
      <c r="AJ23" s="323">
        <f>'Recast Reported'!AJ23-SUMIFS('QE Detail - MGMT.'!AK:AK,'QE Detail - MGMT.'!$B:$B,'Recast Mgmt. Adjusted'!$B23)</f>
        <v>0</v>
      </c>
      <c r="AK23" s="323">
        <f>'Recast Reported'!AK23-SUMIFS('QE Detail - MGMT.'!AL:AL,'QE Detail - MGMT.'!$B:$B,'Recast Mgmt. Adjusted'!$B23)</f>
        <v>0</v>
      </c>
      <c r="AL23" s="323">
        <f>'Recast Reported'!AL23-SUMIFS('QE Detail - MGMT.'!AM:AM,'QE Detail - MGMT.'!$B:$B,'Recast Mgmt. Adjusted'!$B23)</f>
        <v>0</v>
      </c>
      <c r="AM23" s="323">
        <f>'Recast Reported'!AM23-SUMIFS('QE Detail - MGMT.'!AN:AN,'QE Detail - MGMT.'!$B:$B,'Recast Mgmt. Adjusted'!$B23)</f>
        <v>0</v>
      </c>
    </row>
    <row r="24" spans="1:39" s="264" customFormat="1" ht="13.95" customHeight="1">
      <c r="A24" s="311" t="s">
        <v>179</v>
      </c>
      <c r="B24" s="424" t="s">
        <v>179</v>
      </c>
      <c r="C24" s="350">
        <f>SUMIFS($G24:$BC24,$G$5:$BC$5,"&lt;="&amp;EOMONTH(C$5,0),$G$6:$BC$6,"&lt;="&amp;C$5)</f>
        <v>0</v>
      </c>
      <c r="D24" s="350">
        <f t="shared" si="24"/>
        <v>0</v>
      </c>
      <c r="E24" s="350">
        <f t="shared" si="24"/>
        <v>0</v>
      </c>
      <c r="F24" s="334"/>
      <c r="G24" s="350">
        <f>'Recast Reported'!G24-SUMIFS('QE Detail - MGMT.'!H:H,'QE Detail - MGMT.'!$B:$B,'Recast Mgmt. Adjusted'!$B24)</f>
        <v>0</v>
      </c>
      <c r="H24" s="350">
        <f>'Recast Reported'!H24-SUMIFS('QE Detail - MGMT.'!I:I,'QE Detail - MGMT.'!$B:$B,'Recast Mgmt. Adjusted'!$B24)</f>
        <v>0</v>
      </c>
      <c r="I24" s="350">
        <f>'Recast Reported'!I24-SUMIFS('QE Detail - MGMT.'!J:J,'QE Detail - MGMT.'!$B:$B,'Recast Mgmt. Adjusted'!$B24)</f>
        <v>0</v>
      </c>
      <c r="J24" s="350">
        <f>'Recast Reported'!J24-SUMIFS('QE Detail - MGMT.'!K:K,'QE Detail - MGMT.'!$B:$B,'Recast Mgmt. Adjusted'!$B24)</f>
        <v>0</v>
      </c>
      <c r="K24" s="350">
        <f>'Recast Reported'!K24-SUMIFS('QE Detail - MGMT.'!L:L,'QE Detail - MGMT.'!$B:$B,'Recast Mgmt. Adjusted'!$B24)</f>
        <v>0</v>
      </c>
      <c r="L24" s="350">
        <f>'Recast Reported'!L24-SUMIFS('QE Detail - MGMT.'!M:M,'QE Detail - MGMT.'!$B:$B,'Recast Mgmt. Adjusted'!$B24)</f>
        <v>0</v>
      </c>
      <c r="M24" s="350">
        <f>'Recast Reported'!M24-SUMIFS('QE Detail - MGMT.'!N:N,'QE Detail - MGMT.'!$B:$B,'Recast Mgmt. Adjusted'!$B24)</f>
        <v>0</v>
      </c>
      <c r="N24" s="350">
        <f>'Recast Reported'!N24-SUMIFS('QE Detail - MGMT.'!O:O,'QE Detail - MGMT.'!$B:$B,'Recast Mgmt. Adjusted'!$B24)</f>
        <v>0</v>
      </c>
      <c r="O24" s="350">
        <f>'Recast Reported'!O24-SUMIFS('QE Detail - MGMT.'!P:P,'QE Detail - MGMT.'!$B:$B,'Recast Mgmt. Adjusted'!$B24)</f>
        <v>0</v>
      </c>
      <c r="P24" s="350">
        <f>'Recast Reported'!P24-SUMIFS('QE Detail - MGMT.'!Q:Q,'QE Detail - MGMT.'!$B:$B,'Recast Mgmt. Adjusted'!$B24)</f>
        <v>0</v>
      </c>
      <c r="Q24" s="350">
        <f>'Recast Reported'!Q24-SUMIFS('QE Detail - MGMT.'!R:R,'QE Detail - MGMT.'!$B:$B,'Recast Mgmt. Adjusted'!$B24)</f>
        <v>0</v>
      </c>
      <c r="R24" s="350">
        <f>'Recast Reported'!R24-SUMIFS('QE Detail - MGMT.'!S:S,'QE Detail - MGMT.'!$B:$B,'Recast Mgmt. Adjusted'!$B24)</f>
        <v>0</v>
      </c>
      <c r="S24" s="350">
        <f>'Recast Reported'!S24-SUMIFS('QE Detail - MGMT.'!T:T,'QE Detail - MGMT.'!$B:$B,'Recast Mgmt. Adjusted'!$B24)</f>
        <v>0</v>
      </c>
      <c r="T24" s="350">
        <f>'Recast Reported'!T24-SUMIFS('QE Detail - MGMT.'!U:U,'QE Detail - MGMT.'!$B:$B,'Recast Mgmt. Adjusted'!$B24)</f>
        <v>0</v>
      </c>
      <c r="U24" s="350">
        <f>'Recast Reported'!U24-SUMIFS('QE Detail - MGMT.'!V:V,'QE Detail - MGMT.'!$B:$B,'Recast Mgmt. Adjusted'!$B24)</f>
        <v>0</v>
      </c>
      <c r="V24" s="350">
        <f>'Recast Reported'!V24-SUMIFS('QE Detail - MGMT.'!W:W,'QE Detail - MGMT.'!$B:$B,'Recast Mgmt. Adjusted'!$B24)</f>
        <v>0</v>
      </c>
      <c r="W24" s="350">
        <f>'Recast Reported'!W24-SUMIFS('QE Detail - MGMT.'!X:X,'QE Detail - MGMT.'!$B:$B,'Recast Mgmt. Adjusted'!$B24)</f>
        <v>0</v>
      </c>
      <c r="X24" s="350">
        <f>'Recast Reported'!X24-SUMIFS('QE Detail - MGMT.'!Y:Y,'QE Detail - MGMT.'!$B:$B,'Recast Mgmt. Adjusted'!$B24)</f>
        <v>0</v>
      </c>
      <c r="Y24" s="350">
        <f>'Recast Reported'!Y24-SUMIFS('QE Detail - MGMT.'!Z:Z,'QE Detail - MGMT.'!$B:$B,'Recast Mgmt. Adjusted'!$B24)</f>
        <v>0</v>
      </c>
      <c r="Z24" s="350">
        <f>'Recast Reported'!Z24-SUMIFS('QE Detail - MGMT.'!AA:AA,'QE Detail - MGMT.'!$B:$B,'Recast Mgmt. Adjusted'!$B24)</f>
        <v>0</v>
      </c>
      <c r="AA24" s="350">
        <f>'Recast Reported'!AA24-SUMIFS('QE Detail - MGMT.'!AB:AB,'QE Detail - MGMT.'!$B:$B,'Recast Mgmt. Adjusted'!$B24)</f>
        <v>0</v>
      </c>
      <c r="AB24" s="350">
        <f>'Recast Reported'!AB24-SUMIFS('QE Detail - MGMT.'!AC:AC,'QE Detail - MGMT.'!$B:$B,'Recast Mgmt. Adjusted'!$B24)</f>
        <v>0</v>
      </c>
      <c r="AC24" s="350">
        <f>'Recast Reported'!AC24-SUMIFS('QE Detail - MGMT.'!AD:AD,'QE Detail - MGMT.'!$B:$B,'Recast Mgmt. Adjusted'!$B24)</f>
        <v>0</v>
      </c>
      <c r="AD24" s="350">
        <f>'Recast Reported'!AD24-SUMIFS('QE Detail - MGMT.'!AE:AE,'QE Detail - MGMT.'!$B:$B,'Recast Mgmt. Adjusted'!$B24)</f>
        <v>0</v>
      </c>
      <c r="AE24" s="350">
        <f>'Recast Reported'!AE24-SUMIFS('QE Detail - MGMT.'!AF:AF,'QE Detail - MGMT.'!$B:$B,'Recast Mgmt. Adjusted'!$B24)</f>
        <v>0</v>
      </c>
      <c r="AF24" s="350">
        <f>'Recast Reported'!AF24-SUMIFS('QE Detail - MGMT.'!AG:AG,'QE Detail - MGMT.'!$B:$B,'Recast Mgmt. Adjusted'!$B24)</f>
        <v>0</v>
      </c>
      <c r="AG24" s="350">
        <f>'Recast Reported'!AG24-SUMIFS('QE Detail - MGMT.'!AH:AH,'QE Detail - MGMT.'!$B:$B,'Recast Mgmt. Adjusted'!$B24)</f>
        <v>0</v>
      </c>
      <c r="AH24" s="350">
        <f>'Recast Reported'!AH24-SUMIFS('QE Detail - MGMT.'!AI:AI,'QE Detail - MGMT.'!$B:$B,'Recast Mgmt. Adjusted'!$B24)</f>
        <v>0</v>
      </c>
      <c r="AI24" s="350">
        <f>'Recast Reported'!AI24-SUMIFS('QE Detail - MGMT.'!AJ:AJ,'QE Detail - MGMT.'!$B:$B,'Recast Mgmt. Adjusted'!$B24)</f>
        <v>0</v>
      </c>
      <c r="AJ24" s="350">
        <f>'Recast Reported'!AJ24-SUMIFS('QE Detail - MGMT.'!AK:AK,'QE Detail - MGMT.'!$B:$B,'Recast Mgmt. Adjusted'!$B24)</f>
        <v>0</v>
      </c>
      <c r="AK24" s="350">
        <f>'Recast Reported'!AK24-SUMIFS('QE Detail - MGMT.'!AL:AL,'QE Detail - MGMT.'!$B:$B,'Recast Mgmt. Adjusted'!$B24)</f>
        <v>0</v>
      </c>
      <c r="AL24" s="350">
        <f>'Recast Reported'!AL24-SUMIFS('QE Detail - MGMT.'!AM:AM,'QE Detail - MGMT.'!$B:$B,'Recast Mgmt. Adjusted'!$B24)</f>
        <v>0</v>
      </c>
      <c r="AM24" s="350">
        <f>'Recast Reported'!AM24-SUMIFS('QE Detail - MGMT.'!AN:AN,'QE Detail - MGMT.'!$B:$B,'Recast Mgmt. Adjusted'!$B24)</f>
        <v>0</v>
      </c>
    </row>
    <row r="25" spans="1:39" s="264" customFormat="1" ht="13.95" customHeight="1">
      <c r="A25" s="435"/>
      <c r="B25" s="434" t="s">
        <v>180</v>
      </c>
      <c r="C25" s="319">
        <f>SUM(C21:C24)</f>
        <v>0</v>
      </c>
      <c r="D25" s="319">
        <f>SUM(D21:D24)</f>
        <v>0</v>
      </c>
      <c r="E25" s="319">
        <f>SUM(E21:E24)</f>
        <v>0</v>
      </c>
      <c r="F25" s="337"/>
      <c r="G25" s="319">
        <f>SUM(G21:G24)</f>
        <v>0</v>
      </c>
      <c r="H25" s="319">
        <f t="shared" ref="H25:AE25" si="25">SUM(H21:H24)</f>
        <v>0</v>
      </c>
      <c r="I25" s="319">
        <f t="shared" si="25"/>
        <v>0</v>
      </c>
      <c r="J25" s="319">
        <f t="shared" si="25"/>
        <v>0</v>
      </c>
      <c r="K25" s="319">
        <f t="shared" si="25"/>
        <v>0</v>
      </c>
      <c r="L25" s="319">
        <f t="shared" si="25"/>
        <v>0</v>
      </c>
      <c r="M25" s="319">
        <f t="shared" si="25"/>
        <v>0</v>
      </c>
      <c r="N25" s="319">
        <f t="shared" si="25"/>
        <v>0</v>
      </c>
      <c r="O25" s="319">
        <f t="shared" si="25"/>
        <v>0</v>
      </c>
      <c r="P25" s="319">
        <f t="shared" si="25"/>
        <v>0</v>
      </c>
      <c r="Q25" s="319">
        <f t="shared" si="25"/>
        <v>0</v>
      </c>
      <c r="R25" s="319">
        <f t="shared" si="25"/>
        <v>0</v>
      </c>
      <c r="S25" s="319">
        <f t="shared" si="25"/>
        <v>0</v>
      </c>
      <c r="T25" s="319">
        <f t="shared" si="25"/>
        <v>0</v>
      </c>
      <c r="U25" s="319">
        <f t="shared" si="25"/>
        <v>0</v>
      </c>
      <c r="V25" s="319">
        <f t="shared" si="25"/>
        <v>0</v>
      </c>
      <c r="W25" s="319">
        <f t="shared" si="25"/>
        <v>0</v>
      </c>
      <c r="X25" s="319">
        <f t="shared" si="25"/>
        <v>0</v>
      </c>
      <c r="Y25" s="319">
        <f t="shared" si="25"/>
        <v>0</v>
      </c>
      <c r="Z25" s="319">
        <f t="shared" si="25"/>
        <v>0</v>
      </c>
      <c r="AA25" s="319">
        <f t="shared" si="25"/>
        <v>0</v>
      </c>
      <c r="AB25" s="319">
        <f t="shared" si="25"/>
        <v>0</v>
      </c>
      <c r="AC25" s="319">
        <f t="shared" si="25"/>
        <v>0</v>
      </c>
      <c r="AD25" s="319">
        <f t="shared" si="25"/>
        <v>0</v>
      </c>
      <c r="AE25" s="319">
        <f t="shared" si="25"/>
        <v>0</v>
      </c>
      <c r="AF25" s="319">
        <f t="shared" ref="AF25:AM25" si="26">SUM(AF21:AF24)</f>
        <v>0</v>
      </c>
      <c r="AG25" s="319">
        <f t="shared" si="26"/>
        <v>0</v>
      </c>
      <c r="AH25" s="319">
        <f t="shared" si="26"/>
        <v>0</v>
      </c>
      <c r="AI25" s="319">
        <f t="shared" si="26"/>
        <v>0</v>
      </c>
      <c r="AJ25" s="319">
        <f t="shared" si="26"/>
        <v>0</v>
      </c>
      <c r="AK25" s="319">
        <f t="shared" si="26"/>
        <v>0</v>
      </c>
      <c r="AL25" s="319">
        <f t="shared" si="26"/>
        <v>0</v>
      </c>
      <c r="AM25" s="319">
        <f t="shared" si="26"/>
        <v>0</v>
      </c>
    </row>
    <row r="26" spans="1:39" s="262" customFormat="1" ht="13.95" customHeight="1">
      <c r="A26" s="311"/>
      <c r="B26" s="223" t="s">
        <v>0</v>
      </c>
      <c r="C26" s="323">
        <f>SUMIFS($G26:$BC26,$G$5:$BC$5,"&lt;="&amp;EOMONTH(C$5,0),$G$6:$BC$6,"&lt;="&amp;C$5)</f>
        <v>0</v>
      </c>
      <c r="D26" s="323">
        <f>SUMIFS($G26:$AT26,$G$5:$AT$5,"&gt;"&amp;EOMONTH(D$5,-12),$G$5:$AT$5,"&lt;="&amp;D$5)</f>
        <v>0</v>
      </c>
      <c r="E26" s="323">
        <f>SUMIFS($G26:$AT26,$G$5:$AT$5,"&gt;"&amp;EOMONTH(E$5,-12),$G$5:$AT$5,"&lt;="&amp;E$5)</f>
        <v>0</v>
      </c>
      <c r="F26" s="334"/>
      <c r="G26" s="323">
        <f>'Recast Reported'!G26-SUMIFS('QE Detail - MGMT.'!H:H,'QE Detail - MGMT.'!$B:$B,'Recast Mgmt. Adjusted'!$B26)</f>
        <v>0</v>
      </c>
      <c r="H26" s="323">
        <f>'Recast Reported'!H26-SUMIFS('QE Detail - MGMT.'!I:I,'QE Detail - MGMT.'!$B:$B,'Recast Mgmt. Adjusted'!$B26)</f>
        <v>0</v>
      </c>
      <c r="I26" s="323">
        <f>'Recast Reported'!I26-SUMIFS('QE Detail - MGMT.'!J:J,'QE Detail - MGMT.'!$B:$B,'Recast Mgmt. Adjusted'!$B26)</f>
        <v>0</v>
      </c>
      <c r="J26" s="323">
        <f>'Recast Reported'!J26-SUMIFS('QE Detail - MGMT.'!K:K,'QE Detail - MGMT.'!$B:$B,'Recast Mgmt. Adjusted'!$B26)</f>
        <v>0</v>
      </c>
      <c r="K26" s="323">
        <f>'Recast Reported'!K26-SUMIFS('QE Detail - MGMT.'!L:L,'QE Detail - MGMT.'!$B:$B,'Recast Mgmt. Adjusted'!$B26)</f>
        <v>0</v>
      </c>
      <c r="L26" s="323">
        <f>'Recast Reported'!L26-SUMIFS('QE Detail - MGMT.'!M:M,'QE Detail - MGMT.'!$B:$B,'Recast Mgmt. Adjusted'!$B26)</f>
        <v>0</v>
      </c>
      <c r="M26" s="323">
        <f>'Recast Reported'!M26-SUMIFS('QE Detail - MGMT.'!N:N,'QE Detail - MGMT.'!$B:$B,'Recast Mgmt. Adjusted'!$B26)</f>
        <v>0</v>
      </c>
      <c r="N26" s="323">
        <f>'Recast Reported'!N26-SUMIFS('QE Detail - MGMT.'!O:O,'QE Detail - MGMT.'!$B:$B,'Recast Mgmt. Adjusted'!$B26)</f>
        <v>0</v>
      </c>
      <c r="O26" s="323">
        <f>'Recast Reported'!O26-SUMIFS('QE Detail - MGMT.'!P:P,'QE Detail - MGMT.'!$B:$B,'Recast Mgmt. Adjusted'!$B26)</f>
        <v>0</v>
      </c>
      <c r="P26" s="323">
        <f>'Recast Reported'!P26-SUMIFS('QE Detail - MGMT.'!Q:Q,'QE Detail - MGMT.'!$B:$B,'Recast Mgmt. Adjusted'!$B26)</f>
        <v>0</v>
      </c>
      <c r="Q26" s="323">
        <f>'Recast Reported'!Q26-SUMIFS('QE Detail - MGMT.'!R:R,'QE Detail - MGMT.'!$B:$B,'Recast Mgmt. Adjusted'!$B26)</f>
        <v>0</v>
      </c>
      <c r="R26" s="323">
        <f>'Recast Reported'!R26-SUMIFS('QE Detail - MGMT.'!S:S,'QE Detail - MGMT.'!$B:$B,'Recast Mgmt. Adjusted'!$B26)</f>
        <v>0</v>
      </c>
      <c r="S26" s="323">
        <f>'Recast Reported'!S26-SUMIFS('QE Detail - MGMT.'!T:T,'QE Detail - MGMT.'!$B:$B,'Recast Mgmt. Adjusted'!$B26)</f>
        <v>0</v>
      </c>
      <c r="T26" s="323">
        <f>'Recast Reported'!T26-SUMIFS('QE Detail - MGMT.'!U:U,'QE Detail - MGMT.'!$B:$B,'Recast Mgmt. Adjusted'!$B26)</f>
        <v>0</v>
      </c>
      <c r="U26" s="323">
        <f>'Recast Reported'!U26-SUMIFS('QE Detail - MGMT.'!V:V,'QE Detail - MGMT.'!$B:$B,'Recast Mgmt. Adjusted'!$B26)</f>
        <v>0</v>
      </c>
      <c r="V26" s="323">
        <f>'Recast Reported'!V26-SUMIFS('QE Detail - MGMT.'!W:W,'QE Detail - MGMT.'!$B:$B,'Recast Mgmt. Adjusted'!$B26)</f>
        <v>0</v>
      </c>
      <c r="W26" s="323">
        <f>'Recast Reported'!W26-SUMIFS('QE Detail - MGMT.'!X:X,'QE Detail - MGMT.'!$B:$B,'Recast Mgmt. Adjusted'!$B26)</f>
        <v>0</v>
      </c>
      <c r="X26" s="323">
        <f>'Recast Reported'!X26-SUMIFS('QE Detail - MGMT.'!Y:Y,'QE Detail - MGMT.'!$B:$B,'Recast Mgmt. Adjusted'!$B26)</f>
        <v>0</v>
      </c>
      <c r="Y26" s="323">
        <f>'Recast Reported'!Y26-SUMIFS('QE Detail - MGMT.'!Z:Z,'QE Detail - MGMT.'!$B:$B,'Recast Mgmt. Adjusted'!$B26)</f>
        <v>0</v>
      </c>
      <c r="Z26" s="323">
        <f>'Recast Reported'!Z26-SUMIFS('QE Detail - MGMT.'!AA:AA,'QE Detail - MGMT.'!$B:$B,'Recast Mgmt. Adjusted'!$B26)</f>
        <v>0</v>
      </c>
      <c r="AA26" s="323">
        <f>'Recast Reported'!AA26-SUMIFS('QE Detail - MGMT.'!AB:AB,'QE Detail - MGMT.'!$B:$B,'Recast Mgmt. Adjusted'!$B26)</f>
        <v>0</v>
      </c>
      <c r="AB26" s="323">
        <f>'Recast Reported'!AB26-SUMIFS('QE Detail - MGMT.'!AC:AC,'QE Detail - MGMT.'!$B:$B,'Recast Mgmt. Adjusted'!$B26)</f>
        <v>0</v>
      </c>
      <c r="AC26" s="323">
        <f>'Recast Reported'!AC26-SUMIFS('QE Detail - MGMT.'!AD:AD,'QE Detail - MGMT.'!$B:$B,'Recast Mgmt. Adjusted'!$B26)</f>
        <v>0</v>
      </c>
      <c r="AD26" s="323">
        <f>'Recast Reported'!AD26-SUMIFS('QE Detail - MGMT.'!AE:AE,'QE Detail - MGMT.'!$B:$B,'Recast Mgmt. Adjusted'!$B26)</f>
        <v>0</v>
      </c>
      <c r="AE26" s="323">
        <f>'Recast Reported'!AE26-SUMIFS('QE Detail - MGMT.'!AF:AF,'QE Detail - MGMT.'!$B:$B,'Recast Mgmt. Adjusted'!$B26)</f>
        <v>0</v>
      </c>
      <c r="AF26" s="323">
        <f>'Recast Reported'!AF26-SUMIFS('QE Detail - MGMT.'!AG:AG,'QE Detail - MGMT.'!$B:$B,'Recast Mgmt. Adjusted'!$B26)</f>
        <v>0</v>
      </c>
      <c r="AG26" s="323">
        <f>'Recast Reported'!AG26-SUMIFS('QE Detail - MGMT.'!AH:AH,'QE Detail - MGMT.'!$B:$B,'Recast Mgmt. Adjusted'!$B26)</f>
        <v>0</v>
      </c>
      <c r="AH26" s="323">
        <f>'Recast Reported'!AH26-SUMIFS('QE Detail - MGMT.'!AI:AI,'QE Detail - MGMT.'!$B:$B,'Recast Mgmt. Adjusted'!$B26)</f>
        <v>0</v>
      </c>
      <c r="AI26" s="323">
        <f>'Recast Reported'!AI26-SUMIFS('QE Detail - MGMT.'!AJ:AJ,'QE Detail - MGMT.'!$B:$B,'Recast Mgmt. Adjusted'!$B26)</f>
        <v>0</v>
      </c>
      <c r="AJ26" s="323">
        <f>'Recast Reported'!AJ26-SUMIFS('QE Detail - MGMT.'!AK:AK,'QE Detail - MGMT.'!$B:$B,'Recast Mgmt. Adjusted'!$B26)</f>
        <v>0</v>
      </c>
      <c r="AK26" s="323">
        <f>'Recast Reported'!AK26-SUMIFS('QE Detail - MGMT.'!AL:AL,'QE Detail - MGMT.'!$B:$B,'Recast Mgmt. Adjusted'!$B26)</f>
        <v>0</v>
      </c>
      <c r="AL26" s="323">
        <f>'Recast Reported'!AL26-SUMIFS('QE Detail - MGMT.'!AM:AM,'QE Detail - MGMT.'!$B:$B,'Recast Mgmt. Adjusted'!$B26)</f>
        <v>0</v>
      </c>
      <c r="AM26" s="323">
        <f>'Recast Reported'!AM26-SUMIFS('QE Detail - MGMT.'!AN:AN,'QE Detail - MGMT.'!$B:$B,'Recast Mgmt. Adjusted'!$B26)</f>
        <v>0</v>
      </c>
    </row>
    <row r="27" spans="1:39" s="262" customFormat="1" ht="13.95" customHeight="1">
      <c r="A27" s="311"/>
      <c r="B27" s="223" t="s">
        <v>1</v>
      </c>
      <c r="C27" s="323">
        <f>SUBTOTAL(9,C28:C42)</f>
        <v>0</v>
      </c>
      <c r="D27" s="323">
        <f t="shared" ref="D27:AE27" si="27">SUBTOTAL(9,D28:D42)</f>
        <v>0</v>
      </c>
      <c r="E27" s="323">
        <f t="shared" si="27"/>
        <v>0</v>
      </c>
      <c r="F27" s="334"/>
      <c r="G27" s="323">
        <f t="shared" si="27"/>
        <v>0</v>
      </c>
      <c r="H27" s="323">
        <f t="shared" si="27"/>
        <v>0</v>
      </c>
      <c r="I27" s="323">
        <f t="shared" si="27"/>
        <v>0</v>
      </c>
      <c r="J27" s="323">
        <f t="shared" si="27"/>
        <v>0</v>
      </c>
      <c r="K27" s="323">
        <f t="shared" si="27"/>
        <v>0</v>
      </c>
      <c r="L27" s="323">
        <f t="shared" si="27"/>
        <v>0</v>
      </c>
      <c r="M27" s="323">
        <f t="shared" si="27"/>
        <v>0</v>
      </c>
      <c r="N27" s="323">
        <f t="shared" si="27"/>
        <v>0</v>
      </c>
      <c r="O27" s="323">
        <f t="shared" si="27"/>
        <v>0</v>
      </c>
      <c r="P27" s="323">
        <f t="shared" si="27"/>
        <v>0</v>
      </c>
      <c r="Q27" s="323">
        <f t="shared" si="27"/>
        <v>0</v>
      </c>
      <c r="R27" s="323">
        <f t="shared" si="27"/>
        <v>0</v>
      </c>
      <c r="S27" s="323">
        <f t="shared" si="27"/>
        <v>0</v>
      </c>
      <c r="T27" s="323">
        <f t="shared" si="27"/>
        <v>0</v>
      </c>
      <c r="U27" s="323">
        <f t="shared" si="27"/>
        <v>0</v>
      </c>
      <c r="V27" s="323">
        <f t="shared" si="27"/>
        <v>0</v>
      </c>
      <c r="W27" s="323">
        <f t="shared" si="27"/>
        <v>0</v>
      </c>
      <c r="X27" s="323">
        <f t="shared" si="27"/>
        <v>0</v>
      </c>
      <c r="Y27" s="323">
        <f t="shared" si="27"/>
        <v>0</v>
      </c>
      <c r="Z27" s="323">
        <f t="shared" si="27"/>
        <v>0</v>
      </c>
      <c r="AA27" s="323">
        <f t="shared" si="27"/>
        <v>0</v>
      </c>
      <c r="AB27" s="323">
        <f t="shared" si="27"/>
        <v>0</v>
      </c>
      <c r="AC27" s="323">
        <f t="shared" si="27"/>
        <v>0</v>
      </c>
      <c r="AD27" s="323">
        <f t="shared" si="27"/>
        <v>0</v>
      </c>
      <c r="AE27" s="323">
        <f t="shared" si="27"/>
        <v>0</v>
      </c>
      <c r="AF27" s="323">
        <f t="shared" ref="AF27" si="28">SUBTOTAL(9,AF28:AF42)</f>
        <v>0</v>
      </c>
      <c r="AG27" s="323">
        <f t="shared" ref="AG27" si="29">SUBTOTAL(9,AG28:AG42)</f>
        <v>0</v>
      </c>
      <c r="AH27" s="323">
        <f t="shared" ref="AH27" si="30">SUBTOTAL(9,AH28:AH42)</f>
        <v>0</v>
      </c>
      <c r="AI27" s="323">
        <f t="shared" ref="AI27" si="31">SUBTOTAL(9,AI28:AI42)</f>
        <v>0</v>
      </c>
      <c r="AJ27" s="323">
        <f t="shared" ref="AJ27" si="32">SUBTOTAL(9,AJ28:AJ42)</f>
        <v>0</v>
      </c>
      <c r="AK27" s="323">
        <f t="shared" ref="AK27" si="33">SUBTOTAL(9,AK28:AK42)</f>
        <v>0</v>
      </c>
      <c r="AL27" s="323">
        <f t="shared" ref="AL27" si="34">SUBTOTAL(9,AL28:AL42)</f>
        <v>0</v>
      </c>
      <c r="AM27" s="323">
        <f t="shared" ref="AM27" si="35">SUBTOTAL(9,AM28:AM42)</f>
        <v>0</v>
      </c>
    </row>
    <row r="28" spans="1:39" s="262" customFormat="1" ht="13.95" customHeight="1" outlineLevel="1">
      <c r="A28" s="311" t="s">
        <v>1</v>
      </c>
      <c r="B28" s="531" t="s">
        <v>211</v>
      </c>
      <c r="C28" s="323">
        <f t="shared" ref="C28:C42" si="36">SUMIFS($G28:$BC28,$G$5:$BC$5,"&lt;="&amp;EOMONTH(C$5,0),$G$6:$BC$6,"&lt;="&amp;C$5)</f>
        <v>0</v>
      </c>
      <c r="D28" s="323">
        <f t="shared" ref="D28:E42" si="37">SUMIFS($G28:$AT28,$G$5:$AT$5,"&gt;"&amp;EOMONTH(D$5,-12),$G$5:$AT$5,"&lt;="&amp;D$5)</f>
        <v>0</v>
      </c>
      <c r="E28" s="323">
        <f t="shared" si="37"/>
        <v>0</v>
      </c>
      <c r="F28" s="334"/>
      <c r="G28" s="323">
        <f>'Recast Reported'!G28-SUMIFS('QE Detail - MGMT.'!H:H,'QE Detail - MGMT.'!$A:$A,'Recast Mgmt. Adjusted'!$B28,'QE Detail - MGMT.'!$B:$B,$A28)</f>
        <v>0</v>
      </c>
      <c r="H28" s="323">
        <f>'Recast Reported'!H28-SUMIFS('QE Detail - MGMT.'!I:I,'QE Detail - MGMT.'!$A:$A,'Recast Mgmt. Adjusted'!$B28,'QE Detail - MGMT.'!$B:$B,$A28)</f>
        <v>0</v>
      </c>
      <c r="I28" s="323">
        <f>'Recast Reported'!I28-SUMIFS('QE Detail - MGMT.'!J:J,'QE Detail - MGMT.'!$A:$A,'Recast Mgmt. Adjusted'!$B28,'QE Detail - MGMT.'!$B:$B,$A28)</f>
        <v>0</v>
      </c>
      <c r="J28" s="323">
        <f>'Recast Reported'!J28-SUMIFS('QE Detail - MGMT.'!K:K,'QE Detail - MGMT.'!$A:$A,'Recast Mgmt. Adjusted'!$B28,'QE Detail - MGMT.'!$B:$B,$A28)</f>
        <v>0</v>
      </c>
      <c r="K28" s="323">
        <f>'Recast Reported'!K28-SUMIFS('QE Detail - MGMT.'!L:L,'QE Detail - MGMT.'!$A:$A,'Recast Mgmt. Adjusted'!$B28,'QE Detail - MGMT.'!$B:$B,$A28)</f>
        <v>0</v>
      </c>
      <c r="L28" s="323">
        <f>'Recast Reported'!L28-SUMIFS('QE Detail - MGMT.'!M:M,'QE Detail - MGMT.'!$A:$A,'Recast Mgmt. Adjusted'!$B28,'QE Detail - MGMT.'!$B:$B,$A28)</f>
        <v>0</v>
      </c>
      <c r="M28" s="323">
        <f>'Recast Reported'!M28-SUMIFS('QE Detail - MGMT.'!N:N,'QE Detail - MGMT.'!$A:$A,'Recast Mgmt. Adjusted'!$B28,'QE Detail - MGMT.'!$B:$B,$A28)</f>
        <v>0</v>
      </c>
      <c r="N28" s="323">
        <f>'Recast Reported'!N28-SUMIFS('QE Detail - MGMT.'!O:O,'QE Detail - MGMT.'!$A:$A,'Recast Mgmt. Adjusted'!$B28,'QE Detail - MGMT.'!$B:$B,$A28)</f>
        <v>0</v>
      </c>
      <c r="O28" s="323">
        <f>'Recast Reported'!O28-SUMIFS('QE Detail - MGMT.'!P:P,'QE Detail - MGMT.'!$A:$A,'Recast Mgmt. Adjusted'!$B28,'QE Detail - MGMT.'!$B:$B,$A28)</f>
        <v>0</v>
      </c>
      <c r="P28" s="323">
        <f>'Recast Reported'!P28-SUMIFS('QE Detail - MGMT.'!Q:Q,'QE Detail - MGMT.'!$A:$A,'Recast Mgmt. Adjusted'!$B28,'QE Detail - MGMT.'!$B:$B,$A28)</f>
        <v>0</v>
      </c>
      <c r="Q28" s="323">
        <f>'Recast Reported'!Q28-SUMIFS('QE Detail - MGMT.'!R:R,'QE Detail - MGMT.'!$A:$A,'Recast Mgmt. Adjusted'!$B28,'QE Detail - MGMT.'!$B:$B,$A28)</f>
        <v>0</v>
      </c>
      <c r="R28" s="323">
        <f>'Recast Reported'!R28-SUMIFS('QE Detail - MGMT.'!S:S,'QE Detail - MGMT.'!$A:$A,'Recast Mgmt. Adjusted'!$B28,'QE Detail - MGMT.'!$B:$B,$A28)</f>
        <v>0</v>
      </c>
      <c r="S28" s="323">
        <f>'Recast Reported'!S28-SUMIFS('QE Detail - MGMT.'!T:T,'QE Detail - MGMT.'!$A:$A,'Recast Mgmt. Adjusted'!$B28,'QE Detail - MGMT.'!$B:$B,$A28)</f>
        <v>0</v>
      </c>
      <c r="T28" s="323">
        <f>'Recast Reported'!T28-SUMIFS('QE Detail - MGMT.'!U:U,'QE Detail - MGMT.'!$A:$A,'Recast Mgmt. Adjusted'!$B28,'QE Detail - MGMT.'!$B:$B,$A28)</f>
        <v>0</v>
      </c>
      <c r="U28" s="323">
        <f>'Recast Reported'!U28-SUMIFS('QE Detail - MGMT.'!V:V,'QE Detail - MGMT.'!$A:$A,'Recast Mgmt. Adjusted'!$B28,'QE Detail - MGMT.'!$B:$B,$A28)</f>
        <v>0</v>
      </c>
      <c r="V28" s="323">
        <f>'Recast Reported'!V28-SUMIFS('QE Detail - MGMT.'!W:W,'QE Detail - MGMT.'!$A:$A,'Recast Mgmt. Adjusted'!$B28,'QE Detail - MGMT.'!$B:$B,$A28)</f>
        <v>0</v>
      </c>
      <c r="W28" s="323">
        <f>'Recast Reported'!W28-SUMIFS('QE Detail - MGMT.'!X:X,'QE Detail - MGMT.'!$A:$A,'Recast Mgmt. Adjusted'!$B28,'QE Detail - MGMT.'!$B:$B,$A28)</f>
        <v>0</v>
      </c>
      <c r="X28" s="323">
        <f>'Recast Reported'!X28-SUMIFS('QE Detail - MGMT.'!Y:Y,'QE Detail - MGMT.'!$A:$A,'Recast Mgmt. Adjusted'!$B28,'QE Detail - MGMT.'!$B:$B,$A28)</f>
        <v>0</v>
      </c>
      <c r="Y28" s="323">
        <f>'Recast Reported'!Y28-SUMIFS('QE Detail - MGMT.'!Z:Z,'QE Detail - MGMT.'!$A:$A,'Recast Mgmt. Adjusted'!$B28,'QE Detail - MGMT.'!$B:$B,$A28)</f>
        <v>0</v>
      </c>
      <c r="Z28" s="323">
        <f>'Recast Reported'!Z28-SUMIFS('QE Detail - MGMT.'!AA:AA,'QE Detail - MGMT.'!$A:$A,'Recast Mgmt. Adjusted'!$B28,'QE Detail - MGMT.'!$B:$B,$A28)</f>
        <v>0</v>
      </c>
      <c r="AA28" s="323">
        <f>'Recast Reported'!AA28-SUMIFS('QE Detail - MGMT.'!AB:AB,'QE Detail - MGMT.'!$A:$A,'Recast Mgmt. Adjusted'!$B28,'QE Detail - MGMT.'!$B:$B,$A28)</f>
        <v>0</v>
      </c>
      <c r="AB28" s="323">
        <f>'Recast Reported'!AB28-SUMIFS('QE Detail - MGMT.'!AC:AC,'QE Detail - MGMT.'!$A:$A,'Recast Mgmt. Adjusted'!$B28,'QE Detail - MGMT.'!$B:$B,$A28)</f>
        <v>0</v>
      </c>
      <c r="AC28" s="323">
        <f>'Recast Reported'!AC28-SUMIFS('QE Detail - MGMT.'!AD:AD,'QE Detail - MGMT.'!$A:$A,'Recast Mgmt. Adjusted'!$B28,'QE Detail - MGMT.'!$B:$B,$A28)</f>
        <v>0</v>
      </c>
      <c r="AD28" s="323">
        <f>'Recast Reported'!AD28-SUMIFS('QE Detail - MGMT.'!AE:AE,'QE Detail - MGMT.'!$A:$A,'Recast Mgmt. Adjusted'!$B28,'QE Detail - MGMT.'!$B:$B,$A28)</f>
        <v>0</v>
      </c>
      <c r="AE28" s="323">
        <f>'Recast Reported'!AE28-SUMIFS('QE Detail - MGMT.'!AF:AF,'QE Detail - MGMT.'!$A:$A,'Recast Mgmt. Adjusted'!$B28,'QE Detail - MGMT.'!$B:$B,$A28)</f>
        <v>0</v>
      </c>
      <c r="AF28" s="323">
        <f>'Recast Reported'!AF28-SUMIFS('QE Detail - MGMT.'!AG:AG,'QE Detail - MGMT.'!$A:$A,'Recast Mgmt. Adjusted'!$B28,'QE Detail - MGMT.'!$B:$B,$A28)</f>
        <v>0</v>
      </c>
      <c r="AG28" s="323">
        <f>'Recast Reported'!AG28-SUMIFS('QE Detail - MGMT.'!AH:AH,'QE Detail - MGMT.'!$A:$A,'Recast Mgmt. Adjusted'!$B28,'QE Detail - MGMT.'!$B:$B,$A28)</f>
        <v>0</v>
      </c>
      <c r="AH28" s="323">
        <f>'Recast Reported'!AH28-SUMIFS('QE Detail - MGMT.'!AI:AI,'QE Detail - MGMT.'!$A:$A,'Recast Mgmt. Adjusted'!$B28,'QE Detail - MGMT.'!$B:$B,$A28)</f>
        <v>0</v>
      </c>
      <c r="AI28" s="323">
        <f>'Recast Reported'!AI28-SUMIFS('QE Detail - MGMT.'!AJ:AJ,'QE Detail - MGMT.'!$A:$A,'Recast Mgmt. Adjusted'!$B28,'QE Detail - MGMT.'!$B:$B,$A28)</f>
        <v>0</v>
      </c>
      <c r="AJ28" s="323">
        <f>'Recast Reported'!AJ28-SUMIFS('QE Detail - MGMT.'!AK:AK,'QE Detail - MGMT.'!$A:$A,'Recast Mgmt. Adjusted'!$B28,'QE Detail - MGMT.'!$B:$B,$A28)</f>
        <v>0</v>
      </c>
      <c r="AK28" s="323">
        <f>'Recast Reported'!AK28-SUMIFS('QE Detail - MGMT.'!AL:AL,'QE Detail - MGMT.'!$A:$A,'Recast Mgmt. Adjusted'!$B28,'QE Detail - MGMT.'!$B:$B,$A28)</f>
        <v>0</v>
      </c>
      <c r="AL28" s="323">
        <f>'Recast Reported'!AL28-SUMIFS('QE Detail - MGMT.'!AM:AM,'QE Detail - MGMT.'!$A:$A,'Recast Mgmt. Adjusted'!$B28,'QE Detail - MGMT.'!$B:$B,$A28)</f>
        <v>0</v>
      </c>
      <c r="AM28" s="323">
        <f>'Recast Reported'!AM28-SUMIFS('QE Detail - MGMT.'!AN:AN,'QE Detail - MGMT.'!$A:$A,'Recast Mgmt. Adjusted'!$B28,'QE Detail - MGMT.'!$B:$B,$A28)</f>
        <v>0</v>
      </c>
    </row>
    <row r="29" spans="1:39" s="262" customFormat="1" ht="13.95" customHeight="1" outlineLevel="1">
      <c r="A29" s="311" t="s">
        <v>1</v>
      </c>
      <c r="B29" s="531" t="s">
        <v>212</v>
      </c>
      <c r="C29" s="323">
        <f t="shared" si="36"/>
        <v>0</v>
      </c>
      <c r="D29" s="323">
        <f t="shared" si="37"/>
        <v>0</v>
      </c>
      <c r="E29" s="323">
        <f t="shared" si="37"/>
        <v>0</v>
      </c>
      <c r="F29" s="334"/>
      <c r="G29" s="323">
        <f>'Recast Reported'!G29-SUMIFS('QE Detail - MGMT.'!H:H,'QE Detail - MGMT.'!$A:$A,'Recast Mgmt. Adjusted'!$B29,'QE Detail - MGMT.'!$B:$B,$A29)</f>
        <v>0</v>
      </c>
      <c r="H29" s="323">
        <f>'Recast Reported'!H29-SUMIFS('QE Detail - MGMT.'!I:I,'QE Detail - MGMT.'!$A:$A,'Recast Mgmt. Adjusted'!$B29,'QE Detail - MGMT.'!$B:$B,$A29)</f>
        <v>0</v>
      </c>
      <c r="I29" s="323">
        <f>'Recast Reported'!I29-SUMIFS('QE Detail - MGMT.'!J:J,'QE Detail - MGMT.'!$A:$A,'Recast Mgmt. Adjusted'!$B29,'QE Detail - MGMT.'!$B:$B,$A29)</f>
        <v>0</v>
      </c>
      <c r="J29" s="323">
        <f>'Recast Reported'!J29-SUMIFS('QE Detail - MGMT.'!K:K,'QE Detail - MGMT.'!$A:$A,'Recast Mgmt. Adjusted'!$B29,'QE Detail - MGMT.'!$B:$B,$A29)</f>
        <v>0</v>
      </c>
      <c r="K29" s="323">
        <f>'Recast Reported'!K29-SUMIFS('QE Detail - MGMT.'!L:L,'QE Detail - MGMT.'!$A:$A,'Recast Mgmt. Adjusted'!$B29,'QE Detail - MGMT.'!$B:$B,$A29)</f>
        <v>0</v>
      </c>
      <c r="L29" s="323">
        <f>'Recast Reported'!L29-SUMIFS('QE Detail - MGMT.'!M:M,'QE Detail - MGMT.'!$A:$A,'Recast Mgmt. Adjusted'!$B29,'QE Detail - MGMT.'!$B:$B,$A29)</f>
        <v>0</v>
      </c>
      <c r="M29" s="323">
        <f>'Recast Reported'!M29-SUMIFS('QE Detail - MGMT.'!N:N,'QE Detail - MGMT.'!$A:$A,'Recast Mgmt. Adjusted'!$B29,'QE Detail - MGMT.'!$B:$B,$A29)</f>
        <v>0</v>
      </c>
      <c r="N29" s="323">
        <f>'Recast Reported'!N29-SUMIFS('QE Detail - MGMT.'!O:O,'QE Detail - MGMT.'!$A:$A,'Recast Mgmt. Adjusted'!$B29,'QE Detail - MGMT.'!$B:$B,$A29)</f>
        <v>0</v>
      </c>
      <c r="O29" s="323">
        <f>'Recast Reported'!O29-SUMIFS('QE Detail - MGMT.'!P:P,'QE Detail - MGMT.'!$A:$A,'Recast Mgmt. Adjusted'!$B29,'QE Detail - MGMT.'!$B:$B,$A29)</f>
        <v>0</v>
      </c>
      <c r="P29" s="323">
        <f>'Recast Reported'!P29-SUMIFS('QE Detail - MGMT.'!Q:Q,'QE Detail - MGMT.'!$A:$A,'Recast Mgmt. Adjusted'!$B29,'QE Detail - MGMT.'!$B:$B,$A29)</f>
        <v>0</v>
      </c>
      <c r="Q29" s="323">
        <f>'Recast Reported'!Q29-SUMIFS('QE Detail - MGMT.'!R:R,'QE Detail - MGMT.'!$A:$A,'Recast Mgmt. Adjusted'!$B29,'QE Detail - MGMT.'!$B:$B,$A29)</f>
        <v>0</v>
      </c>
      <c r="R29" s="323">
        <f>'Recast Reported'!R29-SUMIFS('QE Detail - MGMT.'!S:S,'QE Detail - MGMT.'!$A:$A,'Recast Mgmt. Adjusted'!$B29,'QE Detail - MGMT.'!$B:$B,$A29)</f>
        <v>0</v>
      </c>
      <c r="S29" s="323">
        <f>'Recast Reported'!S29-SUMIFS('QE Detail - MGMT.'!T:T,'QE Detail - MGMT.'!$A:$A,'Recast Mgmt. Adjusted'!$B29,'QE Detail - MGMT.'!$B:$B,$A29)</f>
        <v>0</v>
      </c>
      <c r="T29" s="323">
        <f>'Recast Reported'!T29-SUMIFS('QE Detail - MGMT.'!U:U,'QE Detail - MGMT.'!$A:$A,'Recast Mgmt. Adjusted'!$B29,'QE Detail - MGMT.'!$B:$B,$A29)</f>
        <v>0</v>
      </c>
      <c r="U29" s="323">
        <f>'Recast Reported'!U29-SUMIFS('QE Detail - MGMT.'!V:V,'QE Detail - MGMT.'!$A:$A,'Recast Mgmt. Adjusted'!$B29,'QE Detail - MGMT.'!$B:$B,$A29)</f>
        <v>0</v>
      </c>
      <c r="V29" s="323">
        <f>'Recast Reported'!V29-SUMIFS('QE Detail - MGMT.'!W:W,'QE Detail - MGMT.'!$A:$A,'Recast Mgmt. Adjusted'!$B29,'QE Detail - MGMT.'!$B:$B,$A29)</f>
        <v>0</v>
      </c>
      <c r="W29" s="323">
        <f>'Recast Reported'!W29-SUMIFS('QE Detail - MGMT.'!X:X,'QE Detail - MGMT.'!$A:$A,'Recast Mgmt. Adjusted'!$B29,'QE Detail - MGMT.'!$B:$B,$A29)</f>
        <v>0</v>
      </c>
      <c r="X29" s="323">
        <f>'Recast Reported'!X29-SUMIFS('QE Detail - MGMT.'!Y:Y,'QE Detail - MGMT.'!$A:$A,'Recast Mgmt. Adjusted'!$B29,'QE Detail - MGMT.'!$B:$B,$A29)</f>
        <v>0</v>
      </c>
      <c r="Y29" s="323">
        <f>'Recast Reported'!Y29-SUMIFS('QE Detail - MGMT.'!Z:Z,'QE Detail - MGMT.'!$A:$A,'Recast Mgmt. Adjusted'!$B29,'QE Detail - MGMT.'!$B:$B,$A29)</f>
        <v>0</v>
      </c>
      <c r="Z29" s="323">
        <f>'Recast Reported'!Z29-SUMIFS('QE Detail - MGMT.'!AA:AA,'QE Detail - MGMT.'!$A:$A,'Recast Mgmt. Adjusted'!$B29,'QE Detail - MGMT.'!$B:$B,$A29)</f>
        <v>0</v>
      </c>
      <c r="AA29" s="323">
        <f>'Recast Reported'!AA29-SUMIFS('QE Detail - MGMT.'!AB:AB,'QE Detail - MGMT.'!$A:$A,'Recast Mgmt. Adjusted'!$B29,'QE Detail - MGMT.'!$B:$B,$A29)</f>
        <v>0</v>
      </c>
      <c r="AB29" s="323">
        <f>'Recast Reported'!AB29-SUMIFS('QE Detail - MGMT.'!AC:AC,'QE Detail - MGMT.'!$A:$A,'Recast Mgmt. Adjusted'!$B29,'QE Detail - MGMT.'!$B:$B,$A29)</f>
        <v>0</v>
      </c>
      <c r="AC29" s="323">
        <f>'Recast Reported'!AC29-SUMIFS('QE Detail - MGMT.'!AD:AD,'QE Detail - MGMT.'!$A:$A,'Recast Mgmt. Adjusted'!$B29,'QE Detail - MGMT.'!$B:$B,$A29)</f>
        <v>0</v>
      </c>
      <c r="AD29" s="323">
        <f>'Recast Reported'!AD29-SUMIFS('QE Detail - MGMT.'!AE:AE,'QE Detail - MGMT.'!$A:$A,'Recast Mgmt. Adjusted'!$B29,'QE Detail - MGMT.'!$B:$B,$A29)</f>
        <v>0</v>
      </c>
      <c r="AE29" s="323">
        <f>'Recast Reported'!AE29-SUMIFS('QE Detail - MGMT.'!AF:AF,'QE Detail - MGMT.'!$A:$A,'Recast Mgmt. Adjusted'!$B29,'QE Detail - MGMT.'!$B:$B,$A29)</f>
        <v>0</v>
      </c>
      <c r="AF29" s="323">
        <f>'Recast Reported'!AF29-SUMIFS('QE Detail - MGMT.'!AG:AG,'QE Detail - MGMT.'!$A:$A,'Recast Mgmt. Adjusted'!$B29,'QE Detail - MGMT.'!$B:$B,$A29)</f>
        <v>0</v>
      </c>
      <c r="AG29" s="323">
        <f>'Recast Reported'!AG29-SUMIFS('QE Detail - MGMT.'!AH:AH,'QE Detail - MGMT.'!$A:$A,'Recast Mgmt. Adjusted'!$B29,'QE Detail - MGMT.'!$B:$B,$A29)</f>
        <v>0</v>
      </c>
      <c r="AH29" s="323">
        <f>'Recast Reported'!AH29-SUMIFS('QE Detail - MGMT.'!AI:AI,'QE Detail - MGMT.'!$A:$A,'Recast Mgmt. Adjusted'!$B29,'QE Detail - MGMT.'!$B:$B,$A29)</f>
        <v>0</v>
      </c>
      <c r="AI29" s="323">
        <f>'Recast Reported'!AI29-SUMIFS('QE Detail - MGMT.'!AJ:AJ,'QE Detail - MGMT.'!$A:$A,'Recast Mgmt. Adjusted'!$B29,'QE Detail - MGMT.'!$B:$B,$A29)</f>
        <v>0</v>
      </c>
      <c r="AJ29" s="323">
        <f>'Recast Reported'!AJ29-SUMIFS('QE Detail - MGMT.'!AK:AK,'QE Detail - MGMT.'!$A:$A,'Recast Mgmt. Adjusted'!$B29,'QE Detail - MGMT.'!$B:$B,$A29)</f>
        <v>0</v>
      </c>
      <c r="AK29" s="323">
        <f>'Recast Reported'!AK29-SUMIFS('QE Detail - MGMT.'!AL:AL,'QE Detail - MGMT.'!$A:$A,'Recast Mgmt. Adjusted'!$B29,'QE Detail - MGMT.'!$B:$B,$A29)</f>
        <v>0</v>
      </c>
      <c r="AL29" s="323">
        <f>'Recast Reported'!AL29-SUMIFS('QE Detail - MGMT.'!AM:AM,'QE Detail - MGMT.'!$A:$A,'Recast Mgmt. Adjusted'!$B29,'QE Detail - MGMT.'!$B:$B,$A29)</f>
        <v>0</v>
      </c>
      <c r="AM29" s="323">
        <f>'Recast Reported'!AM29-SUMIFS('QE Detail - MGMT.'!AN:AN,'QE Detail - MGMT.'!$A:$A,'Recast Mgmt. Adjusted'!$B29,'QE Detail - MGMT.'!$B:$B,$A29)</f>
        <v>0</v>
      </c>
    </row>
    <row r="30" spans="1:39" s="262" customFormat="1" ht="13.95" customHeight="1" outlineLevel="1">
      <c r="A30" s="311" t="s">
        <v>1</v>
      </c>
      <c r="B30" s="531" t="s">
        <v>213</v>
      </c>
      <c r="C30" s="323">
        <f t="shared" si="36"/>
        <v>0</v>
      </c>
      <c r="D30" s="323">
        <f t="shared" si="37"/>
        <v>0</v>
      </c>
      <c r="E30" s="323">
        <f t="shared" si="37"/>
        <v>0</v>
      </c>
      <c r="F30" s="334"/>
      <c r="G30" s="323">
        <f>'Recast Reported'!G30-SUMIFS('QE Detail - MGMT.'!H:H,'QE Detail - MGMT.'!$A:$A,'Recast Mgmt. Adjusted'!$B30,'QE Detail - MGMT.'!$B:$B,$A30)</f>
        <v>0</v>
      </c>
      <c r="H30" s="323">
        <f>'Recast Reported'!H30-SUMIFS('QE Detail - MGMT.'!I:I,'QE Detail - MGMT.'!$A:$A,'Recast Mgmt. Adjusted'!$B30,'QE Detail - MGMT.'!$B:$B,$A30)</f>
        <v>0</v>
      </c>
      <c r="I30" s="323">
        <f>'Recast Reported'!I30-SUMIFS('QE Detail - MGMT.'!J:J,'QE Detail - MGMT.'!$A:$A,'Recast Mgmt. Adjusted'!$B30,'QE Detail - MGMT.'!$B:$B,$A30)</f>
        <v>0</v>
      </c>
      <c r="J30" s="323">
        <f>'Recast Reported'!J30-SUMIFS('QE Detail - MGMT.'!K:K,'QE Detail - MGMT.'!$A:$A,'Recast Mgmt. Adjusted'!$B30,'QE Detail - MGMT.'!$B:$B,$A30)</f>
        <v>0</v>
      </c>
      <c r="K30" s="323">
        <f>'Recast Reported'!K30-SUMIFS('QE Detail - MGMT.'!L:L,'QE Detail - MGMT.'!$A:$A,'Recast Mgmt. Adjusted'!$B30,'QE Detail - MGMT.'!$B:$B,$A30)</f>
        <v>0</v>
      </c>
      <c r="L30" s="323">
        <f>'Recast Reported'!L30-SUMIFS('QE Detail - MGMT.'!M:M,'QE Detail - MGMT.'!$A:$A,'Recast Mgmt. Adjusted'!$B30,'QE Detail - MGMT.'!$B:$B,$A30)</f>
        <v>0</v>
      </c>
      <c r="M30" s="323">
        <f>'Recast Reported'!M30-SUMIFS('QE Detail - MGMT.'!N:N,'QE Detail - MGMT.'!$A:$A,'Recast Mgmt. Adjusted'!$B30,'QE Detail - MGMT.'!$B:$B,$A30)</f>
        <v>0</v>
      </c>
      <c r="N30" s="323">
        <f>'Recast Reported'!N30-SUMIFS('QE Detail - MGMT.'!O:O,'QE Detail - MGMT.'!$A:$A,'Recast Mgmt. Adjusted'!$B30,'QE Detail - MGMT.'!$B:$B,$A30)</f>
        <v>0</v>
      </c>
      <c r="O30" s="323">
        <f>'Recast Reported'!O30-SUMIFS('QE Detail - MGMT.'!P:P,'QE Detail - MGMT.'!$A:$A,'Recast Mgmt. Adjusted'!$B30,'QE Detail - MGMT.'!$B:$B,$A30)</f>
        <v>0</v>
      </c>
      <c r="P30" s="323">
        <f>'Recast Reported'!P30-SUMIFS('QE Detail - MGMT.'!Q:Q,'QE Detail - MGMT.'!$A:$A,'Recast Mgmt. Adjusted'!$B30,'QE Detail - MGMT.'!$B:$B,$A30)</f>
        <v>0</v>
      </c>
      <c r="Q30" s="323">
        <f>'Recast Reported'!Q30-SUMIFS('QE Detail - MGMT.'!R:R,'QE Detail - MGMT.'!$A:$A,'Recast Mgmt. Adjusted'!$B30,'QE Detail - MGMT.'!$B:$B,$A30)</f>
        <v>0</v>
      </c>
      <c r="R30" s="323">
        <f>'Recast Reported'!R30-SUMIFS('QE Detail - MGMT.'!S:S,'QE Detail - MGMT.'!$A:$A,'Recast Mgmt. Adjusted'!$B30,'QE Detail - MGMT.'!$B:$B,$A30)</f>
        <v>0</v>
      </c>
      <c r="S30" s="323">
        <f>'Recast Reported'!S30-SUMIFS('QE Detail - MGMT.'!T:T,'QE Detail - MGMT.'!$A:$A,'Recast Mgmt. Adjusted'!$B30,'QE Detail - MGMT.'!$B:$B,$A30)</f>
        <v>0</v>
      </c>
      <c r="T30" s="323">
        <f>'Recast Reported'!T30-SUMIFS('QE Detail - MGMT.'!U:U,'QE Detail - MGMT.'!$A:$A,'Recast Mgmt. Adjusted'!$B30,'QE Detail - MGMT.'!$B:$B,$A30)</f>
        <v>0</v>
      </c>
      <c r="U30" s="323">
        <f>'Recast Reported'!U30-SUMIFS('QE Detail - MGMT.'!V:V,'QE Detail - MGMT.'!$A:$A,'Recast Mgmt. Adjusted'!$B30,'QE Detail - MGMT.'!$B:$B,$A30)</f>
        <v>0</v>
      </c>
      <c r="V30" s="323">
        <f>'Recast Reported'!V30-SUMIFS('QE Detail - MGMT.'!W:W,'QE Detail - MGMT.'!$A:$A,'Recast Mgmt. Adjusted'!$B30,'QE Detail - MGMT.'!$B:$B,$A30)</f>
        <v>0</v>
      </c>
      <c r="W30" s="323">
        <f>'Recast Reported'!W30-SUMIFS('QE Detail - MGMT.'!X:X,'QE Detail - MGMT.'!$A:$A,'Recast Mgmt. Adjusted'!$B30,'QE Detail - MGMT.'!$B:$B,$A30)</f>
        <v>0</v>
      </c>
      <c r="X30" s="323">
        <f>'Recast Reported'!X30-SUMIFS('QE Detail - MGMT.'!Y:Y,'QE Detail - MGMT.'!$A:$A,'Recast Mgmt. Adjusted'!$B30,'QE Detail - MGMT.'!$B:$B,$A30)</f>
        <v>0</v>
      </c>
      <c r="Y30" s="323">
        <f>'Recast Reported'!Y30-SUMIFS('QE Detail - MGMT.'!Z:Z,'QE Detail - MGMT.'!$A:$A,'Recast Mgmt. Adjusted'!$B30,'QE Detail - MGMT.'!$B:$B,$A30)</f>
        <v>0</v>
      </c>
      <c r="Z30" s="323">
        <f>'Recast Reported'!Z30-SUMIFS('QE Detail - MGMT.'!AA:AA,'QE Detail - MGMT.'!$A:$A,'Recast Mgmt. Adjusted'!$B30,'QE Detail - MGMT.'!$B:$B,$A30)</f>
        <v>0</v>
      </c>
      <c r="AA30" s="323">
        <f>'Recast Reported'!AA30-SUMIFS('QE Detail - MGMT.'!AB:AB,'QE Detail - MGMT.'!$A:$A,'Recast Mgmt. Adjusted'!$B30,'QE Detail - MGMT.'!$B:$B,$A30)</f>
        <v>0</v>
      </c>
      <c r="AB30" s="323">
        <f>'Recast Reported'!AB30-SUMIFS('QE Detail - MGMT.'!AC:AC,'QE Detail - MGMT.'!$A:$A,'Recast Mgmt. Adjusted'!$B30,'QE Detail - MGMT.'!$B:$B,$A30)</f>
        <v>0</v>
      </c>
      <c r="AC30" s="323">
        <f>'Recast Reported'!AC30-SUMIFS('QE Detail - MGMT.'!AD:AD,'QE Detail - MGMT.'!$A:$A,'Recast Mgmt. Adjusted'!$B30,'QE Detail - MGMT.'!$B:$B,$A30)</f>
        <v>0</v>
      </c>
      <c r="AD30" s="323">
        <f>'Recast Reported'!AD30-SUMIFS('QE Detail - MGMT.'!AE:AE,'QE Detail - MGMT.'!$A:$A,'Recast Mgmt. Adjusted'!$B30,'QE Detail - MGMT.'!$B:$B,$A30)</f>
        <v>0</v>
      </c>
      <c r="AE30" s="323">
        <f>'Recast Reported'!AE30-SUMIFS('QE Detail - MGMT.'!AF:AF,'QE Detail - MGMT.'!$A:$A,'Recast Mgmt. Adjusted'!$B30,'QE Detail - MGMT.'!$B:$B,$A30)</f>
        <v>0</v>
      </c>
      <c r="AF30" s="323">
        <f>'Recast Reported'!AF30-SUMIFS('QE Detail - MGMT.'!AG:AG,'QE Detail - MGMT.'!$A:$A,'Recast Mgmt. Adjusted'!$B30,'QE Detail - MGMT.'!$B:$B,$A30)</f>
        <v>0</v>
      </c>
      <c r="AG30" s="323">
        <f>'Recast Reported'!AG30-SUMIFS('QE Detail - MGMT.'!AH:AH,'QE Detail - MGMT.'!$A:$A,'Recast Mgmt. Adjusted'!$B30,'QE Detail - MGMT.'!$B:$B,$A30)</f>
        <v>0</v>
      </c>
      <c r="AH30" s="323">
        <f>'Recast Reported'!AH30-SUMIFS('QE Detail - MGMT.'!AI:AI,'QE Detail - MGMT.'!$A:$A,'Recast Mgmt. Adjusted'!$B30,'QE Detail - MGMT.'!$B:$B,$A30)</f>
        <v>0</v>
      </c>
      <c r="AI30" s="323">
        <f>'Recast Reported'!AI30-SUMIFS('QE Detail - MGMT.'!AJ:AJ,'QE Detail - MGMT.'!$A:$A,'Recast Mgmt. Adjusted'!$B30,'QE Detail - MGMT.'!$B:$B,$A30)</f>
        <v>0</v>
      </c>
      <c r="AJ30" s="323">
        <f>'Recast Reported'!AJ30-SUMIFS('QE Detail - MGMT.'!AK:AK,'QE Detail - MGMT.'!$A:$A,'Recast Mgmt. Adjusted'!$B30,'QE Detail - MGMT.'!$B:$B,$A30)</f>
        <v>0</v>
      </c>
      <c r="AK30" s="323">
        <f>'Recast Reported'!AK30-SUMIFS('QE Detail - MGMT.'!AL:AL,'QE Detail - MGMT.'!$A:$A,'Recast Mgmt. Adjusted'!$B30,'QE Detail - MGMT.'!$B:$B,$A30)</f>
        <v>0</v>
      </c>
      <c r="AL30" s="323">
        <f>'Recast Reported'!AL30-SUMIFS('QE Detail - MGMT.'!AM:AM,'QE Detail - MGMT.'!$A:$A,'Recast Mgmt. Adjusted'!$B30,'QE Detail - MGMT.'!$B:$B,$A30)</f>
        <v>0</v>
      </c>
      <c r="AM30" s="323">
        <f>'Recast Reported'!AM30-SUMIFS('QE Detail - MGMT.'!AN:AN,'QE Detail - MGMT.'!$A:$A,'Recast Mgmt. Adjusted'!$B30,'QE Detail - MGMT.'!$B:$B,$A30)</f>
        <v>0</v>
      </c>
    </row>
    <row r="31" spans="1:39" s="262" customFormat="1" ht="13.95" customHeight="1" outlineLevel="1">
      <c r="A31" s="311" t="s">
        <v>1</v>
      </c>
      <c r="B31" s="531" t="s">
        <v>214</v>
      </c>
      <c r="C31" s="323">
        <f t="shared" si="36"/>
        <v>0</v>
      </c>
      <c r="D31" s="323">
        <f t="shared" si="37"/>
        <v>0</v>
      </c>
      <c r="E31" s="323">
        <f t="shared" si="37"/>
        <v>0</v>
      </c>
      <c r="F31" s="334"/>
      <c r="G31" s="323">
        <f>'Recast Reported'!G31-SUMIFS('QE Detail - MGMT.'!H:H,'QE Detail - MGMT.'!$A:$A,'Recast Mgmt. Adjusted'!$B31,'QE Detail - MGMT.'!$B:$B,$A31)</f>
        <v>0</v>
      </c>
      <c r="H31" s="323">
        <f>'Recast Reported'!H31-SUMIFS('QE Detail - MGMT.'!I:I,'QE Detail - MGMT.'!$A:$A,'Recast Mgmt. Adjusted'!$B31,'QE Detail - MGMT.'!$B:$B,$A31)</f>
        <v>0</v>
      </c>
      <c r="I31" s="323">
        <f>'Recast Reported'!I31-SUMIFS('QE Detail - MGMT.'!J:J,'QE Detail - MGMT.'!$A:$A,'Recast Mgmt. Adjusted'!$B31,'QE Detail - MGMT.'!$B:$B,$A31)</f>
        <v>0</v>
      </c>
      <c r="J31" s="323">
        <f>'Recast Reported'!J31-SUMIFS('QE Detail - MGMT.'!K:K,'QE Detail - MGMT.'!$A:$A,'Recast Mgmt. Adjusted'!$B31,'QE Detail - MGMT.'!$B:$B,$A31)</f>
        <v>0</v>
      </c>
      <c r="K31" s="323">
        <f>'Recast Reported'!K31-SUMIFS('QE Detail - MGMT.'!L:L,'QE Detail - MGMT.'!$A:$A,'Recast Mgmt. Adjusted'!$B31,'QE Detail - MGMT.'!$B:$B,$A31)</f>
        <v>0</v>
      </c>
      <c r="L31" s="323">
        <f>'Recast Reported'!L31-SUMIFS('QE Detail - MGMT.'!M:M,'QE Detail - MGMT.'!$A:$A,'Recast Mgmt. Adjusted'!$B31,'QE Detail - MGMT.'!$B:$B,$A31)</f>
        <v>0</v>
      </c>
      <c r="M31" s="323">
        <f>'Recast Reported'!M31-SUMIFS('QE Detail - MGMT.'!N:N,'QE Detail - MGMT.'!$A:$A,'Recast Mgmt. Adjusted'!$B31,'QE Detail - MGMT.'!$B:$B,$A31)</f>
        <v>0</v>
      </c>
      <c r="N31" s="323">
        <f>'Recast Reported'!N31-SUMIFS('QE Detail - MGMT.'!O:O,'QE Detail - MGMT.'!$A:$A,'Recast Mgmt. Adjusted'!$B31,'QE Detail - MGMT.'!$B:$B,$A31)</f>
        <v>0</v>
      </c>
      <c r="O31" s="323">
        <f>'Recast Reported'!O31-SUMIFS('QE Detail - MGMT.'!P:P,'QE Detail - MGMT.'!$A:$A,'Recast Mgmt. Adjusted'!$B31,'QE Detail - MGMT.'!$B:$B,$A31)</f>
        <v>0</v>
      </c>
      <c r="P31" s="323">
        <f>'Recast Reported'!P31-SUMIFS('QE Detail - MGMT.'!Q:Q,'QE Detail - MGMT.'!$A:$A,'Recast Mgmt. Adjusted'!$B31,'QE Detail - MGMT.'!$B:$B,$A31)</f>
        <v>0</v>
      </c>
      <c r="Q31" s="323">
        <f>'Recast Reported'!Q31-SUMIFS('QE Detail - MGMT.'!R:R,'QE Detail - MGMT.'!$A:$A,'Recast Mgmt. Adjusted'!$B31,'QE Detail - MGMT.'!$B:$B,$A31)</f>
        <v>0</v>
      </c>
      <c r="R31" s="323">
        <f>'Recast Reported'!R31-SUMIFS('QE Detail - MGMT.'!S:S,'QE Detail - MGMT.'!$A:$A,'Recast Mgmt. Adjusted'!$B31,'QE Detail - MGMT.'!$B:$B,$A31)</f>
        <v>0</v>
      </c>
      <c r="S31" s="323">
        <f>'Recast Reported'!S31-SUMIFS('QE Detail - MGMT.'!T:T,'QE Detail - MGMT.'!$A:$A,'Recast Mgmt. Adjusted'!$B31,'QE Detail - MGMT.'!$B:$B,$A31)</f>
        <v>0</v>
      </c>
      <c r="T31" s="323">
        <f>'Recast Reported'!T31-SUMIFS('QE Detail - MGMT.'!U:U,'QE Detail - MGMT.'!$A:$A,'Recast Mgmt. Adjusted'!$B31,'QE Detail - MGMT.'!$B:$B,$A31)</f>
        <v>0</v>
      </c>
      <c r="U31" s="323">
        <f>'Recast Reported'!U31-SUMIFS('QE Detail - MGMT.'!V:V,'QE Detail - MGMT.'!$A:$A,'Recast Mgmt. Adjusted'!$B31,'QE Detail - MGMT.'!$B:$B,$A31)</f>
        <v>0</v>
      </c>
      <c r="V31" s="323">
        <f>'Recast Reported'!V31-SUMIFS('QE Detail - MGMT.'!W:W,'QE Detail - MGMT.'!$A:$A,'Recast Mgmt. Adjusted'!$B31,'QE Detail - MGMT.'!$B:$B,$A31)</f>
        <v>0</v>
      </c>
      <c r="W31" s="323">
        <f>'Recast Reported'!W31-SUMIFS('QE Detail - MGMT.'!X:X,'QE Detail - MGMT.'!$A:$A,'Recast Mgmt. Adjusted'!$B31,'QE Detail - MGMT.'!$B:$B,$A31)</f>
        <v>0</v>
      </c>
      <c r="X31" s="323">
        <f>'Recast Reported'!X31-SUMIFS('QE Detail - MGMT.'!Y:Y,'QE Detail - MGMT.'!$A:$A,'Recast Mgmt. Adjusted'!$B31,'QE Detail - MGMT.'!$B:$B,$A31)</f>
        <v>0</v>
      </c>
      <c r="Y31" s="323">
        <f>'Recast Reported'!Y31-SUMIFS('QE Detail - MGMT.'!Z:Z,'QE Detail - MGMT.'!$A:$A,'Recast Mgmt. Adjusted'!$B31,'QE Detail - MGMT.'!$B:$B,$A31)</f>
        <v>0</v>
      </c>
      <c r="Z31" s="323">
        <f>'Recast Reported'!Z31-SUMIFS('QE Detail - MGMT.'!AA:AA,'QE Detail - MGMT.'!$A:$A,'Recast Mgmt. Adjusted'!$B31,'QE Detail - MGMT.'!$B:$B,$A31)</f>
        <v>0</v>
      </c>
      <c r="AA31" s="323">
        <f>'Recast Reported'!AA31-SUMIFS('QE Detail - MGMT.'!AB:AB,'QE Detail - MGMT.'!$A:$A,'Recast Mgmt. Adjusted'!$B31,'QE Detail - MGMT.'!$B:$B,$A31)</f>
        <v>0</v>
      </c>
      <c r="AB31" s="323">
        <f>'Recast Reported'!AB31-SUMIFS('QE Detail - MGMT.'!AC:AC,'QE Detail - MGMT.'!$A:$A,'Recast Mgmt. Adjusted'!$B31,'QE Detail - MGMT.'!$B:$B,$A31)</f>
        <v>0</v>
      </c>
      <c r="AC31" s="323">
        <f>'Recast Reported'!AC31-SUMIFS('QE Detail - MGMT.'!AD:AD,'QE Detail - MGMT.'!$A:$A,'Recast Mgmt. Adjusted'!$B31,'QE Detail - MGMT.'!$B:$B,$A31)</f>
        <v>0</v>
      </c>
      <c r="AD31" s="323">
        <f>'Recast Reported'!AD31-SUMIFS('QE Detail - MGMT.'!AE:AE,'QE Detail - MGMT.'!$A:$A,'Recast Mgmt. Adjusted'!$B31,'QE Detail - MGMT.'!$B:$B,$A31)</f>
        <v>0</v>
      </c>
      <c r="AE31" s="323">
        <f>'Recast Reported'!AE31-SUMIFS('QE Detail - MGMT.'!AF:AF,'QE Detail - MGMT.'!$A:$A,'Recast Mgmt. Adjusted'!$B31,'QE Detail - MGMT.'!$B:$B,$A31)</f>
        <v>0</v>
      </c>
      <c r="AF31" s="323">
        <f>'Recast Reported'!AF31-SUMIFS('QE Detail - MGMT.'!AG:AG,'QE Detail - MGMT.'!$A:$A,'Recast Mgmt. Adjusted'!$B31,'QE Detail - MGMT.'!$B:$B,$A31)</f>
        <v>0</v>
      </c>
      <c r="AG31" s="323">
        <f>'Recast Reported'!AG31-SUMIFS('QE Detail - MGMT.'!AH:AH,'QE Detail - MGMT.'!$A:$A,'Recast Mgmt. Adjusted'!$B31,'QE Detail - MGMT.'!$B:$B,$A31)</f>
        <v>0</v>
      </c>
      <c r="AH31" s="323">
        <f>'Recast Reported'!AH31-SUMIFS('QE Detail - MGMT.'!AI:AI,'QE Detail - MGMT.'!$A:$A,'Recast Mgmt. Adjusted'!$B31,'QE Detail - MGMT.'!$B:$B,$A31)</f>
        <v>0</v>
      </c>
      <c r="AI31" s="323">
        <f>'Recast Reported'!AI31-SUMIFS('QE Detail - MGMT.'!AJ:AJ,'QE Detail - MGMT.'!$A:$A,'Recast Mgmt. Adjusted'!$B31,'QE Detail - MGMT.'!$B:$B,$A31)</f>
        <v>0</v>
      </c>
      <c r="AJ31" s="323">
        <f>'Recast Reported'!AJ31-SUMIFS('QE Detail - MGMT.'!AK:AK,'QE Detail - MGMT.'!$A:$A,'Recast Mgmt. Adjusted'!$B31,'QE Detail - MGMT.'!$B:$B,$A31)</f>
        <v>0</v>
      </c>
      <c r="AK31" s="323">
        <f>'Recast Reported'!AK31-SUMIFS('QE Detail - MGMT.'!AL:AL,'QE Detail - MGMT.'!$A:$A,'Recast Mgmt. Adjusted'!$B31,'QE Detail - MGMT.'!$B:$B,$A31)</f>
        <v>0</v>
      </c>
      <c r="AL31" s="323">
        <f>'Recast Reported'!AL31-SUMIFS('QE Detail - MGMT.'!AM:AM,'QE Detail - MGMT.'!$A:$A,'Recast Mgmt. Adjusted'!$B31,'QE Detail - MGMT.'!$B:$B,$A31)</f>
        <v>0</v>
      </c>
      <c r="AM31" s="323">
        <f>'Recast Reported'!AM31-SUMIFS('QE Detail - MGMT.'!AN:AN,'QE Detail - MGMT.'!$A:$A,'Recast Mgmt. Adjusted'!$B31,'QE Detail - MGMT.'!$B:$B,$A31)</f>
        <v>0</v>
      </c>
    </row>
    <row r="32" spans="1:39" s="262" customFormat="1" ht="13.95" customHeight="1" outlineLevel="1">
      <c r="A32" s="311" t="s">
        <v>1</v>
      </c>
      <c r="B32" s="531" t="s">
        <v>215</v>
      </c>
      <c r="C32" s="323">
        <f t="shared" si="36"/>
        <v>0</v>
      </c>
      <c r="D32" s="323">
        <f t="shared" si="37"/>
        <v>0</v>
      </c>
      <c r="E32" s="323">
        <f t="shared" si="37"/>
        <v>0</v>
      </c>
      <c r="F32" s="334"/>
      <c r="G32" s="323">
        <f>'Recast Reported'!G32-SUMIFS('QE Detail - MGMT.'!H:H,'QE Detail - MGMT.'!$A:$A,'Recast Mgmt. Adjusted'!$B32,'QE Detail - MGMT.'!$B:$B,$A32)</f>
        <v>0</v>
      </c>
      <c r="H32" s="323">
        <f>'Recast Reported'!H32-SUMIFS('QE Detail - MGMT.'!I:I,'QE Detail - MGMT.'!$A:$A,'Recast Mgmt. Adjusted'!$B32,'QE Detail - MGMT.'!$B:$B,$A32)</f>
        <v>0</v>
      </c>
      <c r="I32" s="323">
        <f>'Recast Reported'!I32-SUMIFS('QE Detail - MGMT.'!J:J,'QE Detail - MGMT.'!$A:$A,'Recast Mgmt. Adjusted'!$B32,'QE Detail - MGMT.'!$B:$B,$A32)</f>
        <v>0</v>
      </c>
      <c r="J32" s="323">
        <f>'Recast Reported'!J32-SUMIFS('QE Detail - MGMT.'!K:K,'QE Detail - MGMT.'!$A:$A,'Recast Mgmt. Adjusted'!$B32,'QE Detail - MGMT.'!$B:$B,$A32)</f>
        <v>0</v>
      </c>
      <c r="K32" s="323">
        <f>'Recast Reported'!K32-SUMIFS('QE Detail - MGMT.'!L:L,'QE Detail - MGMT.'!$A:$A,'Recast Mgmt. Adjusted'!$B32,'QE Detail - MGMT.'!$B:$B,$A32)</f>
        <v>0</v>
      </c>
      <c r="L32" s="323">
        <f>'Recast Reported'!L32-SUMIFS('QE Detail - MGMT.'!M:M,'QE Detail - MGMT.'!$A:$A,'Recast Mgmt. Adjusted'!$B32,'QE Detail - MGMT.'!$B:$B,$A32)</f>
        <v>0</v>
      </c>
      <c r="M32" s="323">
        <f>'Recast Reported'!M32-SUMIFS('QE Detail - MGMT.'!N:N,'QE Detail - MGMT.'!$A:$A,'Recast Mgmt. Adjusted'!$B32,'QE Detail - MGMT.'!$B:$B,$A32)</f>
        <v>0</v>
      </c>
      <c r="N32" s="323">
        <f>'Recast Reported'!N32-SUMIFS('QE Detail - MGMT.'!O:O,'QE Detail - MGMT.'!$A:$A,'Recast Mgmt. Adjusted'!$B32,'QE Detail - MGMT.'!$B:$B,$A32)</f>
        <v>0</v>
      </c>
      <c r="O32" s="323">
        <f>'Recast Reported'!O32-SUMIFS('QE Detail - MGMT.'!P:P,'QE Detail - MGMT.'!$A:$A,'Recast Mgmt. Adjusted'!$B32,'QE Detail - MGMT.'!$B:$B,$A32)</f>
        <v>0</v>
      </c>
      <c r="P32" s="323">
        <f>'Recast Reported'!P32-SUMIFS('QE Detail - MGMT.'!Q:Q,'QE Detail - MGMT.'!$A:$A,'Recast Mgmt. Adjusted'!$B32,'QE Detail - MGMT.'!$B:$B,$A32)</f>
        <v>0</v>
      </c>
      <c r="Q32" s="323">
        <f>'Recast Reported'!Q32-SUMIFS('QE Detail - MGMT.'!R:R,'QE Detail - MGMT.'!$A:$A,'Recast Mgmt. Adjusted'!$B32,'QE Detail - MGMT.'!$B:$B,$A32)</f>
        <v>0</v>
      </c>
      <c r="R32" s="323">
        <f>'Recast Reported'!R32-SUMIFS('QE Detail - MGMT.'!S:S,'QE Detail - MGMT.'!$A:$A,'Recast Mgmt. Adjusted'!$B32,'QE Detail - MGMT.'!$B:$B,$A32)</f>
        <v>0</v>
      </c>
      <c r="S32" s="323">
        <f>'Recast Reported'!S32-SUMIFS('QE Detail - MGMT.'!T:T,'QE Detail - MGMT.'!$A:$A,'Recast Mgmt. Adjusted'!$B32,'QE Detail - MGMT.'!$B:$B,$A32)</f>
        <v>0</v>
      </c>
      <c r="T32" s="323">
        <f>'Recast Reported'!T32-SUMIFS('QE Detail - MGMT.'!U:U,'QE Detail - MGMT.'!$A:$A,'Recast Mgmt. Adjusted'!$B32,'QE Detail - MGMT.'!$B:$B,$A32)</f>
        <v>0</v>
      </c>
      <c r="U32" s="323">
        <f>'Recast Reported'!U32-SUMIFS('QE Detail - MGMT.'!V:V,'QE Detail - MGMT.'!$A:$A,'Recast Mgmt. Adjusted'!$B32,'QE Detail - MGMT.'!$B:$B,$A32)</f>
        <v>0</v>
      </c>
      <c r="V32" s="323">
        <f>'Recast Reported'!V32-SUMIFS('QE Detail - MGMT.'!W:W,'QE Detail - MGMT.'!$A:$A,'Recast Mgmt. Adjusted'!$B32,'QE Detail - MGMT.'!$B:$B,$A32)</f>
        <v>0</v>
      </c>
      <c r="W32" s="323">
        <f>'Recast Reported'!W32-SUMIFS('QE Detail - MGMT.'!X:X,'QE Detail - MGMT.'!$A:$A,'Recast Mgmt. Adjusted'!$B32,'QE Detail - MGMT.'!$B:$B,$A32)</f>
        <v>0</v>
      </c>
      <c r="X32" s="323">
        <f>'Recast Reported'!X32-SUMIFS('QE Detail - MGMT.'!Y:Y,'QE Detail - MGMT.'!$A:$A,'Recast Mgmt. Adjusted'!$B32,'QE Detail - MGMT.'!$B:$B,$A32)</f>
        <v>0</v>
      </c>
      <c r="Y32" s="323">
        <f>'Recast Reported'!Y32-SUMIFS('QE Detail - MGMT.'!Z:Z,'QE Detail - MGMT.'!$A:$A,'Recast Mgmt. Adjusted'!$B32,'QE Detail - MGMT.'!$B:$B,$A32)</f>
        <v>0</v>
      </c>
      <c r="Z32" s="323">
        <f>'Recast Reported'!Z32-SUMIFS('QE Detail - MGMT.'!AA:AA,'QE Detail - MGMT.'!$A:$A,'Recast Mgmt. Adjusted'!$B32,'QE Detail - MGMT.'!$B:$B,$A32)</f>
        <v>0</v>
      </c>
      <c r="AA32" s="323">
        <f>'Recast Reported'!AA32-SUMIFS('QE Detail - MGMT.'!AB:AB,'QE Detail - MGMT.'!$A:$A,'Recast Mgmt. Adjusted'!$B32,'QE Detail - MGMT.'!$B:$B,$A32)</f>
        <v>0</v>
      </c>
      <c r="AB32" s="323">
        <f>'Recast Reported'!AB32-SUMIFS('QE Detail - MGMT.'!AC:AC,'QE Detail - MGMT.'!$A:$A,'Recast Mgmt. Adjusted'!$B32,'QE Detail - MGMT.'!$B:$B,$A32)</f>
        <v>0</v>
      </c>
      <c r="AC32" s="323">
        <f>'Recast Reported'!AC32-SUMIFS('QE Detail - MGMT.'!AD:AD,'QE Detail - MGMT.'!$A:$A,'Recast Mgmt. Adjusted'!$B32,'QE Detail - MGMT.'!$B:$B,$A32)</f>
        <v>0</v>
      </c>
      <c r="AD32" s="323">
        <f>'Recast Reported'!AD32-SUMIFS('QE Detail - MGMT.'!AE:AE,'QE Detail - MGMT.'!$A:$A,'Recast Mgmt. Adjusted'!$B32,'QE Detail - MGMT.'!$B:$B,$A32)</f>
        <v>0</v>
      </c>
      <c r="AE32" s="323">
        <f>'Recast Reported'!AE32-SUMIFS('QE Detail - MGMT.'!AF:AF,'QE Detail - MGMT.'!$A:$A,'Recast Mgmt. Adjusted'!$B32,'QE Detail - MGMT.'!$B:$B,$A32)</f>
        <v>0</v>
      </c>
      <c r="AF32" s="323">
        <f>'Recast Reported'!AF32-SUMIFS('QE Detail - MGMT.'!AG:AG,'QE Detail - MGMT.'!$A:$A,'Recast Mgmt. Adjusted'!$B32,'QE Detail - MGMT.'!$B:$B,$A32)</f>
        <v>0</v>
      </c>
      <c r="AG32" s="323">
        <f>'Recast Reported'!AG32-SUMIFS('QE Detail - MGMT.'!AH:AH,'QE Detail - MGMT.'!$A:$A,'Recast Mgmt. Adjusted'!$B32,'QE Detail - MGMT.'!$B:$B,$A32)</f>
        <v>0</v>
      </c>
      <c r="AH32" s="323">
        <f>'Recast Reported'!AH32-SUMIFS('QE Detail - MGMT.'!AI:AI,'QE Detail - MGMT.'!$A:$A,'Recast Mgmt. Adjusted'!$B32,'QE Detail - MGMT.'!$B:$B,$A32)</f>
        <v>0</v>
      </c>
      <c r="AI32" s="323">
        <f>'Recast Reported'!AI32-SUMIFS('QE Detail - MGMT.'!AJ:AJ,'QE Detail - MGMT.'!$A:$A,'Recast Mgmt. Adjusted'!$B32,'QE Detail - MGMT.'!$B:$B,$A32)</f>
        <v>0</v>
      </c>
      <c r="AJ32" s="323">
        <f>'Recast Reported'!AJ32-SUMIFS('QE Detail - MGMT.'!AK:AK,'QE Detail - MGMT.'!$A:$A,'Recast Mgmt. Adjusted'!$B32,'QE Detail - MGMT.'!$B:$B,$A32)</f>
        <v>0</v>
      </c>
      <c r="AK32" s="323">
        <f>'Recast Reported'!AK32-SUMIFS('QE Detail - MGMT.'!AL:AL,'QE Detail - MGMT.'!$A:$A,'Recast Mgmt. Adjusted'!$B32,'QE Detail - MGMT.'!$B:$B,$A32)</f>
        <v>0</v>
      </c>
      <c r="AL32" s="323">
        <f>'Recast Reported'!AL32-SUMIFS('QE Detail - MGMT.'!AM:AM,'QE Detail - MGMT.'!$A:$A,'Recast Mgmt. Adjusted'!$B32,'QE Detail - MGMT.'!$B:$B,$A32)</f>
        <v>0</v>
      </c>
      <c r="AM32" s="323">
        <f>'Recast Reported'!AM32-SUMIFS('QE Detail - MGMT.'!AN:AN,'QE Detail - MGMT.'!$A:$A,'Recast Mgmt. Adjusted'!$B32,'QE Detail - MGMT.'!$B:$B,$A32)</f>
        <v>0</v>
      </c>
    </row>
    <row r="33" spans="1:39" s="262" customFormat="1" ht="13.95" customHeight="1" outlineLevel="1">
      <c r="A33" s="311" t="s">
        <v>1</v>
      </c>
      <c r="B33" s="531" t="s">
        <v>216</v>
      </c>
      <c r="C33" s="323">
        <f t="shared" si="36"/>
        <v>0</v>
      </c>
      <c r="D33" s="323">
        <f t="shared" si="37"/>
        <v>0</v>
      </c>
      <c r="E33" s="323">
        <f t="shared" si="37"/>
        <v>0</v>
      </c>
      <c r="F33" s="334"/>
      <c r="G33" s="323">
        <f>'Recast Reported'!G33-SUMIFS('QE Detail - MGMT.'!H:H,'QE Detail - MGMT.'!$A:$A,'Recast Mgmt. Adjusted'!$B33,'QE Detail - MGMT.'!$B:$B,$A33)</f>
        <v>0</v>
      </c>
      <c r="H33" s="323">
        <f>'Recast Reported'!H33-SUMIFS('QE Detail - MGMT.'!I:I,'QE Detail - MGMT.'!$A:$A,'Recast Mgmt. Adjusted'!$B33,'QE Detail - MGMT.'!$B:$B,$A33)</f>
        <v>0</v>
      </c>
      <c r="I33" s="323">
        <f>'Recast Reported'!I33-SUMIFS('QE Detail - MGMT.'!J:J,'QE Detail - MGMT.'!$A:$A,'Recast Mgmt. Adjusted'!$B33,'QE Detail - MGMT.'!$B:$B,$A33)</f>
        <v>0</v>
      </c>
      <c r="J33" s="323">
        <f>'Recast Reported'!J33-SUMIFS('QE Detail - MGMT.'!K:K,'QE Detail - MGMT.'!$A:$A,'Recast Mgmt. Adjusted'!$B33,'QE Detail - MGMT.'!$B:$B,$A33)</f>
        <v>0</v>
      </c>
      <c r="K33" s="323">
        <f>'Recast Reported'!K33-SUMIFS('QE Detail - MGMT.'!L:L,'QE Detail - MGMT.'!$A:$A,'Recast Mgmt. Adjusted'!$B33,'QE Detail - MGMT.'!$B:$B,$A33)</f>
        <v>0</v>
      </c>
      <c r="L33" s="323">
        <f>'Recast Reported'!L33-SUMIFS('QE Detail - MGMT.'!M:M,'QE Detail - MGMT.'!$A:$A,'Recast Mgmt. Adjusted'!$B33,'QE Detail - MGMT.'!$B:$B,$A33)</f>
        <v>0</v>
      </c>
      <c r="M33" s="323">
        <f>'Recast Reported'!M33-SUMIFS('QE Detail - MGMT.'!N:N,'QE Detail - MGMT.'!$A:$A,'Recast Mgmt. Adjusted'!$B33,'QE Detail - MGMT.'!$B:$B,$A33)</f>
        <v>0</v>
      </c>
      <c r="N33" s="323">
        <f>'Recast Reported'!N33-SUMIFS('QE Detail - MGMT.'!O:O,'QE Detail - MGMT.'!$A:$A,'Recast Mgmt. Adjusted'!$B33,'QE Detail - MGMT.'!$B:$B,$A33)</f>
        <v>0</v>
      </c>
      <c r="O33" s="323">
        <f>'Recast Reported'!O33-SUMIFS('QE Detail - MGMT.'!P:P,'QE Detail - MGMT.'!$A:$A,'Recast Mgmt. Adjusted'!$B33,'QE Detail - MGMT.'!$B:$B,$A33)</f>
        <v>0</v>
      </c>
      <c r="P33" s="323">
        <f>'Recast Reported'!P33-SUMIFS('QE Detail - MGMT.'!Q:Q,'QE Detail - MGMT.'!$A:$A,'Recast Mgmt. Adjusted'!$B33,'QE Detail - MGMT.'!$B:$B,$A33)</f>
        <v>0</v>
      </c>
      <c r="Q33" s="323">
        <f>'Recast Reported'!Q33-SUMIFS('QE Detail - MGMT.'!R:R,'QE Detail - MGMT.'!$A:$A,'Recast Mgmt. Adjusted'!$B33,'QE Detail - MGMT.'!$B:$B,$A33)</f>
        <v>0</v>
      </c>
      <c r="R33" s="323">
        <f>'Recast Reported'!R33-SUMIFS('QE Detail - MGMT.'!S:S,'QE Detail - MGMT.'!$A:$A,'Recast Mgmt. Adjusted'!$B33,'QE Detail - MGMT.'!$B:$B,$A33)</f>
        <v>0</v>
      </c>
      <c r="S33" s="323">
        <f>'Recast Reported'!S33-SUMIFS('QE Detail - MGMT.'!T:T,'QE Detail - MGMT.'!$A:$A,'Recast Mgmt. Adjusted'!$B33,'QE Detail - MGMT.'!$B:$B,$A33)</f>
        <v>0</v>
      </c>
      <c r="T33" s="323">
        <f>'Recast Reported'!T33-SUMIFS('QE Detail - MGMT.'!U:U,'QE Detail - MGMT.'!$A:$A,'Recast Mgmt. Adjusted'!$B33,'QE Detail - MGMT.'!$B:$B,$A33)</f>
        <v>0</v>
      </c>
      <c r="U33" s="323">
        <f>'Recast Reported'!U33-SUMIFS('QE Detail - MGMT.'!V:V,'QE Detail - MGMT.'!$A:$A,'Recast Mgmt. Adjusted'!$B33,'QE Detail - MGMT.'!$B:$B,$A33)</f>
        <v>0</v>
      </c>
      <c r="V33" s="323">
        <f>'Recast Reported'!V33-SUMIFS('QE Detail - MGMT.'!W:W,'QE Detail - MGMT.'!$A:$A,'Recast Mgmt. Adjusted'!$B33,'QE Detail - MGMT.'!$B:$B,$A33)</f>
        <v>0</v>
      </c>
      <c r="W33" s="323">
        <f>'Recast Reported'!W33-SUMIFS('QE Detail - MGMT.'!X:X,'QE Detail - MGMT.'!$A:$A,'Recast Mgmt. Adjusted'!$B33,'QE Detail - MGMT.'!$B:$B,$A33)</f>
        <v>0</v>
      </c>
      <c r="X33" s="323">
        <f>'Recast Reported'!X33-SUMIFS('QE Detail - MGMT.'!Y:Y,'QE Detail - MGMT.'!$A:$A,'Recast Mgmt. Adjusted'!$B33,'QE Detail - MGMT.'!$B:$B,$A33)</f>
        <v>0</v>
      </c>
      <c r="Y33" s="323">
        <f>'Recast Reported'!Y33-SUMIFS('QE Detail - MGMT.'!Z:Z,'QE Detail - MGMT.'!$A:$A,'Recast Mgmt. Adjusted'!$B33,'QE Detail - MGMT.'!$B:$B,$A33)</f>
        <v>0</v>
      </c>
      <c r="Z33" s="323">
        <f>'Recast Reported'!Z33-SUMIFS('QE Detail - MGMT.'!AA:AA,'QE Detail - MGMT.'!$A:$A,'Recast Mgmt. Adjusted'!$B33,'QE Detail - MGMT.'!$B:$B,$A33)</f>
        <v>0</v>
      </c>
      <c r="AA33" s="323">
        <f>'Recast Reported'!AA33-SUMIFS('QE Detail - MGMT.'!AB:AB,'QE Detail - MGMT.'!$A:$A,'Recast Mgmt. Adjusted'!$B33,'QE Detail - MGMT.'!$B:$B,$A33)</f>
        <v>0</v>
      </c>
      <c r="AB33" s="323">
        <f>'Recast Reported'!AB33-SUMIFS('QE Detail - MGMT.'!AC:AC,'QE Detail - MGMT.'!$A:$A,'Recast Mgmt. Adjusted'!$B33,'QE Detail - MGMT.'!$B:$B,$A33)</f>
        <v>0</v>
      </c>
      <c r="AC33" s="323">
        <f>'Recast Reported'!AC33-SUMIFS('QE Detail - MGMT.'!AD:AD,'QE Detail - MGMT.'!$A:$A,'Recast Mgmt. Adjusted'!$B33,'QE Detail - MGMT.'!$B:$B,$A33)</f>
        <v>0</v>
      </c>
      <c r="AD33" s="323">
        <f>'Recast Reported'!AD33-SUMIFS('QE Detail - MGMT.'!AE:AE,'QE Detail - MGMT.'!$A:$A,'Recast Mgmt. Adjusted'!$B33,'QE Detail - MGMT.'!$B:$B,$A33)</f>
        <v>0</v>
      </c>
      <c r="AE33" s="323">
        <f>'Recast Reported'!AE33-SUMIFS('QE Detail - MGMT.'!AF:AF,'QE Detail - MGMT.'!$A:$A,'Recast Mgmt. Adjusted'!$B33,'QE Detail - MGMT.'!$B:$B,$A33)</f>
        <v>0</v>
      </c>
      <c r="AF33" s="323">
        <f>'Recast Reported'!AF33-SUMIFS('QE Detail - MGMT.'!AG:AG,'QE Detail - MGMT.'!$A:$A,'Recast Mgmt. Adjusted'!$B33,'QE Detail - MGMT.'!$B:$B,$A33)</f>
        <v>0</v>
      </c>
      <c r="AG33" s="323">
        <f>'Recast Reported'!AG33-SUMIFS('QE Detail - MGMT.'!AH:AH,'QE Detail - MGMT.'!$A:$A,'Recast Mgmt. Adjusted'!$B33,'QE Detail - MGMT.'!$B:$B,$A33)</f>
        <v>0</v>
      </c>
      <c r="AH33" s="323">
        <f>'Recast Reported'!AH33-SUMIFS('QE Detail - MGMT.'!AI:AI,'QE Detail - MGMT.'!$A:$A,'Recast Mgmt. Adjusted'!$B33,'QE Detail - MGMT.'!$B:$B,$A33)</f>
        <v>0</v>
      </c>
      <c r="AI33" s="323">
        <f>'Recast Reported'!AI33-SUMIFS('QE Detail - MGMT.'!AJ:AJ,'QE Detail - MGMT.'!$A:$A,'Recast Mgmt. Adjusted'!$B33,'QE Detail - MGMT.'!$B:$B,$A33)</f>
        <v>0</v>
      </c>
      <c r="AJ33" s="323">
        <f>'Recast Reported'!AJ33-SUMIFS('QE Detail - MGMT.'!AK:AK,'QE Detail - MGMT.'!$A:$A,'Recast Mgmt. Adjusted'!$B33,'QE Detail - MGMT.'!$B:$B,$A33)</f>
        <v>0</v>
      </c>
      <c r="AK33" s="323">
        <f>'Recast Reported'!AK33-SUMIFS('QE Detail - MGMT.'!AL:AL,'QE Detail - MGMT.'!$A:$A,'Recast Mgmt. Adjusted'!$B33,'QE Detail - MGMT.'!$B:$B,$A33)</f>
        <v>0</v>
      </c>
      <c r="AL33" s="323">
        <f>'Recast Reported'!AL33-SUMIFS('QE Detail - MGMT.'!AM:AM,'QE Detail - MGMT.'!$A:$A,'Recast Mgmt. Adjusted'!$B33,'QE Detail - MGMT.'!$B:$B,$A33)</f>
        <v>0</v>
      </c>
      <c r="AM33" s="323">
        <f>'Recast Reported'!AM33-SUMIFS('QE Detail - MGMT.'!AN:AN,'QE Detail - MGMT.'!$A:$A,'Recast Mgmt. Adjusted'!$B33,'QE Detail - MGMT.'!$B:$B,$A33)</f>
        <v>0</v>
      </c>
    </row>
    <row r="34" spans="1:39" s="262" customFormat="1" ht="13.95" customHeight="1" outlineLevel="1">
      <c r="A34" s="311" t="s">
        <v>1</v>
      </c>
      <c r="B34" s="531" t="s">
        <v>217</v>
      </c>
      <c r="C34" s="323">
        <f t="shared" si="36"/>
        <v>0</v>
      </c>
      <c r="D34" s="323">
        <f t="shared" si="37"/>
        <v>0</v>
      </c>
      <c r="E34" s="323">
        <f t="shared" si="37"/>
        <v>0</v>
      </c>
      <c r="F34" s="334"/>
      <c r="G34" s="323">
        <f>'Recast Reported'!G34-SUMIFS('QE Detail - MGMT.'!H:H,'QE Detail - MGMT.'!$A:$A,'Recast Mgmt. Adjusted'!$B34,'QE Detail - MGMT.'!$B:$B,$A34)</f>
        <v>0</v>
      </c>
      <c r="H34" s="323">
        <f>'Recast Reported'!H34-SUMIFS('QE Detail - MGMT.'!I:I,'QE Detail - MGMT.'!$A:$A,'Recast Mgmt. Adjusted'!$B34,'QE Detail - MGMT.'!$B:$B,$A34)</f>
        <v>0</v>
      </c>
      <c r="I34" s="323">
        <f>'Recast Reported'!I34-SUMIFS('QE Detail - MGMT.'!J:J,'QE Detail - MGMT.'!$A:$A,'Recast Mgmt. Adjusted'!$B34,'QE Detail - MGMT.'!$B:$B,$A34)</f>
        <v>0</v>
      </c>
      <c r="J34" s="323">
        <f>'Recast Reported'!J34-SUMIFS('QE Detail - MGMT.'!K:K,'QE Detail - MGMT.'!$A:$A,'Recast Mgmt. Adjusted'!$B34,'QE Detail - MGMT.'!$B:$B,$A34)</f>
        <v>0</v>
      </c>
      <c r="K34" s="323">
        <f>'Recast Reported'!K34-SUMIFS('QE Detail - MGMT.'!L:L,'QE Detail - MGMT.'!$A:$A,'Recast Mgmt. Adjusted'!$B34,'QE Detail - MGMT.'!$B:$B,$A34)</f>
        <v>0</v>
      </c>
      <c r="L34" s="323">
        <f>'Recast Reported'!L34-SUMIFS('QE Detail - MGMT.'!M:M,'QE Detail - MGMT.'!$A:$A,'Recast Mgmt. Adjusted'!$B34,'QE Detail - MGMT.'!$B:$B,$A34)</f>
        <v>0</v>
      </c>
      <c r="M34" s="323">
        <f>'Recast Reported'!M34-SUMIFS('QE Detail - MGMT.'!N:N,'QE Detail - MGMT.'!$A:$A,'Recast Mgmt. Adjusted'!$B34,'QE Detail - MGMT.'!$B:$B,$A34)</f>
        <v>0</v>
      </c>
      <c r="N34" s="323">
        <f>'Recast Reported'!N34-SUMIFS('QE Detail - MGMT.'!O:O,'QE Detail - MGMT.'!$A:$A,'Recast Mgmt. Adjusted'!$B34,'QE Detail - MGMT.'!$B:$B,$A34)</f>
        <v>0</v>
      </c>
      <c r="O34" s="323">
        <f>'Recast Reported'!O34-SUMIFS('QE Detail - MGMT.'!P:P,'QE Detail - MGMT.'!$A:$A,'Recast Mgmt. Adjusted'!$B34,'QE Detail - MGMT.'!$B:$B,$A34)</f>
        <v>0</v>
      </c>
      <c r="P34" s="323">
        <f>'Recast Reported'!P34-SUMIFS('QE Detail - MGMT.'!Q:Q,'QE Detail - MGMT.'!$A:$A,'Recast Mgmt. Adjusted'!$B34,'QE Detail - MGMT.'!$B:$B,$A34)</f>
        <v>0</v>
      </c>
      <c r="Q34" s="323">
        <f>'Recast Reported'!Q34-SUMIFS('QE Detail - MGMT.'!R:R,'QE Detail - MGMT.'!$A:$A,'Recast Mgmt. Adjusted'!$B34,'QE Detail - MGMT.'!$B:$B,$A34)</f>
        <v>0</v>
      </c>
      <c r="R34" s="323">
        <f>'Recast Reported'!R34-SUMIFS('QE Detail - MGMT.'!S:S,'QE Detail - MGMT.'!$A:$A,'Recast Mgmt. Adjusted'!$B34,'QE Detail - MGMT.'!$B:$B,$A34)</f>
        <v>0</v>
      </c>
      <c r="S34" s="323">
        <f>'Recast Reported'!S34-SUMIFS('QE Detail - MGMT.'!T:T,'QE Detail - MGMT.'!$A:$A,'Recast Mgmt. Adjusted'!$B34,'QE Detail - MGMT.'!$B:$B,$A34)</f>
        <v>0</v>
      </c>
      <c r="T34" s="323">
        <f>'Recast Reported'!T34-SUMIFS('QE Detail - MGMT.'!U:U,'QE Detail - MGMT.'!$A:$A,'Recast Mgmt. Adjusted'!$B34,'QE Detail - MGMT.'!$B:$B,$A34)</f>
        <v>0</v>
      </c>
      <c r="U34" s="323">
        <f>'Recast Reported'!U34-SUMIFS('QE Detail - MGMT.'!V:V,'QE Detail - MGMT.'!$A:$A,'Recast Mgmt. Adjusted'!$B34,'QE Detail - MGMT.'!$B:$B,$A34)</f>
        <v>0</v>
      </c>
      <c r="V34" s="323">
        <f>'Recast Reported'!V34-SUMIFS('QE Detail - MGMT.'!W:W,'QE Detail - MGMT.'!$A:$A,'Recast Mgmt. Adjusted'!$B34,'QE Detail - MGMT.'!$B:$B,$A34)</f>
        <v>0</v>
      </c>
      <c r="W34" s="323">
        <f>'Recast Reported'!W34-SUMIFS('QE Detail - MGMT.'!X:X,'QE Detail - MGMT.'!$A:$A,'Recast Mgmt. Adjusted'!$B34,'QE Detail - MGMT.'!$B:$B,$A34)</f>
        <v>0</v>
      </c>
      <c r="X34" s="323">
        <f>'Recast Reported'!X34-SUMIFS('QE Detail - MGMT.'!Y:Y,'QE Detail - MGMT.'!$A:$A,'Recast Mgmt. Adjusted'!$B34,'QE Detail - MGMT.'!$B:$B,$A34)</f>
        <v>0</v>
      </c>
      <c r="Y34" s="323">
        <f>'Recast Reported'!Y34-SUMIFS('QE Detail - MGMT.'!Z:Z,'QE Detail - MGMT.'!$A:$A,'Recast Mgmt. Adjusted'!$B34,'QE Detail - MGMT.'!$B:$B,$A34)</f>
        <v>0</v>
      </c>
      <c r="Z34" s="323">
        <f>'Recast Reported'!Z34-SUMIFS('QE Detail - MGMT.'!AA:AA,'QE Detail - MGMT.'!$A:$A,'Recast Mgmt. Adjusted'!$B34,'QE Detail - MGMT.'!$B:$B,$A34)</f>
        <v>0</v>
      </c>
      <c r="AA34" s="323">
        <f>'Recast Reported'!AA34-SUMIFS('QE Detail - MGMT.'!AB:AB,'QE Detail - MGMT.'!$A:$A,'Recast Mgmt. Adjusted'!$B34,'QE Detail - MGMT.'!$B:$B,$A34)</f>
        <v>0</v>
      </c>
      <c r="AB34" s="323">
        <f>'Recast Reported'!AB34-SUMIFS('QE Detail - MGMT.'!AC:AC,'QE Detail - MGMT.'!$A:$A,'Recast Mgmt. Adjusted'!$B34,'QE Detail - MGMT.'!$B:$B,$A34)</f>
        <v>0</v>
      </c>
      <c r="AC34" s="323">
        <f>'Recast Reported'!AC34-SUMIFS('QE Detail - MGMT.'!AD:AD,'QE Detail - MGMT.'!$A:$A,'Recast Mgmt. Adjusted'!$B34,'QE Detail - MGMT.'!$B:$B,$A34)</f>
        <v>0</v>
      </c>
      <c r="AD34" s="323">
        <f>'Recast Reported'!AD34-SUMIFS('QE Detail - MGMT.'!AE:AE,'QE Detail - MGMT.'!$A:$A,'Recast Mgmt. Adjusted'!$B34,'QE Detail - MGMT.'!$B:$B,$A34)</f>
        <v>0</v>
      </c>
      <c r="AE34" s="323">
        <f>'Recast Reported'!AE34-SUMIFS('QE Detail - MGMT.'!AF:AF,'QE Detail - MGMT.'!$A:$A,'Recast Mgmt. Adjusted'!$B34,'QE Detail - MGMT.'!$B:$B,$A34)</f>
        <v>0</v>
      </c>
      <c r="AF34" s="323">
        <f>'Recast Reported'!AF34-SUMIFS('QE Detail - MGMT.'!AG:AG,'QE Detail - MGMT.'!$A:$A,'Recast Mgmt. Adjusted'!$B34,'QE Detail - MGMT.'!$B:$B,$A34)</f>
        <v>0</v>
      </c>
      <c r="AG34" s="323">
        <f>'Recast Reported'!AG34-SUMIFS('QE Detail - MGMT.'!AH:AH,'QE Detail - MGMT.'!$A:$A,'Recast Mgmt. Adjusted'!$B34,'QE Detail - MGMT.'!$B:$B,$A34)</f>
        <v>0</v>
      </c>
      <c r="AH34" s="323">
        <f>'Recast Reported'!AH34-SUMIFS('QE Detail - MGMT.'!AI:AI,'QE Detail - MGMT.'!$A:$A,'Recast Mgmt. Adjusted'!$B34,'QE Detail - MGMT.'!$B:$B,$A34)</f>
        <v>0</v>
      </c>
      <c r="AI34" s="323">
        <f>'Recast Reported'!AI34-SUMIFS('QE Detail - MGMT.'!AJ:AJ,'QE Detail - MGMT.'!$A:$A,'Recast Mgmt. Adjusted'!$B34,'QE Detail - MGMT.'!$B:$B,$A34)</f>
        <v>0</v>
      </c>
      <c r="AJ34" s="323">
        <f>'Recast Reported'!AJ34-SUMIFS('QE Detail - MGMT.'!AK:AK,'QE Detail - MGMT.'!$A:$A,'Recast Mgmt. Adjusted'!$B34,'QE Detail - MGMT.'!$B:$B,$A34)</f>
        <v>0</v>
      </c>
      <c r="AK34" s="323">
        <f>'Recast Reported'!AK34-SUMIFS('QE Detail - MGMT.'!AL:AL,'QE Detail - MGMT.'!$A:$A,'Recast Mgmt. Adjusted'!$B34,'QE Detail - MGMT.'!$B:$B,$A34)</f>
        <v>0</v>
      </c>
      <c r="AL34" s="323">
        <f>'Recast Reported'!AL34-SUMIFS('QE Detail - MGMT.'!AM:AM,'QE Detail - MGMT.'!$A:$A,'Recast Mgmt. Adjusted'!$B34,'QE Detail - MGMT.'!$B:$B,$A34)</f>
        <v>0</v>
      </c>
      <c r="AM34" s="323">
        <f>'Recast Reported'!AM34-SUMIFS('QE Detail - MGMT.'!AN:AN,'QE Detail - MGMT.'!$A:$A,'Recast Mgmt. Adjusted'!$B34,'QE Detail - MGMT.'!$B:$B,$A34)</f>
        <v>0</v>
      </c>
    </row>
    <row r="35" spans="1:39" s="262" customFormat="1" ht="13.95" customHeight="1" outlineLevel="1">
      <c r="A35" s="311" t="s">
        <v>1</v>
      </c>
      <c r="B35" s="531" t="s">
        <v>218</v>
      </c>
      <c r="C35" s="323">
        <f t="shared" si="36"/>
        <v>0</v>
      </c>
      <c r="D35" s="323">
        <f t="shared" si="37"/>
        <v>0</v>
      </c>
      <c r="E35" s="323">
        <f t="shared" si="37"/>
        <v>0</v>
      </c>
      <c r="F35" s="334"/>
      <c r="G35" s="323">
        <f>'Recast Reported'!G35-SUMIFS('QE Detail - MGMT.'!H:H,'QE Detail - MGMT.'!$A:$A,'Recast Mgmt. Adjusted'!$B35,'QE Detail - MGMT.'!$B:$B,$A35)</f>
        <v>0</v>
      </c>
      <c r="H35" s="323">
        <f>'Recast Reported'!H35-SUMIFS('QE Detail - MGMT.'!I:I,'QE Detail - MGMT.'!$A:$A,'Recast Mgmt. Adjusted'!$B35,'QE Detail - MGMT.'!$B:$B,$A35)</f>
        <v>0</v>
      </c>
      <c r="I35" s="323">
        <f>'Recast Reported'!I35-SUMIFS('QE Detail - MGMT.'!J:J,'QE Detail - MGMT.'!$A:$A,'Recast Mgmt. Adjusted'!$B35,'QE Detail - MGMT.'!$B:$B,$A35)</f>
        <v>0</v>
      </c>
      <c r="J35" s="323">
        <f>'Recast Reported'!J35-SUMIFS('QE Detail - MGMT.'!K:K,'QE Detail - MGMT.'!$A:$A,'Recast Mgmt. Adjusted'!$B35,'QE Detail - MGMT.'!$B:$B,$A35)</f>
        <v>0</v>
      </c>
      <c r="K35" s="323">
        <f>'Recast Reported'!K35-SUMIFS('QE Detail - MGMT.'!L:L,'QE Detail - MGMT.'!$A:$A,'Recast Mgmt. Adjusted'!$B35,'QE Detail - MGMT.'!$B:$B,$A35)</f>
        <v>0</v>
      </c>
      <c r="L35" s="323">
        <f>'Recast Reported'!L35-SUMIFS('QE Detail - MGMT.'!M:M,'QE Detail - MGMT.'!$A:$A,'Recast Mgmt. Adjusted'!$B35,'QE Detail - MGMT.'!$B:$B,$A35)</f>
        <v>0</v>
      </c>
      <c r="M35" s="323">
        <f>'Recast Reported'!M35-SUMIFS('QE Detail - MGMT.'!N:N,'QE Detail - MGMT.'!$A:$A,'Recast Mgmt. Adjusted'!$B35,'QE Detail - MGMT.'!$B:$B,$A35)</f>
        <v>0</v>
      </c>
      <c r="N35" s="323">
        <f>'Recast Reported'!N35-SUMIFS('QE Detail - MGMT.'!O:O,'QE Detail - MGMT.'!$A:$A,'Recast Mgmt. Adjusted'!$B35,'QE Detail - MGMT.'!$B:$B,$A35)</f>
        <v>0</v>
      </c>
      <c r="O35" s="323">
        <f>'Recast Reported'!O35-SUMIFS('QE Detail - MGMT.'!P:P,'QE Detail - MGMT.'!$A:$A,'Recast Mgmt. Adjusted'!$B35,'QE Detail - MGMT.'!$B:$B,$A35)</f>
        <v>0</v>
      </c>
      <c r="P35" s="323">
        <f>'Recast Reported'!P35-SUMIFS('QE Detail - MGMT.'!Q:Q,'QE Detail - MGMT.'!$A:$A,'Recast Mgmt. Adjusted'!$B35,'QE Detail - MGMT.'!$B:$B,$A35)</f>
        <v>0</v>
      </c>
      <c r="Q35" s="323">
        <f>'Recast Reported'!Q35-SUMIFS('QE Detail - MGMT.'!R:R,'QE Detail - MGMT.'!$A:$A,'Recast Mgmt. Adjusted'!$B35,'QE Detail - MGMT.'!$B:$B,$A35)</f>
        <v>0</v>
      </c>
      <c r="R35" s="323">
        <f>'Recast Reported'!R35-SUMIFS('QE Detail - MGMT.'!S:S,'QE Detail - MGMT.'!$A:$A,'Recast Mgmt. Adjusted'!$B35,'QE Detail - MGMT.'!$B:$B,$A35)</f>
        <v>0</v>
      </c>
      <c r="S35" s="323">
        <f>'Recast Reported'!S35-SUMIFS('QE Detail - MGMT.'!T:T,'QE Detail - MGMT.'!$A:$A,'Recast Mgmt. Adjusted'!$B35,'QE Detail - MGMT.'!$B:$B,$A35)</f>
        <v>0</v>
      </c>
      <c r="T35" s="323">
        <f>'Recast Reported'!T35-SUMIFS('QE Detail - MGMT.'!U:U,'QE Detail - MGMT.'!$A:$A,'Recast Mgmt. Adjusted'!$B35,'QE Detail - MGMT.'!$B:$B,$A35)</f>
        <v>0</v>
      </c>
      <c r="U35" s="323">
        <f>'Recast Reported'!U35-SUMIFS('QE Detail - MGMT.'!V:V,'QE Detail - MGMT.'!$A:$A,'Recast Mgmt. Adjusted'!$B35,'QE Detail - MGMT.'!$B:$B,$A35)</f>
        <v>0</v>
      </c>
      <c r="V35" s="323">
        <f>'Recast Reported'!V35-SUMIFS('QE Detail - MGMT.'!W:W,'QE Detail - MGMT.'!$A:$A,'Recast Mgmt. Adjusted'!$B35,'QE Detail - MGMT.'!$B:$B,$A35)</f>
        <v>0</v>
      </c>
      <c r="W35" s="323">
        <f>'Recast Reported'!W35-SUMIFS('QE Detail - MGMT.'!X:X,'QE Detail - MGMT.'!$A:$A,'Recast Mgmt. Adjusted'!$B35,'QE Detail - MGMT.'!$B:$B,$A35)</f>
        <v>0</v>
      </c>
      <c r="X35" s="323">
        <f>'Recast Reported'!X35-SUMIFS('QE Detail - MGMT.'!Y:Y,'QE Detail - MGMT.'!$A:$A,'Recast Mgmt. Adjusted'!$B35,'QE Detail - MGMT.'!$B:$B,$A35)</f>
        <v>0</v>
      </c>
      <c r="Y35" s="323">
        <f>'Recast Reported'!Y35-SUMIFS('QE Detail - MGMT.'!Z:Z,'QE Detail - MGMT.'!$A:$A,'Recast Mgmt. Adjusted'!$B35,'QE Detail - MGMT.'!$B:$B,$A35)</f>
        <v>0</v>
      </c>
      <c r="Z35" s="323">
        <f>'Recast Reported'!Z35-SUMIFS('QE Detail - MGMT.'!AA:AA,'QE Detail - MGMT.'!$A:$A,'Recast Mgmt. Adjusted'!$B35,'QE Detail - MGMT.'!$B:$B,$A35)</f>
        <v>0</v>
      </c>
      <c r="AA35" s="323">
        <f>'Recast Reported'!AA35-SUMIFS('QE Detail - MGMT.'!AB:AB,'QE Detail - MGMT.'!$A:$A,'Recast Mgmt. Adjusted'!$B35,'QE Detail - MGMT.'!$B:$B,$A35)</f>
        <v>0</v>
      </c>
      <c r="AB35" s="323">
        <f>'Recast Reported'!AB35-SUMIFS('QE Detail - MGMT.'!AC:AC,'QE Detail - MGMT.'!$A:$A,'Recast Mgmt. Adjusted'!$B35,'QE Detail - MGMT.'!$B:$B,$A35)</f>
        <v>0</v>
      </c>
      <c r="AC35" s="323">
        <f>'Recast Reported'!AC35-SUMIFS('QE Detail - MGMT.'!AD:AD,'QE Detail - MGMT.'!$A:$A,'Recast Mgmt. Adjusted'!$B35,'QE Detail - MGMT.'!$B:$B,$A35)</f>
        <v>0</v>
      </c>
      <c r="AD35" s="323">
        <f>'Recast Reported'!AD35-SUMIFS('QE Detail - MGMT.'!AE:AE,'QE Detail - MGMT.'!$A:$A,'Recast Mgmt. Adjusted'!$B35,'QE Detail - MGMT.'!$B:$B,$A35)</f>
        <v>0</v>
      </c>
      <c r="AE35" s="323">
        <f>'Recast Reported'!AE35-SUMIFS('QE Detail - MGMT.'!AF:AF,'QE Detail - MGMT.'!$A:$A,'Recast Mgmt. Adjusted'!$B35,'QE Detail - MGMT.'!$B:$B,$A35)</f>
        <v>0</v>
      </c>
      <c r="AF35" s="323">
        <f>'Recast Reported'!AF35-SUMIFS('QE Detail - MGMT.'!AG:AG,'QE Detail - MGMT.'!$A:$A,'Recast Mgmt. Adjusted'!$B35,'QE Detail - MGMT.'!$B:$B,$A35)</f>
        <v>0</v>
      </c>
      <c r="AG35" s="323">
        <f>'Recast Reported'!AG35-SUMIFS('QE Detail - MGMT.'!AH:AH,'QE Detail - MGMT.'!$A:$A,'Recast Mgmt. Adjusted'!$B35,'QE Detail - MGMT.'!$B:$B,$A35)</f>
        <v>0</v>
      </c>
      <c r="AH35" s="323">
        <f>'Recast Reported'!AH35-SUMIFS('QE Detail - MGMT.'!AI:AI,'QE Detail - MGMT.'!$A:$A,'Recast Mgmt. Adjusted'!$B35,'QE Detail - MGMT.'!$B:$B,$A35)</f>
        <v>0</v>
      </c>
      <c r="AI35" s="323">
        <f>'Recast Reported'!AI35-SUMIFS('QE Detail - MGMT.'!AJ:AJ,'QE Detail - MGMT.'!$A:$A,'Recast Mgmt. Adjusted'!$B35,'QE Detail - MGMT.'!$B:$B,$A35)</f>
        <v>0</v>
      </c>
      <c r="AJ35" s="323">
        <f>'Recast Reported'!AJ35-SUMIFS('QE Detail - MGMT.'!AK:AK,'QE Detail - MGMT.'!$A:$A,'Recast Mgmt. Adjusted'!$B35,'QE Detail - MGMT.'!$B:$B,$A35)</f>
        <v>0</v>
      </c>
      <c r="AK35" s="323">
        <f>'Recast Reported'!AK35-SUMIFS('QE Detail - MGMT.'!AL:AL,'QE Detail - MGMT.'!$A:$A,'Recast Mgmt. Adjusted'!$B35,'QE Detail - MGMT.'!$B:$B,$A35)</f>
        <v>0</v>
      </c>
      <c r="AL35" s="323">
        <f>'Recast Reported'!AL35-SUMIFS('QE Detail - MGMT.'!AM:AM,'QE Detail - MGMT.'!$A:$A,'Recast Mgmt. Adjusted'!$B35,'QE Detail - MGMT.'!$B:$B,$A35)</f>
        <v>0</v>
      </c>
      <c r="AM35" s="323">
        <f>'Recast Reported'!AM35-SUMIFS('QE Detail - MGMT.'!AN:AN,'QE Detail - MGMT.'!$A:$A,'Recast Mgmt. Adjusted'!$B35,'QE Detail - MGMT.'!$B:$B,$A35)</f>
        <v>0</v>
      </c>
    </row>
    <row r="36" spans="1:39" s="262" customFormat="1" ht="13.95" customHeight="1" outlineLevel="1">
      <c r="A36" s="311" t="s">
        <v>1</v>
      </c>
      <c r="B36" s="531" t="s">
        <v>219</v>
      </c>
      <c r="C36" s="323">
        <f t="shared" si="36"/>
        <v>0</v>
      </c>
      <c r="D36" s="323">
        <f t="shared" si="37"/>
        <v>0</v>
      </c>
      <c r="E36" s="323">
        <f t="shared" si="37"/>
        <v>0</v>
      </c>
      <c r="F36" s="334"/>
      <c r="G36" s="323">
        <f>'Recast Reported'!G36-SUMIFS('QE Detail - MGMT.'!H:H,'QE Detail - MGMT.'!$A:$A,'Recast Mgmt. Adjusted'!$B36,'QE Detail - MGMT.'!$B:$B,$A36)</f>
        <v>0</v>
      </c>
      <c r="H36" s="323">
        <f>'Recast Reported'!H36-SUMIFS('QE Detail - MGMT.'!I:I,'QE Detail - MGMT.'!$A:$A,'Recast Mgmt. Adjusted'!$B36,'QE Detail - MGMT.'!$B:$B,$A36)</f>
        <v>0</v>
      </c>
      <c r="I36" s="323">
        <f>'Recast Reported'!I36-SUMIFS('QE Detail - MGMT.'!J:J,'QE Detail - MGMT.'!$A:$A,'Recast Mgmt. Adjusted'!$B36,'QE Detail - MGMT.'!$B:$B,$A36)</f>
        <v>0</v>
      </c>
      <c r="J36" s="323">
        <f>'Recast Reported'!J36-SUMIFS('QE Detail - MGMT.'!K:K,'QE Detail - MGMT.'!$A:$A,'Recast Mgmt. Adjusted'!$B36,'QE Detail - MGMT.'!$B:$B,$A36)</f>
        <v>0</v>
      </c>
      <c r="K36" s="323">
        <f>'Recast Reported'!K36-SUMIFS('QE Detail - MGMT.'!L:L,'QE Detail - MGMT.'!$A:$A,'Recast Mgmt. Adjusted'!$B36,'QE Detail - MGMT.'!$B:$B,$A36)</f>
        <v>0</v>
      </c>
      <c r="L36" s="323">
        <f>'Recast Reported'!L36-SUMIFS('QE Detail - MGMT.'!M:M,'QE Detail - MGMT.'!$A:$A,'Recast Mgmt. Adjusted'!$B36,'QE Detail - MGMT.'!$B:$B,$A36)</f>
        <v>0</v>
      </c>
      <c r="M36" s="323">
        <f>'Recast Reported'!M36-SUMIFS('QE Detail - MGMT.'!N:N,'QE Detail - MGMT.'!$A:$A,'Recast Mgmt. Adjusted'!$B36,'QE Detail - MGMT.'!$B:$B,$A36)</f>
        <v>0</v>
      </c>
      <c r="N36" s="323">
        <f>'Recast Reported'!N36-SUMIFS('QE Detail - MGMT.'!O:O,'QE Detail - MGMT.'!$A:$A,'Recast Mgmt. Adjusted'!$B36,'QE Detail - MGMT.'!$B:$B,$A36)</f>
        <v>0</v>
      </c>
      <c r="O36" s="323">
        <f>'Recast Reported'!O36-SUMIFS('QE Detail - MGMT.'!P:P,'QE Detail - MGMT.'!$A:$A,'Recast Mgmt. Adjusted'!$B36,'QE Detail - MGMT.'!$B:$B,$A36)</f>
        <v>0</v>
      </c>
      <c r="P36" s="323">
        <f>'Recast Reported'!P36-SUMIFS('QE Detail - MGMT.'!Q:Q,'QE Detail - MGMT.'!$A:$A,'Recast Mgmt. Adjusted'!$B36,'QE Detail - MGMT.'!$B:$B,$A36)</f>
        <v>0</v>
      </c>
      <c r="Q36" s="323">
        <f>'Recast Reported'!Q36-SUMIFS('QE Detail - MGMT.'!R:R,'QE Detail - MGMT.'!$A:$A,'Recast Mgmt. Adjusted'!$B36,'QE Detail - MGMT.'!$B:$B,$A36)</f>
        <v>0</v>
      </c>
      <c r="R36" s="323">
        <f>'Recast Reported'!R36-SUMIFS('QE Detail - MGMT.'!S:S,'QE Detail - MGMT.'!$A:$A,'Recast Mgmt. Adjusted'!$B36,'QE Detail - MGMT.'!$B:$B,$A36)</f>
        <v>0</v>
      </c>
      <c r="S36" s="323">
        <f>'Recast Reported'!S36-SUMIFS('QE Detail - MGMT.'!T:T,'QE Detail - MGMT.'!$A:$A,'Recast Mgmt. Adjusted'!$B36,'QE Detail - MGMT.'!$B:$B,$A36)</f>
        <v>0</v>
      </c>
      <c r="T36" s="323">
        <f>'Recast Reported'!T36-SUMIFS('QE Detail - MGMT.'!U:U,'QE Detail - MGMT.'!$A:$A,'Recast Mgmt. Adjusted'!$B36,'QE Detail - MGMT.'!$B:$B,$A36)</f>
        <v>0</v>
      </c>
      <c r="U36" s="323">
        <f>'Recast Reported'!U36-SUMIFS('QE Detail - MGMT.'!V:V,'QE Detail - MGMT.'!$A:$A,'Recast Mgmt. Adjusted'!$B36,'QE Detail - MGMT.'!$B:$B,$A36)</f>
        <v>0</v>
      </c>
      <c r="V36" s="323">
        <f>'Recast Reported'!V36-SUMIFS('QE Detail - MGMT.'!W:W,'QE Detail - MGMT.'!$A:$A,'Recast Mgmt. Adjusted'!$B36,'QE Detail - MGMT.'!$B:$B,$A36)</f>
        <v>0</v>
      </c>
      <c r="W36" s="323">
        <f>'Recast Reported'!W36-SUMIFS('QE Detail - MGMT.'!X:X,'QE Detail - MGMT.'!$A:$A,'Recast Mgmt. Adjusted'!$B36,'QE Detail - MGMT.'!$B:$B,$A36)</f>
        <v>0</v>
      </c>
      <c r="X36" s="323">
        <f>'Recast Reported'!X36-SUMIFS('QE Detail - MGMT.'!Y:Y,'QE Detail - MGMT.'!$A:$A,'Recast Mgmt. Adjusted'!$B36,'QE Detail - MGMT.'!$B:$B,$A36)</f>
        <v>0</v>
      </c>
      <c r="Y36" s="323">
        <f>'Recast Reported'!Y36-SUMIFS('QE Detail - MGMT.'!Z:Z,'QE Detail - MGMT.'!$A:$A,'Recast Mgmt. Adjusted'!$B36,'QE Detail - MGMT.'!$B:$B,$A36)</f>
        <v>0</v>
      </c>
      <c r="Z36" s="323">
        <f>'Recast Reported'!Z36-SUMIFS('QE Detail - MGMT.'!AA:AA,'QE Detail - MGMT.'!$A:$A,'Recast Mgmt. Adjusted'!$B36,'QE Detail - MGMT.'!$B:$B,$A36)</f>
        <v>0</v>
      </c>
      <c r="AA36" s="323">
        <f>'Recast Reported'!AA36-SUMIFS('QE Detail - MGMT.'!AB:AB,'QE Detail - MGMT.'!$A:$A,'Recast Mgmt. Adjusted'!$B36,'QE Detail - MGMT.'!$B:$B,$A36)</f>
        <v>0</v>
      </c>
      <c r="AB36" s="323">
        <f>'Recast Reported'!AB36-SUMIFS('QE Detail - MGMT.'!AC:AC,'QE Detail - MGMT.'!$A:$A,'Recast Mgmt. Adjusted'!$B36,'QE Detail - MGMT.'!$B:$B,$A36)</f>
        <v>0</v>
      </c>
      <c r="AC36" s="323">
        <f>'Recast Reported'!AC36-SUMIFS('QE Detail - MGMT.'!AD:AD,'QE Detail - MGMT.'!$A:$A,'Recast Mgmt. Adjusted'!$B36,'QE Detail - MGMT.'!$B:$B,$A36)</f>
        <v>0</v>
      </c>
      <c r="AD36" s="323">
        <f>'Recast Reported'!AD36-SUMIFS('QE Detail - MGMT.'!AE:AE,'QE Detail - MGMT.'!$A:$A,'Recast Mgmt. Adjusted'!$B36,'QE Detail - MGMT.'!$B:$B,$A36)</f>
        <v>0</v>
      </c>
      <c r="AE36" s="323">
        <f>'Recast Reported'!AE36-SUMIFS('QE Detail - MGMT.'!AF:AF,'QE Detail - MGMT.'!$A:$A,'Recast Mgmt. Adjusted'!$B36,'QE Detail - MGMT.'!$B:$B,$A36)</f>
        <v>0</v>
      </c>
      <c r="AF36" s="323">
        <f>'Recast Reported'!AF36-SUMIFS('QE Detail - MGMT.'!AG:AG,'QE Detail - MGMT.'!$A:$A,'Recast Mgmt. Adjusted'!$B36,'QE Detail - MGMT.'!$B:$B,$A36)</f>
        <v>0</v>
      </c>
      <c r="AG36" s="323">
        <f>'Recast Reported'!AG36-SUMIFS('QE Detail - MGMT.'!AH:AH,'QE Detail - MGMT.'!$A:$A,'Recast Mgmt. Adjusted'!$B36,'QE Detail - MGMT.'!$B:$B,$A36)</f>
        <v>0</v>
      </c>
      <c r="AH36" s="323">
        <f>'Recast Reported'!AH36-SUMIFS('QE Detail - MGMT.'!AI:AI,'QE Detail - MGMT.'!$A:$A,'Recast Mgmt. Adjusted'!$B36,'QE Detail - MGMT.'!$B:$B,$A36)</f>
        <v>0</v>
      </c>
      <c r="AI36" s="323">
        <f>'Recast Reported'!AI36-SUMIFS('QE Detail - MGMT.'!AJ:AJ,'QE Detail - MGMT.'!$A:$A,'Recast Mgmt. Adjusted'!$B36,'QE Detail - MGMT.'!$B:$B,$A36)</f>
        <v>0</v>
      </c>
      <c r="AJ36" s="323">
        <f>'Recast Reported'!AJ36-SUMIFS('QE Detail - MGMT.'!AK:AK,'QE Detail - MGMT.'!$A:$A,'Recast Mgmt. Adjusted'!$B36,'QE Detail - MGMT.'!$B:$B,$A36)</f>
        <v>0</v>
      </c>
      <c r="AK36" s="323">
        <f>'Recast Reported'!AK36-SUMIFS('QE Detail - MGMT.'!AL:AL,'QE Detail - MGMT.'!$A:$A,'Recast Mgmt. Adjusted'!$B36,'QE Detail - MGMT.'!$B:$B,$A36)</f>
        <v>0</v>
      </c>
      <c r="AL36" s="323">
        <f>'Recast Reported'!AL36-SUMIFS('QE Detail - MGMT.'!AM:AM,'QE Detail - MGMT.'!$A:$A,'Recast Mgmt. Adjusted'!$B36,'QE Detail - MGMT.'!$B:$B,$A36)</f>
        <v>0</v>
      </c>
      <c r="AM36" s="323">
        <f>'Recast Reported'!AM36-SUMIFS('QE Detail - MGMT.'!AN:AN,'QE Detail - MGMT.'!$A:$A,'Recast Mgmt. Adjusted'!$B36,'QE Detail - MGMT.'!$B:$B,$A36)</f>
        <v>0</v>
      </c>
    </row>
    <row r="37" spans="1:39" s="262" customFormat="1" ht="13.95" customHeight="1" outlineLevel="1">
      <c r="A37" s="311" t="s">
        <v>1</v>
      </c>
      <c r="B37" s="531" t="s">
        <v>220</v>
      </c>
      <c r="C37" s="323">
        <f t="shared" si="36"/>
        <v>0</v>
      </c>
      <c r="D37" s="323">
        <f t="shared" si="37"/>
        <v>0</v>
      </c>
      <c r="E37" s="323">
        <f t="shared" si="37"/>
        <v>0</v>
      </c>
      <c r="F37" s="334"/>
      <c r="G37" s="323">
        <f>'Recast Reported'!G37-SUMIFS('QE Detail - MGMT.'!H:H,'QE Detail - MGMT.'!$A:$A,'Recast Mgmt. Adjusted'!$B37,'QE Detail - MGMT.'!$B:$B,$A37)</f>
        <v>0</v>
      </c>
      <c r="H37" s="323">
        <f>'Recast Reported'!H37-SUMIFS('QE Detail - MGMT.'!I:I,'QE Detail - MGMT.'!$A:$A,'Recast Mgmt. Adjusted'!$B37,'QE Detail - MGMT.'!$B:$B,$A37)</f>
        <v>0</v>
      </c>
      <c r="I37" s="323">
        <f>'Recast Reported'!I37-SUMIFS('QE Detail - MGMT.'!J:J,'QE Detail - MGMT.'!$A:$A,'Recast Mgmt. Adjusted'!$B37,'QE Detail - MGMT.'!$B:$B,$A37)</f>
        <v>0</v>
      </c>
      <c r="J37" s="323">
        <f>'Recast Reported'!J37-SUMIFS('QE Detail - MGMT.'!K:K,'QE Detail - MGMT.'!$A:$A,'Recast Mgmt. Adjusted'!$B37,'QE Detail - MGMT.'!$B:$B,$A37)</f>
        <v>0</v>
      </c>
      <c r="K37" s="323">
        <f>'Recast Reported'!K37-SUMIFS('QE Detail - MGMT.'!L:L,'QE Detail - MGMT.'!$A:$A,'Recast Mgmt. Adjusted'!$B37,'QE Detail - MGMT.'!$B:$B,$A37)</f>
        <v>0</v>
      </c>
      <c r="L37" s="323">
        <f>'Recast Reported'!L37-SUMIFS('QE Detail - MGMT.'!M:M,'QE Detail - MGMT.'!$A:$A,'Recast Mgmt. Adjusted'!$B37,'QE Detail - MGMT.'!$B:$B,$A37)</f>
        <v>0</v>
      </c>
      <c r="M37" s="323">
        <f>'Recast Reported'!M37-SUMIFS('QE Detail - MGMT.'!N:N,'QE Detail - MGMT.'!$A:$A,'Recast Mgmt. Adjusted'!$B37,'QE Detail - MGMT.'!$B:$B,$A37)</f>
        <v>0</v>
      </c>
      <c r="N37" s="323">
        <f>'Recast Reported'!N37-SUMIFS('QE Detail - MGMT.'!O:O,'QE Detail - MGMT.'!$A:$A,'Recast Mgmt. Adjusted'!$B37,'QE Detail - MGMT.'!$B:$B,$A37)</f>
        <v>0</v>
      </c>
      <c r="O37" s="323">
        <f>'Recast Reported'!O37-SUMIFS('QE Detail - MGMT.'!P:P,'QE Detail - MGMT.'!$A:$A,'Recast Mgmt. Adjusted'!$B37,'QE Detail - MGMT.'!$B:$B,$A37)</f>
        <v>0</v>
      </c>
      <c r="P37" s="323">
        <f>'Recast Reported'!P37-SUMIFS('QE Detail - MGMT.'!Q:Q,'QE Detail - MGMT.'!$A:$A,'Recast Mgmt. Adjusted'!$B37,'QE Detail - MGMT.'!$B:$B,$A37)</f>
        <v>0</v>
      </c>
      <c r="Q37" s="323">
        <f>'Recast Reported'!Q37-SUMIFS('QE Detail - MGMT.'!R:R,'QE Detail - MGMT.'!$A:$A,'Recast Mgmt. Adjusted'!$B37,'QE Detail - MGMT.'!$B:$B,$A37)</f>
        <v>0</v>
      </c>
      <c r="R37" s="323">
        <f>'Recast Reported'!R37-SUMIFS('QE Detail - MGMT.'!S:S,'QE Detail - MGMT.'!$A:$A,'Recast Mgmt. Adjusted'!$B37,'QE Detail - MGMT.'!$B:$B,$A37)</f>
        <v>0</v>
      </c>
      <c r="S37" s="323">
        <f>'Recast Reported'!S37-SUMIFS('QE Detail - MGMT.'!T:T,'QE Detail - MGMT.'!$A:$A,'Recast Mgmt. Adjusted'!$B37,'QE Detail - MGMT.'!$B:$B,$A37)</f>
        <v>0</v>
      </c>
      <c r="T37" s="323">
        <f>'Recast Reported'!T37-SUMIFS('QE Detail - MGMT.'!U:U,'QE Detail - MGMT.'!$A:$A,'Recast Mgmt. Adjusted'!$B37,'QE Detail - MGMT.'!$B:$B,$A37)</f>
        <v>0</v>
      </c>
      <c r="U37" s="323">
        <f>'Recast Reported'!U37-SUMIFS('QE Detail - MGMT.'!V:V,'QE Detail - MGMT.'!$A:$A,'Recast Mgmt. Adjusted'!$B37,'QE Detail - MGMT.'!$B:$B,$A37)</f>
        <v>0</v>
      </c>
      <c r="V37" s="323">
        <f>'Recast Reported'!V37-SUMIFS('QE Detail - MGMT.'!W:W,'QE Detail - MGMT.'!$A:$A,'Recast Mgmt. Adjusted'!$B37,'QE Detail - MGMT.'!$B:$B,$A37)</f>
        <v>0</v>
      </c>
      <c r="W37" s="323">
        <f>'Recast Reported'!W37-SUMIFS('QE Detail - MGMT.'!X:X,'QE Detail - MGMT.'!$A:$A,'Recast Mgmt. Adjusted'!$B37,'QE Detail - MGMT.'!$B:$B,$A37)</f>
        <v>0</v>
      </c>
      <c r="X37" s="323">
        <f>'Recast Reported'!X37-SUMIFS('QE Detail - MGMT.'!Y:Y,'QE Detail - MGMT.'!$A:$A,'Recast Mgmt. Adjusted'!$B37,'QE Detail - MGMT.'!$B:$B,$A37)</f>
        <v>0</v>
      </c>
      <c r="Y37" s="323">
        <f>'Recast Reported'!Y37-SUMIFS('QE Detail - MGMT.'!Z:Z,'QE Detail - MGMT.'!$A:$A,'Recast Mgmt. Adjusted'!$B37,'QE Detail - MGMT.'!$B:$B,$A37)</f>
        <v>0</v>
      </c>
      <c r="Z37" s="323">
        <f>'Recast Reported'!Z37-SUMIFS('QE Detail - MGMT.'!AA:AA,'QE Detail - MGMT.'!$A:$A,'Recast Mgmt. Adjusted'!$B37,'QE Detail - MGMT.'!$B:$B,$A37)</f>
        <v>0</v>
      </c>
      <c r="AA37" s="323">
        <f>'Recast Reported'!AA37-SUMIFS('QE Detail - MGMT.'!AB:AB,'QE Detail - MGMT.'!$A:$A,'Recast Mgmt. Adjusted'!$B37,'QE Detail - MGMT.'!$B:$B,$A37)</f>
        <v>0</v>
      </c>
      <c r="AB37" s="323">
        <f>'Recast Reported'!AB37-SUMIFS('QE Detail - MGMT.'!AC:AC,'QE Detail - MGMT.'!$A:$A,'Recast Mgmt. Adjusted'!$B37,'QE Detail - MGMT.'!$B:$B,$A37)</f>
        <v>0</v>
      </c>
      <c r="AC37" s="323">
        <f>'Recast Reported'!AC37-SUMIFS('QE Detail - MGMT.'!AD:AD,'QE Detail - MGMT.'!$A:$A,'Recast Mgmt. Adjusted'!$B37,'QE Detail - MGMT.'!$B:$B,$A37)</f>
        <v>0</v>
      </c>
      <c r="AD37" s="323">
        <f>'Recast Reported'!AD37-SUMIFS('QE Detail - MGMT.'!AE:AE,'QE Detail - MGMT.'!$A:$A,'Recast Mgmt. Adjusted'!$B37,'QE Detail - MGMT.'!$B:$B,$A37)</f>
        <v>0</v>
      </c>
      <c r="AE37" s="323">
        <f>'Recast Reported'!AE37-SUMIFS('QE Detail - MGMT.'!AF:AF,'QE Detail - MGMT.'!$A:$A,'Recast Mgmt. Adjusted'!$B37,'QE Detail - MGMT.'!$B:$B,$A37)</f>
        <v>0</v>
      </c>
      <c r="AF37" s="323">
        <f>'Recast Reported'!AF37-SUMIFS('QE Detail - MGMT.'!AG:AG,'QE Detail - MGMT.'!$A:$A,'Recast Mgmt. Adjusted'!$B37,'QE Detail - MGMT.'!$B:$B,$A37)</f>
        <v>0</v>
      </c>
      <c r="AG37" s="323">
        <f>'Recast Reported'!AG37-SUMIFS('QE Detail - MGMT.'!AH:AH,'QE Detail - MGMT.'!$A:$A,'Recast Mgmt. Adjusted'!$B37,'QE Detail - MGMT.'!$B:$B,$A37)</f>
        <v>0</v>
      </c>
      <c r="AH37" s="323">
        <f>'Recast Reported'!AH37-SUMIFS('QE Detail - MGMT.'!AI:AI,'QE Detail - MGMT.'!$A:$A,'Recast Mgmt. Adjusted'!$B37,'QE Detail - MGMT.'!$B:$B,$A37)</f>
        <v>0</v>
      </c>
      <c r="AI37" s="323">
        <f>'Recast Reported'!AI37-SUMIFS('QE Detail - MGMT.'!AJ:AJ,'QE Detail - MGMT.'!$A:$A,'Recast Mgmt. Adjusted'!$B37,'QE Detail - MGMT.'!$B:$B,$A37)</f>
        <v>0</v>
      </c>
      <c r="AJ37" s="323">
        <f>'Recast Reported'!AJ37-SUMIFS('QE Detail - MGMT.'!AK:AK,'QE Detail - MGMT.'!$A:$A,'Recast Mgmt. Adjusted'!$B37,'QE Detail - MGMT.'!$B:$B,$A37)</f>
        <v>0</v>
      </c>
      <c r="AK37" s="323">
        <f>'Recast Reported'!AK37-SUMIFS('QE Detail - MGMT.'!AL:AL,'QE Detail - MGMT.'!$A:$A,'Recast Mgmt. Adjusted'!$B37,'QE Detail - MGMT.'!$B:$B,$A37)</f>
        <v>0</v>
      </c>
      <c r="AL37" s="323">
        <f>'Recast Reported'!AL37-SUMIFS('QE Detail - MGMT.'!AM:AM,'QE Detail - MGMT.'!$A:$A,'Recast Mgmt. Adjusted'!$B37,'QE Detail - MGMT.'!$B:$B,$A37)</f>
        <v>0</v>
      </c>
      <c r="AM37" s="323">
        <f>'Recast Reported'!AM37-SUMIFS('QE Detail - MGMT.'!AN:AN,'QE Detail - MGMT.'!$A:$A,'Recast Mgmt. Adjusted'!$B37,'QE Detail - MGMT.'!$B:$B,$A37)</f>
        <v>0</v>
      </c>
    </row>
    <row r="38" spans="1:39" s="262" customFormat="1" ht="13.95" customHeight="1" outlineLevel="1">
      <c r="A38" s="311" t="s">
        <v>1</v>
      </c>
      <c r="B38" s="531" t="s">
        <v>221</v>
      </c>
      <c r="C38" s="323">
        <f t="shared" si="36"/>
        <v>0</v>
      </c>
      <c r="D38" s="323">
        <f t="shared" si="37"/>
        <v>0</v>
      </c>
      <c r="E38" s="323">
        <f t="shared" si="37"/>
        <v>0</v>
      </c>
      <c r="F38" s="334"/>
      <c r="G38" s="323">
        <f>'Recast Reported'!G38-SUMIFS('QE Detail - MGMT.'!H:H,'QE Detail - MGMT.'!$A:$A,'Recast Mgmt. Adjusted'!$B38,'QE Detail - MGMT.'!$B:$B,$A38)</f>
        <v>0</v>
      </c>
      <c r="H38" s="323">
        <f>'Recast Reported'!H38-SUMIFS('QE Detail - MGMT.'!I:I,'QE Detail - MGMT.'!$A:$A,'Recast Mgmt. Adjusted'!$B38,'QE Detail - MGMT.'!$B:$B,$A38)</f>
        <v>0</v>
      </c>
      <c r="I38" s="323">
        <f>'Recast Reported'!I38-SUMIFS('QE Detail - MGMT.'!J:J,'QE Detail - MGMT.'!$A:$A,'Recast Mgmt. Adjusted'!$B38,'QE Detail - MGMT.'!$B:$B,$A38)</f>
        <v>0</v>
      </c>
      <c r="J38" s="323">
        <f>'Recast Reported'!J38-SUMIFS('QE Detail - MGMT.'!K:K,'QE Detail - MGMT.'!$A:$A,'Recast Mgmt. Adjusted'!$B38,'QE Detail - MGMT.'!$B:$B,$A38)</f>
        <v>0</v>
      </c>
      <c r="K38" s="323">
        <f>'Recast Reported'!K38-SUMIFS('QE Detail - MGMT.'!L:L,'QE Detail - MGMT.'!$A:$A,'Recast Mgmt. Adjusted'!$B38,'QE Detail - MGMT.'!$B:$B,$A38)</f>
        <v>0</v>
      </c>
      <c r="L38" s="323">
        <f>'Recast Reported'!L38-SUMIFS('QE Detail - MGMT.'!M:M,'QE Detail - MGMT.'!$A:$A,'Recast Mgmt. Adjusted'!$B38,'QE Detail - MGMT.'!$B:$B,$A38)</f>
        <v>0</v>
      </c>
      <c r="M38" s="323">
        <f>'Recast Reported'!M38-SUMIFS('QE Detail - MGMT.'!N:N,'QE Detail - MGMT.'!$A:$A,'Recast Mgmt. Adjusted'!$B38,'QE Detail - MGMT.'!$B:$B,$A38)</f>
        <v>0</v>
      </c>
      <c r="N38" s="323">
        <f>'Recast Reported'!N38-SUMIFS('QE Detail - MGMT.'!O:O,'QE Detail - MGMT.'!$A:$A,'Recast Mgmt. Adjusted'!$B38,'QE Detail - MGMT.'!$B:$B,$A38)</f>
        <v>0</v>
      </c>
      <c r="O38" s="323">
        <f>'Recast Reported'!O38-SUMIFS('QE Detail - MGMT.'!P:P,'QE Detail - MGMT.'!$A:$A,'Recast Mgmt. Adjusted'!$B38,'QE Detail - MGMT.'!$B:$B,$A38)</f>
        <v>0</v>
      </c>
      <c r="P38" s="323">
        <f>'Recast Reported'!P38-SUMIFS('QE Detail - MGMT.'!Q:Q,'QE Detail - MGMT.'!$A:$A,'Recast Mgmt. Adjusted'!$B38,'QE Detail - MGMT.'!$B:$B,$A38)</f>
        <v>0</v>
      </c>
      <c r="Q38" s="323">
        <f>'Recast Reported'!Q38-SUMIFS('QE Detail - MGMT.'!R:R,'QE Detail - MGMT.'!$A:$A,'Recast Mgmt. Adjusted'!$B38,'QE Detail - MGMT.'!$B:$B,$A38)</f>
        <v>0</v>
      </c>
      <c r="R38" s="323">
        <f>'Recast Reported'!R38-SUMIFS('QE Detail - MGMT.'!S:S,'QE Detail - MGMT.'!$A:$A,'Recast Mgmt. Adjusted'!$B38,'QE Detail - MGMT.'!$B:$B,$A38)</f>
        <v>0</v>
      </c>
      <c r="S38" s="323">
        <f>'Recast Reported'!S38-SUMIFS('QE Detail - MGMT.'!T:T,'QE Detail - MGMT.'!$A:$A,'Recast Mgmt. Adjusted'!$B38,'QE Detail - MGMT.'!$B:$B,$A38)</f>
        <v>0</v>
      </c>
      <c r="T38" s="323">
        <f>'Recast Reported'!T38-SUMIFS('QE Detail - MGMT.'!U:U,'QE Detail - MGMT.'!$A:$A,'Recast Mgmt. Adjusted'!$B38,'QE Detail - MGMT.'!$B:$B,$A38)</f>
        <v>0</v>
      </c>
      <c r="U38" s="323">
        <f>'Recast Reported'!U38-SUMIFS('QE Detail - MGMT.'!V:V,'QE Detail - MGMT.'!$A:$A,'Recast Mgmt. Adjusted'!$B38,'QE Detail - MGMT.'!$B:$B,$A38)</f>
        <v>0</v>
      </c>
      <c r="V38" s="323">
        <f>'Recast Reported'!V38-SUMIFS('QE Detail - MGMT.'!W:W,'QE Detail - MGMT.'!$A:$A,'Recast Mgmt. Adjusted'!$B38,'QE Detail - MGMT.'!$B:$B,$A38)</f>
        <v>0</v>
      </c>
      <c r="W38" s="323">
        <f>'Recast Reported'!W38-SUMIFS('QE Detail - MGMT.'!X:X,'QE Detail - MGMT.'!$A:$A,'Recast Mgmt. Adjusted'!$B38,'QE Detail - MGMT.'!$B:$B,$A38)</f>
        <v>0</v>
      </c>
      <c r="X38" s="323">
        <f>'Recast Reported'!X38-SUMIFS('QE Detail - MGMT.'!Y:Y,'QE Detail - MGMT.'!$A:$A,'Recast Mgmt. Adjusted'!$B38,'QE Detail - MGMT.'!$B:$B,$A38)</f>
        <v>0</v>
      </c>
      <c r="Y38" s="323">
        <f>'Recast Reported'!Y38-SUMIFS('QE Detail - MGMT.'!Z:Z,'QE Detail - MGMT.'!$A:$A,'Recast Mgmt. Adjusted'!$B38,'QE Detail - MGMT.'!$B:$B,$A38)</f>
        <v>0</v>
      </c>
      <c r="Z38" s="323">
        <f>'Recast Reported'!Z38-SUMIFS('QE Detail - MGMT.'!AA:AA,'QE Detail - MGMT.'!$A:$A,'Recast Mgmt. Adjusted'!$B38,'QE Detail - MGMT.'!$B:$B,$A38)</f>
        <v>0</v>
      </c>
      <c r="AA38" s="323">
        <f>'Recast Reported'!AA38-SUMIFS('QE Detail - MGMT.'!AB:AB,'QE Detail - MGMT.'!$A:$A,'Recast Mgmt. Adjusted'!$B38,'QE Detail - MGMT.'!$B:$B,$A38)</f>
        <v>0</v>
      </c>
      <c r="AB38" s="323">
        <f>'Recast Reported'!AB38-SUMIFS('QE Detail - MGMT.'!AC:AC,'QE Detail - MGMT.'!$A:$A,'Recast Mgmt. Adjusted'!$B38,'QE Detail - MGMT.'!$B:$B,$A38)</f>
        <v>0</v>
      </c>
      <c r="AC38" s="323">
        <f>'Recast Reported'!AC38-SUMIFS('QE Detail - MGMT.'!AD:AD,'QE Detail - MGMT.'!$A:$A,'Recast Mgmt. Adjusted'!$B38,'QE Detail - MGMT.'!$B:$B,$A38)</f>
        <v>0</v>
      </c>
      <c r="AD38" s="323">
        <f>'Recast Reported'!AD38-SUMIFS('QE Detail - MGMT.'!AE:AE,'QE Detail - MGMT.'!$A:$A,'Recast Mgmt. Adjusted'!$B38,'QE Detail - MGMT.'!$B:$B,$A38)</f>
        <v>0</v>
      </c>
      <c r="AE38" s="323">
        <f>'Recast Reported'!AE38-SUMIFS('QE Detail - MGMT.'!AF:AF,'QE Detail - MGMT.'!$A:$A,'Recast Mgmt. Adjusted'!$B38,'QE Detail - MGMT.'!$B:$B,$A38)</f>
        <v>0</v>
      </c>
      <c r="AF38" s="323">
        <f>'Recast Reported'!AF38-SUMIFS('QE Detail - MGMT.'!AG:AG,'QE Detail - MGMT.'!$A:$A,'Recast Mgmt. Adjusted'!$B38,'QE Detail - MGMT.'!$B:$B,$A38)</f>
        <v>0</v>
      </c>
      <c r="AG38" s="323">
        <f>'Recast Reported'!AG38-SUMIFS('QE Detail - MGMT.'!AH:AH,'QE Detail - MGMT.'!$A:$A,'Recast Mgmt. Adjusted'!$B38,'QE Detail - MGMT.'!$B:$B,$A38)</f>
        <v>0</v>
      </c>
      <c r="AH38" s="323">
        <f>'Recast Reported'!AH38-SUMIFS('QE Detail - MGMT.'!AI:AI,'QE Detail - MGMT.'!$A:$A,'Recast Mgmt. Adjusted'!$B38,'QE Detail - MGMT.'!$B:$B,$A38)</f>
        <v>0</v>
      </c>
      <c r="AI38" s="323">
        <f>'Recast Reported'!AI38-SUMIFS('QE Detail - MGMT.'!AJ:AJ,'QE Detail - MGMT.'!$A:$A,'Recast Mgmt. Adjusted'!$B38,'QE Detail - MGMT.'!$B:$B,$A38)</f>
        <v>0</v>
      </c>
      <c r="AJ38" s="323">
        <f>'Recast Reported'!AJ38-SUMIFS('QE Detail - MGMT.'!AK:AK,'QE Detail - MGMT.'!$A:$A,'Recast Mgmt. Adjusted'!$B38,'QE Detail - MGMT.'!$B:$B,$A38)</f>
        <v>0</v>
      </c>
      <c r="AK38" s="323">
        <f>'Recast Reported'!AK38-SUMIFS('QE Detail - MGMT.'!AL:AL,'QE Detail - MGMT.'!$A:$A,'Recast Mgmt. Adjusted'!$B38,'QE Detail - MGMT.'!$B:$B,$A38)</f>
        <v>0</v>
      </c>
      <c r="AL38" s="323">
        <f>'Recast Reported'!AL38-SUMIFS('QE Detail - MGMT.'!AM:AM,'QE Detail - MGMT.'!$A:$A,'Recast Mgmt. Adjusted'!$B38,'QE Detail - MGMT.'!$B:$B,$A38)</f>
        <v>0</v>
      </c>
      <c r="AM38" s="323">
        <f>'Recast Reported'!AM38-SUMIFS('QE Detail - MGMT.'!AN:AN,'QE Detail - MGMT.'!$A:$A,'Recast Mgmt. Adjusted'!$B38,'QE Detail - MGMT.'!$B:$B,$A38)</f>
        <v>0</v>
      </c>
    </row>
    <row r="39" spans="1:39" s="262" customFormat="1" ht="13.95" customHeight="1" outlineLevel="1">
      <c r="A39" s="311" t="s">
        <v>1</v>
      </c>
      <c r="B39" s="531" t="s">
        <v>222</v>
      </c>
      <c r="C39" s="323">
        <f t="shared" si="36"/>
        <v>0</v>
      </c>
      <c r="D39" s="323">
        <f t="shared" si="37"/>
        <v>0</v>
      </c>
      <c r="E39" s="323">
        <f t="shared" si="37"/>
        <v>0</v>
      </c>
      <c r="F39" s="334"/>
      <c r="G39" s="323">
        <f>'Recast Reported'!G39-SUMIFS('QE Detail - MGMT.'!H:H,'QE Detail - MGMT.'!$A:$A,'Recast Mgmt. Adjusted'!$B39,'QE Detail - MGMT.'!$B:$B,$A39)</f>
        <v>0</v>
      </c>
      <c r="H39" s="323">
        <f>'Recast Reported'!H39-SUMIFS('QE Detail - MGMT.'!I:I,'QE Detail - MGMT.'!$A:$A,'Recast Mgmt. Adjusted'!$B39,'QE Detail - MGMT.'!$B:$B,$A39)</f>
        <v>0</v>
      </c>
      <c r="I39" s="323">
        <f>'Recast Reported'!I39-SUMIFS('QE Detail - MGMT.'!J:J,'QE Detail - MGMT.'!$A:$A,'Recast Mgmt. Adjusted'!$B39,'QE Detail - MGMT.'!$B:$B,$A39)</f>
        <v>0</v>
      </c>
      <c r="J39" s="323">
        <f>'Recast Reported'!J39-SUMIFS('QE Detail - MGMT.'!K:K,'QE Detail - MGMT.'!$A:$A,'Recast Mgmt. Adjusted'!$B39,'QE Detail - MGMT.'!$B:$B,$A39)</f>
        <v>0</v>
      </c>
      <c r="K39" s="323">
        <f>'Recast Reported'!K39-SUMIFS('QE Detail - MGMT.'!L:L,'QE Detail - MGMT.'!$A:$A,'Recast Mgmt. Adjusted'!$B39,'QE Detail - MGMT.'!$B:$B,$A39)</f>
        <v>0</v>
      </c>
      <c r="L39" s="323">
        <f>'Recast Reported'!L39-SUMIFS('QE Detail - MGMT.'!M:M,'QE Detail - MGMT.'!$A:$A,'Recast Mgmt. Adjusted'!$B39,'QE Detail - MGMT.'!$B:$B,$A39)</f>
        <v>0</v>
      </c>
      <c r="M39" s="323">
        <f>'Recast Reported'!M39-SUMIFS('QE Detail - MGMT.'!N:N,'QE Detail - MGMT.'!$A:$A,'Recast Mgmt. Adjusted'!$B39,'QE Detail - MGMT.'!$B:$B,$A39)</f>
        <v>0</v>
      </c>
      <c r="N39" s="323">
        <f>'Recast Reported'!N39-SUMIFS('QE Detail - MGMT.'!O:O,'QE Detail - MGMT.'!$A:$A,'Recast Mgmt. Adjusted'!$B39,'QE Detail - MGMT.'!$B:$B,$A39)</f>
        <v>0</v>
      </c>
      <c r="O39" s="323">
        <f>'Recast Reported'!O39-SUMIFS('QE Detail - MGMT.'!P:P,'QE Detail - MGMT.'!$A:$A,'Recast Mgmt. Adjusted'!$B39,'QE Detail - MGMT.'!$B:$B,$A39)</f>
        <v>0</v>
      </c>
      <c r="P39" s="323">
        <f>'Recast Reported'!P39-SUMIFS('QE Detail - MGMT.'!Q:Q,'QE Detail - MGMT.'!$A:$A,'Recast Mgmt. Adjusted'!$B39,'QE Detail - MGMT.'!$B:$B,$A39)</f>
        <v>0</v>
      </c>
      <c r="Q39" s="323">
        <f>'Recast Reported'!Q39-SUMIFS('QE Detail - MGMT.'!R:R,'QE Detail - MGMT.'!$A:$A,'Recast Mgmt. Adjusted'!$B39,'QE Detail - MGMT.'!$B:$B,$A39)</f>
        <v>0</v>
      </c>
      <c r="R39" s="323">
        <f>'Recast Reported'!R39-SUMIFS('QE Detail - MGMT.'!S:S,'QE Detail - MGMT.'!$A:$A,'Recast Mgmt. Adjusted'!$B39,'QE Detail - MGMT.'!$B:$B,$A39)</f>
        <v>0</v>
      </c>
      <c r="S39" s="323">
        <f>'Recast Reported'!S39-SUMIFS('QE Detail - MGMT.'!T:T,'QE Detail - MGMT.'!$A:$A,'Recast Mgmt. Adjusted'!$B39,'QE Detail - MGMT.'!$B:$B,$A39)</f>
        <v>0</v>
      </c>
      <c r="T39" s="323">
        <f>'Recast Reported'!T39-SUMIFS('QE Detail - MGMT.'!U:U,'QE Detail - MGMT.'!$A:$A,'Recast Mgmt. Adjusted'!$B39,'QE Detail - MGMT.'!$B:$B,$A39)</f>
        <v>0</v>
      </c>
      <c r="U39" s="323">
        <f>'Recast Reported'!U39-SUMIFS('QE Detail - MGMT.'!V:V,'QE Detail - MGMT.'!$A:$A,'Recast Mgmt. Adjusted'!$B39,'QE Detail - MGMT.'!$B:$B,$A39)</f>
        <v>0</v>
      </c>
      <c r="V39" s="323">
        <f>'Recast Reported'!V39-SUMIFS('QE Detail - MGMT.'!W:W,'QE Detail - MGMT.'!$A:$A,'Recast Mgmt. Adjusted'!$B39,'QE Detail - MGMT.'!$B:$B,$A39)</f>
        <v>0</v>
      </c>
      <c r="W39" s="323">
        <f>'Recast Reported'!W39-SUMIFS('QE Detail - MGMT.'!X:X,'QE Detail - MGMT.'!$A:$A,'Recast Mgmt. Adjusted'!$B39,'QE Detail - MGMT.'!$B:$B,$A39)</f>
        <v>0</v>
      </c>
      <c r="X39" s="323">
        <f>'Recast Reported'!X39-SUMIFS('QE Detail - MGMT.'!Y:Y,'QE Detail - MGMT.'!$A:$A,'Recast Mgmt. Adjusted'!$B39,'QE Detail - MGMT.'!$B:$B,$A39)</f>
        <v>0</v>
      </c>
      <c r="Y39" s="323">
        <f>'Recast Reported'!Y39-SUMIFS('QE Detail - MGMT.'!Z:Z,'QE Detail - MGMT.'!$A:$A,'Recast Mgmt. Adjusted'!$B39,'QE Detail - MGMT.'!$B:$B,$A39)</f>
        <v>0</v>
      </c>
      <c r="Z39" s="323">
        <f>'Recast Reported'!Z39-SUMIFS('QE Detail - MGMT.'!AA:AA,'QE Detail - MGMT.'!$A:$A,'Recast Mgmt. Adjusted'!$B39,'QE Detail - MGMT.'!$B:$B,$A39)</f>
        <v>0</v>
      </c>
      <c r="AA39" s="323">
        <f>'Recast Reported'!AA39-SUMIFS('QE Detail - MGMT.'!AB:AB,'QE Detail - MGMT.'!$A:$A,'Recast Mgmt. Adjusted'!$B39,'QE Detail - MGMT.'!$B:$B,$A39)</f>
        <v>0</v>
      </c>
      <c r="AB39" s="323">
        <f>'Recast Reported'!AB39-SUMIFS('QE Detail - MGMT.'!AC:AC,'QE Detail - MGMT.'!$A:$A,'Recast Mgmt. Adjusted'!$B39,'QE Detail - MGMT.'!$B:$B,$A39)</f>
        <v>0</v>
      </c>
      <c r="AC39" s="323">
        <f>'Recast Reported'!AC39-SUMIFS('QE Detail - MGMT.'!AD:AD,'QE Detail - MGMT.'!$A:$A,'Recast Mgmt. Adjusted'!$B39,'QE Detail - MGMT.'!$B:$B,$A39)</f>
        <v>0</v>
      </c>
      <c r="AD39" s="323">
        <f>'Recast Reported'!AD39-SUMIFS('QE Detail - MGMT.'!AE:AE,'QE Detail - MGMT.'!$A:$A,'Recast Mgmt. Adjusted'!$B39,'QE Detail - MGMT.'!$B:$B,$A39)</f>
        <v>0</v>
      </c>
      <c r="AE39" s="323">
        <f>'Recast Reported'!AE39-SUMIFS('QE Detail - MGMT.'!AF:AF,'QE Detail - MGMT.'!$A:$A,'Recast Mgmt. Adjusted'!$B39,'QE Detail - MGMT.'!$B:$B,$A39)</f>
        <v>0</v>
      </c>
      <c r="AF39" s="323">
        <f>'Recast Reported'!AF39-SUMIFS('QE Detail - MGMT.'!AG:AG,'QE Detail - MGMT.'!$A:$A,'Recast Mgmt. Adjusted'!$B39,'QE Detail - MGMT.'!$B:$B,$A39)</f>
        <v>0</v>
      </c>
      <c r="AG39" s="323">
        <f>'Recast Reported'!AG39-SUMIFS('QE Detail - MGMT.'!AH:AH,'QE Detail - MGMT.'!$A:$A,'Recast Mgmt. Adjusted'!$B39,'QE Detail - MGMT.'!$B:$B,$A39)</f>
        <v>0</v>
      </c>
      <c r="AH39" s="323">
        <f>'Recast Reported'!AH39-SUMIFS('QE Detail - MGMT.'!AI:AI,'QE Detail - MGMT.'!$A:$A,'Recast Mgmt. Adjusted'!$B39,'QE Detail - MGMT.'!$B:$B,$A39)</f>
        <v>0</v>
      </c>
      <c r="AI39" s="323">
        <f>'Recast Reported'!AI39-SUMIFS('QE Detail - MGMT.'!AJ:AJ,'QE Detail - MGMT.'!$A:$A,'Recast Mgmt. Adjusted'!$B39,'QE Detail - MGMT.'!$B:$B,$A39)</f>
        <v>0</v>
      </c>
      <c r="AJ39" s="323">
        <f>'Recast Reported'!AJ39-SUMIFS('QE Detail - MGMT.'!AK:AK,'QE Detail - MGMT.'!$A:$A,'Recast Mgmt. Adjusted'!$B39,'QE Detail - MGMT.'!$B:$B,$A39)</f>
        <v>0</v>
      </c>
      <c r="AK39" s="323">
        <f>'Recast Reported'!AK39-SUMIFS('QE Detail - MGMT.'!AL:AL,'QE Detail - MGMT.'!$A:$A,'Recast Mgmt. Adjusted'!$B39,'QE Detail - MGMT.'!$B:$B,$A39)</f>
        <v>0</v>
      </c>
      <c r="AL39" s="323">
        <f>'Recast Reported'!AL39-SUMIFS('QE Detail - MGMT.'!AM:AM,'QE Detail - MGMT.'!$A:$A,'Recast Mgmt. Adjusted'!$B39,'QE Detail - MGMT.'!$B:$B,$A39)</f>
        <v>0</v>
      </c>
      <c r="AM39" s="323">
        <f>'Recast Reported'!AM39-SUMIFS('QE Detail - MGMT.'!AN:AN,'QE Detail - MGMT.'!$A:$A,'Recast Mgmt. Adjusted'!$B39,'QE Detail - MGMT.'!$B:$B,$A39)</f>
        <v>0</v>
      </c>
    </row>
    <row r="40" spans="1:39" s="262" customFormat="1" ht="13.95" customHeight="1" outlineLevel="1">
      <c r="A40" s="311" t="s">
        <v>1</v>
      </c>
      <c r="B40" s="531" t="s">
        <v>223</v>
      </c>
      <c r="C40" s="323">
        <f t="shared" si="36"/>
        <v>0</v>
      </c>
      <c r="D40" s="323">
        <f t="shared" si="37"/>
        <v>0</v>
      </c>
      <c r="E40" s="323">
        <f t="shared" si="37"/>
        <v>0</v>
      </c>
      <c r="F40" s="334"/>
      <c r="G40" s="323">
        <f>'Recast Reported'!G40-SUMIFS('QE Detail - MGMT.'!H:H,'QE Detail - MGMT.'!$A:$A,'Recast Mgmt. Adjusted'!$B40,'QE Detail - MGMT.'!$B:$B,$A40)</f>
        <v>0</v>
      </c>
      <c r="H40" s="323">
        <f>'Recast Reported'!H40-SUMIFS('QE Detail - MGMT.'!I:I,'QE Detail - MGMT.'!$A:$A,'Recast Mgmt. Adjusted'!$B40,'QE Detail - MGMT.'!$B:$B,$A40)</f>
        <v>0</v>
      </c>
      <c r="I40" s="323">
        <f>'Recast Reported'!I40-SUMIFS('QE Detail - MGMT.'!J:J,'QE Detail - MGMT.'!$A:$A,'Recast Mgmt. Adjusted'!$B40,'QE Detail - MGMT.'!$B:$B,$A40)</f>
        <v>0</v>
      </c>
      <c r="J40" s="323">
        <f>'Recast Reported'!J40-SUMIFS('QE Detail - MGMT.'!K:K,'QE Detail - MGMT.'!$A:$A,'Recast Mgmt. Adjusted'!$B40,'QE Detail - MGMT.'!$B:$B,$A40)</f>
        <v>0</v>
      </c>
      <c r="K40" s="323">
        <f>'Recast Reported'!K40-SUMIFS('QE Detail - MGMT.'!L:L,'QE Detail - MGMT.'!$A:$A,'Recast Mgmt. Adjusted'!$B40,'QE Detail - MGMT.'!$B:$B,$A40)</f>
        <v>0</v>
      </c>
      <c r="L40" s="323">
        <f>'Recast Reported'!L40-SUMIFS('QE Detail - MGMT.'!M:M,'QE Detail - MGMT.'!$A:$A,'Recast Mgmt. Adjusted'!$B40,'QE Detail - MGMT.'!$B:$B,$A40)</f>
        <v>0</v>
      </c>
      <c r="M40" s="323">
        <f>'Recast Reported'!M40-SUMIFS('QE Detail - MGMT.'!N:N,'QE Detail - MGMT.'!$A:$A,'Recast Mgmt. Adjusted'!$B40,'QE Detail - MGMT.'!$B:$B,$A40)</f>
        <v>0</v>
      </c>
      <c r="N40" s="323">
        <f>'Recast Reported'!N40-SUMIFS('QE Detail - MGMT.'!O:O,'QE Detail - MGMT.'!$A:$A,'Recast Mgmt. Adjusted'!$B40,'QE Detail - MGMT.'!$B:$B,$A40)</f>
        <v>0</v>
      </c>
      <c r="O40" s="323">
        <f>'Recast Reported'!O40-SUMIFS('QE Detail - MGMT.'!P:P,'QE Detail - MGMT.'!$A:$A,'Recast Mgmt. Adjusted'!$B40,'QE Detail - MGMT.'!$B:$B,$A40)</f>
        <v>0</v>
      </c>
      <c r="P40" s="323">
        <f>'Recast Reported'!P40-SUMIFS('QE Detail - MGMT.'!Q:Q,'QE Detail - MGMT.'!$A:$A,'Recast Mgmt. Adjusted'!$B40,'QE Detail - MGMT.'!$B:$B,$A40)</f>
        <v>0</v>
      </c>
      <c r="Q40" s="323">
        <f>'Recast Reported'!Q40-SUMIFS('QE Detail - MGMT.'!R:R,'QE Detail - MGMT.'!$A:$A,'Recast Mgmt. Adjusted'!$B40,'QE Detail - MGMT.'!$B:$B,$A40)</f>
        <v>0</v>
      </c>
      <c r="R40" s="323">
        <f>'Recast Reported'!R40-SUMIFS('QE Detail - MGMT.'!S:S,'QE Detail - MGMT.'!$A:$A,'Recast Mgmt. Adjusted'!$B40,'QE Detail - MGMT.'!$B:$B,$A40)</f>
        <v>0</v>
      </c>
      <c r="S40" s="323">
        <f>'Recast Reported'!S40-SUMIFS('QE Detail - MGMT.'!T:T,'QE Detail - MGMT.'!$A:$A,'Recast Mgmt. Adjusted'!$B40,'QE Detail - MGMT.'!$B:$B,$A40)</f>
        <v>0</v>
      </c>
      <c r="T40" s="323">
        <f>'Recast Reported'!T40-SUMIFS('QE Detail - MGMT.'!U:U,'QE Detail - MGMT.'!$A:$A,'Recast Mgmt. Adjusted'!$B40,'QE Detail - MGMT.'!$B:$B,$A40)</f>
        <v>0</v>
      </c>
      <c r="U40" s="323">
        <f>'Recast Reported'!U40-SUMIFS('QE Detail - MGMT.'!V:V,'QE Detail - MGMT.'!$A:$A,'Recast Mgmt. Adjusted'!$B40,'QE Detail - MGMT.'!$B:$B,$A40)</f>
        <v>0</v>
      </c>
      <c r="V40" s="323">
        <f>'Recast Reported'!V40-SUMIFS('QE Detail - MGMT.'!W:W,'QE Detail - MGMT.'!$A:$A,'Recast Mgmt. Adjusted'!$B40,'QE Detail - MGMT.'!$B:$B,$A40)</f>
        <v>0</v>
      </c>
      <c r="W40" s="323">
        <f>'Recast Reported'!W40-SUMIFS('QE Detail - MGMT.'!X:X,'QE Detail - MGMT.'!$A:$A,'Recast Mgmt. Adjusted'!$B40,'QE Detail - MGMT.'!$B:$B,$A40)</f>
        <v>0</v>
      </c>
      <c r="X40" s="323">
        <f>'Recast Reported'!X40-SUMIFS('QE Detail - MGMT.'!Y:Y,'QE Detail - MGMT.'!$A:$A,'Recast Mgmt. Adjusted'!$B40,'QE Detail - MGMT.'!$B:$B,$A40)</f>
        <v>0</v>
      </c>
      <c r="Y40" s="323">
        <f>'Recast Reported'!Y40-SUMIFS('QE Detail - MGMT.'!Z:Z,'QE Detail - MGMT.'!$A:$A,'Recast Mgmt. Adjusted'!$B40,'QE Detail - MGMT.'!$B:$B,$A40)</f>
        <v>0</v>
      </c>
      <c r="Z40" s="323">
        <f>'Recast Reported'!Z40-SUMIFS('QE Detail - MGMT.'!AA:AA,'QE Detail - MGMT.'!$A:$A,'Recast Mgmt. Adjusted'!$B40,'QE Detail - MGMT.'!$B:$B,$A40)</f>
        <v>0</v>
      </c>
      <c r="AA40" s="323">
        <f>'Recast Reported'!AA40-SUMIFS('QE Detail - MGMT.'!AB:AB,'QE Detail - MGMT.'!$A:$A,'Recast Mgmt. Adjusted'!$B40,'QE Detail - MGMT.'!$B:$B,$A40)</f>
        <v>0</v>
      </c>
      <c r="AB40" s="323">
        <f>'Recast Reported'!AB40-SUMIFS('QE Detail - MGMT.'!AC:AC,'QE Detail - MGMT.'!$A:$A,'Recast Mgmt. Adjusted'!$B40,'QE Detail - MGMT.'!$B:$B,$A40)</f>
        <v>0</v>
      </c>
      <c r="AC40" s="323">
        <f>'Recast Reported'!AC40-SUMIFS('QE Detail - MGMT.'!AD:AD,'QE Detail - MGMT.'!$A:$A,'Recast Mgmt. Adjusted'!$B40,'QE Detail - MGMT.'!$B:$B,$A40)</f>
        <v>0</v>
      </c>
      <c r="AD40" s="323">
        <f>'Recast Reported'!AD40-SUMIFS('QE Detail - MGMT.'!AE:AE,'QE Detail - MGMT.'!$A:$A,'Recast Mgmt. Adjusted'!$B40,'QE Detail - MGMT.'!$B:$B,$A40)</f>
        <v>0</v>
      </c>
      <c r="AE40" s="323">
        <f>'Recast Reported'!AE40-SUMIFS('QE Detail - MGMT.'!AF:AF,'QE Detail - MGMT.'!$A:$A,'Recast Mgmt. Adjusted'!$B40,'QE Detail - MGMT.'!$B:$B,$A40)</f>
        <v>0</v>
      </c>
      <c r="AF40" s="323">
        <f>'Recast Reported'!AF40-SUMIFS('QE Detail - MGMT.'!AG:AG,'QE Detail - MGMT.'!$A:$A,'Recast Mgmt. Adjusted'!$B40,'QE Detail - MGMT.'!$B:$B,$A40)</f>
        <v>0</v>
      </c>
      <c r="AG40" s="323">
        <f>'Recast Reported'!AG40-SUMIFS('QE Detail - MGMT.'!AH:AH,'QE Detail - MGMT.'!$A:$A,'Recast Mgmt. Adjusted'!$B40,'QE Detail - MGMT.'!$B:$B,$A40)</f>
        <v>0</v>
      </c>
      <c r="AH40" s="323">
        <f>'Recast Reported'!AH40-SUMIFS('QE Detail - MGMT.'!AI:AI,'QE Detail - MGMT.'!$A:$A,'Recast Mgmt. Adjusted'!$B40,'QE Detail - MGMT.'!$B:$B,$A40)</f>
        <v>0</v>
      </c>
      <c r="AI40" s="323">
        <f>'Recast Reported'!AI40-SUMIFS('QE Detail - MGMT.'!AJ:AJ,'QE Detail - MGMT.'!$A:$A,'Recast Mgmt. Adjusted'!$B40,'QE Detail - MGMT.'!$B:$B,$A40)</f>
        <v>0</v>
      </c>
      <c r="AJ40" s="323">
        <f>'Recast Reported'!AJ40-SUMIFS('QE Detail - MGMT.'!AK:AK,'QE Detail - MGMT.'!$A:$A,'Recast Mgmt. Adjusted'!$B40,'QE Detail - MGMT.'!$B:$B,$A40)</f>
        <v>0</v>
      </c>
      <c r="AK40" s="323">
        <f>'Recast Reported'!AK40-SUMIFS('QE Detail - MGMT.'!AL:AL,'QE Detail - MGMT.'!$A:$A,'Recast Mgmt. Adjusted'!$B40,'QE Detail - MGMT.'!$B:$B,$A40)</f>
        <v>0</v>
      </c>
      <c r="AL40" s="323">
        <f>'Recast Reported'!AL40-SUMIFS('QE Detail - MGMT.'!AM:AM,'QE Detail - MGMT.'!$A:$A,'Recast Mgmt. Adjusted'!$B40,'QE Detail - MGMT.'!$B:$B,$A40)</f>
        <v>0</v>
      </c>
      <c r="AM40" s="323">
        <f>'Recast Reported'!AM40-SUMIFS('QE Detail - MGMT.'!AN:AN,'QE Detail - MGMT.'!$A:$A,'Recast Mgmt. Adjusted'!$B40,'QE Detail - MGMT.'!$B:$B,$A40)</f>
        <v>0</v>
      </c>
    </row>
    <row r="41" spans="1:39" s="262" customFormat="1" ht="13.95" customHeight="1" outlineLevel="1">
      <c r="A41" s="311" t="s">
        <v>1</v>
      </c>
      <c r="B41" s="531" t="s">
        <v>224</v>
      </c>
      <c r="C41" s="323">
        <f t="shared" si="36"/>
        <v>0</v>
      </c>
      <c r="D41" s="323">
        <f t="shared" si="37"/>
        <v>0</v>
      </c>
      <c r="E41" s="323">
        <f t="shared" si="37"/>
        <v>0</v>
      </c>
      <c r="F41" s="334"/>
      <c r="G41" s="323">
        <f>'Recast Reported'!G41-SUMIFS('QE Detail - MGMT.'!H:H,'QE Detail - MGMT.'!$A:$A,'Recast Mgmt. Adjusted'!$B41,'QE Detail - MGMT.'!$B:$B,$A41)</f>
        <v>0</v>
      </c>
      <c r="H41" s="323">
        <f>'Recast Reported'!H41-SUMIFS('QE Detail - MGMT.'!I:I,'QE Detail - MGMT.'!$A:$A,'Recast Mgmt. Adjusted'!$B41,'QE Detail - MGMT.'!$B:$B,$A41)</f>
        <v>0</v>
      </c>
      <c r="I41" s="323">
        <f>'Recast Reported'!I41-SUMIFS('QE Detail - MGMT.'!J:J,'QE Detail - MGMT.'!$A:$A,'Recast Mgmt. Adjusted'!$B41,'QE Detail - MGMT.'!$B:$B,$A41)</f>
        <v>0</v>
      </c>
      <c r="J41" s="323">
        <f>'Recast Reported'!J41-SUMIFS('QE Detail - MGMT.'!K:K,'QE Detail - MGMT.'!$A:$A,'Recast Mgmt. Adjusted'!$B41,'QE Detail - MGMT.'!$B:$B,$A41)</f>
        <v>0</v>
      </c>
      <c r="K41" s="323">
        <f>'Recast Reported'!K41-SUMIFS('QE Detail - MGMT.'!L:L,'QE Detail - MGMT.'!$A:$A,'Recast Mgmt. Adjusted'!$B41,'QE Detail - MGMT.'!$B:$B,$A41)</f>
        <v>0</v>
      </c>
      <c r="L41" s="323">
        <f>'Recast Reported'!L41-SUMIFS('QE Detail - MGMT.'!M:M,'QE Detail - MGMT.'!$A:$A,'Recast Mgmt. Adjusted'!$B41,'QE Detail - MGMT.'!$B:$B,$A41)</f>
        <v>0</v>
      </c>
      <c r="M41" s="323">
        <f>'Recast Reported'!M41-SUMIFS('QE Detail - MGMT.'!N:N,'QE Detail - MGMT.'!$A:$A,'Recast Mgmt. Adjusted'!$B41,'QE Detail - MGMT.'!$B:$B,$A41)</f>
        <v>0</v>
      </c>
      <c r="N41" s="323">
        <f>'Recast Reported'!N41-SUMIFS('QE Detail - MGMT.'!O:O,'QE Detail - MGMT.'!$A:$A,'Recast Mgmt. Adjusted'!$B41,'QE Detail - MGMT.'!$B:$B,$A41)</f>
        <v>0</v>
      </c>
      <c r="O41" s="323">
        <f>'Recast Reported'!O41-SUMIFS('QE Detail - MGMT.'!P:P,'QE Detail - MGMT.'!$A:$A,'Recast Mgmt. Adjusted'!$B41,'QE Detail - MGMT.'!$B:$B,$A41)</f>
        <v>0</v>
      </c>
      <c r="P41" s="323">
        <f>'Recast Reported'!P41-SUMIFS('QE Detail - MGMT.'!Q:Q,'QE Detail - MGMT.'!$A:$A,'Recast Mgmt. Adjusted'!$B41,'QE Detail - MGMT.'!$B:$B,$A41)</f>
        <v>0</v>
      </c>
      <c r="Q41" s="323">
        <f>'Recast Reported'!Q41-SUMIFS('QE Detail - MGMT.'!R:R,'QE Detail - MGMT.'!$A:$A,'Recast Mgmt. Adjusted'!$B41,'QE Detail - MGMT.'!$B:$B,$A41)</f>
        <v>0</v>
      </c>
      <c r="R41" s="323">
        <f>'Recast Reported'!R41-SUMIFS('QE Detail - MGMT.'!S:S,'QE Detail - MGMT.'!$A:$A,'Recast Mgmt. Adjusted'!$B41,'QE Detail - MGMT.'!$B:$B,$A41)</f>
        <v>0</v>
      </c>
      <c r="S41" s="323">
        <f>'Recast Reported'!S41-SUMIFS('QE Detail - MGMT.'!T:T,'QE Detail - MGMT.'!$A:$A,'Recast Mgmt. Adjusted'!$B41,'QE Detail - MGMT.'!$B:$B,$A41)</f>
        <v>0</v>
      </c>
      <c r="T41" s="323">
        <f>'Recast Reported'!T41-SUMIFS('QE Detail - MGMT.'!U:U,'QE Detail - MGMT.'!$A:$A,'Recast Mgmt. Adjusted'!$B41,'QE Detail - MGMT.'!$B:$B,$A41)</f>
        <v>0</v>
      </c>
      <c r="U41" s="323">
        <f>'Recast Reported'!U41-SUMIFS('QE Detail - MGMT.'!V:V,'QE Detail - MGMT.'!$A:$A,'Recast Mgmt. Adjusted'!$B41,'QE Detail - MGMT.'!$B:$B,$A41)</f>
        <v>0</v>
      </c>
      <c r="V41" s="323">
        <f>'Recast Reported'!V41-SUMIFS('QE Detail - MGMT.'!W:W,'QE Detail - MGMT.'!$A:$A,'Recast Mgmt. Adjusted'!$B41,'QE Detail - MGMT.'!$B:$B,$A41)</f>
        <v>0</v>
      </c>
      <c r="W41" s="323">
        <f>'Recast Reported'!W41-SUMIFS('QE Detail - MGMT.'!X:X,'QE Detail - MGMT.'!$A:$A,'Recast Mgmt. Adjusted'!$B41,'QE Detail - MGMT.'!$B:$B,$A41)</f>
        <v>0</v>
      </c>
      <c r="X41" s="323">
        <f>'Recast Reported'!X41-SUMIFS('QE Detail - MGMT.'!Y:Y,'QE Detail - MGMT.'!$A:$A,'Recast Mgmt. Adjusted'!$B41,'QE Detail - MGMT.'!$B:$B,$A41)</f>
        <v>0</v>
      </c>
      <c r="Y41" s="323">
        <f>'Recast Reported'!Y41-SUMIFS('QE Detail - MGMT.'!Z:Z,'QE Detail - MGMT.'!$A:$A,'Recast Mgmt. Adjusted'!$B41,'QE Detail - MGMT.'!$B:$B,$A41)</f>
        <v>0</v>
      </c>
      <c r="Z41" s="323">
        <f>'Recast Reported'!Z41-SUMIFS('QE Detail - MGMT.'!AA:AA,'QE Detail - MGMT.'!$A:$A,'Recast Mgmt. Adjusted'!$B41,'QE Detail - MGMT.'!$B:$B,$A41)</f>
        <v>0</v>
      </c>
      <c r="AA41" s="323">
        <f>'Recast Reported'!AA41-SUMIFS('QE Detail - MGMT.'!AB:AB,'QE Detail - MGMT.'!$A:$A,'Recast Mgmt. Adjusted'!$B41,'QE Detail - MGMT.'!$B:$B,$A41)</f>
        <v>0</v>
      </c>
      <c r="AB41" s="323">
        <f>'Recast Reported'!AB41-SUMIFS('QE Detail - MGMT.'!AC:AC,'QE Detail - MGMT.'!$A:$A,'Recast Mgmt. Adjusted'!$B41,'QE Detail - MGMT.'!$B:$B,$A41)</f>
        <v>0</v>
      </c>
      <c r="AC41" s="323">
        <f>'Recast Reported'!AC41-SUMIFS('QE Detail - MGMT.'!AD:AD,'QE Detail - MGMT.'!$A:$A,'Recast Mgmt. Adjusted'!$B41,'QE Detail - MGMT.'!$B:$B,$A41)</f>
        <v>0</v>
      </c>
      <c r="AD41" s="323">
        <f>'Recast Reported'!AD41-SUMIFS('QE Detail - MGMT.'!AE:AE,'QE Detail - MGMT.'!$A:$A,'Recast Mgmt. Adjusted'!$B41,'QE Detail - MGMT.'!$B:$B,$A41)</f>
        <v>0</v>
      </c>
      <c r="AE41" s="323">
        <f>'Recast Reported'!AE41-SUMIFS('QE Detail - MGMT.'!AF:AF,'QE Detail - MGMT.'!$A:$A,'Recast Mgmt. Adjusted'!$B41,'QE Detail - MGMT.'!$B:$B,$A41)</f>
        <v>0</v>
      </c>
      <c r="AF41" s="323">
        <f>'Recast Reported'!AF41-SUMIFS('QE Detail - MGMT.'!AG:AG,'QE Detail - MGMT.'!$A:$A,'Recast Mgmt. Adjusted'!$B41,'QE Detail - MGMT.'!$B:$B,$A41)</f>
        <v>0</v>
      </c>
      <c r="AG41" s="323">
        <f>'Recast Reported'!AG41-SUMIFS('QE Detail - MGMT.'!AH:AH,'QE Detail - MGMT.'!$A:$A,'Recast Mgmt. Adjusted'!$B41,'QE Detail - MGMT.'!$B:$B,$A41)</f>
        <v>0</v>
      </c>
      <c r="AH41" s="323">
        <f>'Recast Reported'!AH41-SUMIFS('QE Detail - MGMT.'!AI:AI,'QE Detail - MGMT.'!$A:$A,'Recast Mgmt. Adjusted'!$B41,'QE Detail - MGMT.'!$B:$B,$A41)</f>
        <v>0</v>
      </c>
      <c r="AI41" s="323">
        <f>'Recast Reported'!AI41-SUMIFS('QE Detail - MGMT.'!AJ:AJ,'QE Detail - MGMT.'!$A:$A,'Recast Mgmt. Adjusted'!$B41,'QE Detail - MGMT.'!$B:$B,$A41)</f>
        <v>0</v>
      </c>
      <c r="AJ41" s="323">
        <f>'Recast Reported'!AJ41-SUMIFS('QE Detail - MGMT.'!AK:AK,'QE Detail - MGMT.'!$A:$A,'Recast Mgmt. Adjusted'!$B41,'QE Detail - MGMT.'!$B:$B,$A41)</f>
        <v>0</v>
      </c>
      <c r="AK41" s="323">
        <f>'Recast Reported'!AK41-SUMIFS('QE Detail - MGMT.'!AL:AL,'QE Detail - MGMT.'!$A:$A,'Recast Mgmt. Adjusted'!$B41,'QE Detail - MGMT.'!$B:$B,$A41)</f>
        <v>0</v>
      </c>
      <c r="AL41" s="323">
        <f>'Recast Reported'!AL41-SUMIFS('QE Detail - MGMT.'!AM:AM,'QE Detail - MGMT.'!$A:$A,'Recast Mgmt. Adjusted'!$B41,'QE Detail - MGMT.'!$B:$B,$A41)</f>
        <v>0</v>
      </c>
      <c r="AM41" s="323">
        <f>'Recast Reported'!AM41-SUMIFS('QE Detail - MGMT.'!AN:AN,'QE Detail - MGMT.'!$A:$A,'Recast Mgmt. Adjusted'!$B41,'QE Detail - MGMT.'!$B:$B,$A41)</f>
        <v>0</v>
      </c>
    </row>
    <row r="42" spans="1:39" s="262" customFormat="1" ht="13.95" customHeight="1" outlineLevel="1">
      <c r="A42" s="311" t="s">
        <v>1</v>
      </c>
      <c r="B42" s="531" t="s">
        <v>225</v>
      </c>
      <c r="C42" s="323">
        <f t="shared" si="36"/>
        <v>0</v>
      </c>
      <c r="D42" s="323">
        <f t="shared" si="37"/>
        <v>0</v>
      </c>
      <c r="E42" s="323">
        <f t="shared" si="37"/>
        <v>0</v>
      </c>
      <c r="F42" s="334"/>
      <c r="G42" s="323">
        <f>'Recast Reported'!G42-SUMIFS('QE Detail - MGMT.'!H:H,'QE Detail - MGMT.'!$A:$A,'Recast Mgmt. Adjusted'!$B42,'QE Detail - MGMT.'!$B:$B,$A42)</f>
        <v>0</v>
      </c>
      <c r="H42" s="323">
        <f>'Recast Reported'!H42-SUMIFS('QE Detail - MGMT.'!I:I,'QE Detail - MGMT.'!$A:$A,'Recast Mgmt. Adjusted'!$B42,'QE Detail - MGMT.'!$B:$B,$A42)</f>
        <v>0</v>
      </c>
      <c r="I42" s="323">
        <f>'Recast Reported'!I42-SUMIFS('QE Detail - MGMT.'!J:J,'QE Detail - MGMT.'!$A:$A,'Recast Mgmt. Adjusted'!$B42,'QE Detail - MGMT.'!$B:$B,$A42)</f>
        <v>0</v>
      </c>
      <c r="J42" s="323">
        <f>'Recast Reported'!J42-SUMIFS('QE Detail - MGMT.'!K:K,'QE Detail - MGMT.'!$A:$A,'Recast Mgmt. Adjusted'!$B42,'QE Detail - MGMT.'!$B:$B,$A42)</f>
        <v>0</v>
      </c>
      <c r="K42" s="323">
        <f>'Recast Reported'!K42-SUMIFS('QE Detail - MGMT.'!L:L,'QE Detail - MGMT.'!$A:$A,'Recast Mgmt. Adjusted'!$B42,'QE Detail - MGMT.'!$B:$B,$A42)</f>
        <v>0</v>
      </c>
      <c r="L42" s="323">
        <f>'Recast Reported'!L42-SUMIFS('QE Detail - MGMT.'!M:M,'QE Detail - MGMT.'!$A:$A,'Recast Mgmt. Adjusted'!$B42,'QE Detail - MGMT.'!$B:$B,$A42)</f>
        <v>0</v>
      </c>
      <c r="M42" s="323">
        <f>'Recast Reported'!M42-SUMIFS('QE Detail - MGMT.'!N:N,'QE Detail - MGMT.'!$A:$A,'Recast Mgmt. Adjusted'!$B42,'QE Detail - MGMT.'!$B:$B,$A42)</f>
        <v>0</v>
      </c>
      <c r="N42" s="323">
        <f>'Recast Reported'!N42-SUMIFS('QE Detail - MGMT.'!O:O,'QE Detail - MGMT.'!$A:$A,'Recast Mgmt. Adjusted'!$B42,'QE Detail - MGMT.'!$B:$B,$A42)</f>
        <v>0</v>
      </c>
      <c r="O42" s="323">
        <f>'Recast Reported'!O42-SUMIFS('QE Detail - MGMT.'!P:P,'QE Detail - MGMT.'!$A:$A,'Recast Mgmt. Adjusted'!$B42,'QE Detail - MGMT.'!$B:$B,$A42)</f>
        <v>0</v>
      </c>
      <c r="P42" s="323">
        <f>'Recast Reported'!P42-SUMIFS('QE Detail - MGMT.'!Q:Q,'QE Detail - MGMT.'!$A:$A,'Recast Mgmt. Adjusted'!$B42,'QE Detail - MGMT.'!$B:$B,$A42)</f>
        <v>0</v>
      </c>
      <c r="Q42" s="323">
        <f>'Recast Reported'!Q42-SUMIFS('QE Detail - MGMT.'!R:R,'QE Detail - MGMT.'!$A:$A,'Recast Mgmt. Adjusted'!$B42,'QE Detail - MGMT.'!$B:$B,$A42)</f>
        <v>0</v>
      </c>
      <c r="R42" s="323">
        <f>'Recast Reported'!R42-SUMIFS('QE Detail - MGMT.'!S:S,'QE Detail - MGMT.'!$A:$A,'Recast Mgmt. Adjusted'!$B42,'QE Detail - MGMT.'!$B:$B,$A42)</f>
        <v>0</v>
      </c>
      <c r="S42" s="323">
        <f>'Recast Reported'!S42-SUMIFS('QE Detail - MGMT.'!T:T,'QE Detail - MGMT.'!$A:$A,'Recast Mgmt. Adjusted'!$B42,'QE Detail - MGMT.'!$B:$B,$A42)</f>
        <v>0</v>
      </c>
      <c r="T42" s="323">
        <f>'Recast Reported'!T42-SUMIFS('QE Detail - MGMT.'!U:U,'QE Detail - MGMT.'!$A:$A,'Recast Mgmt. Adjusted'!$B42,'QE Detail - MGMT.'!$B:$B,$A42)</f>
        <v>0</v>
      </c>
      <c r="U42" s="323">
        <f>'Recast Reported'!U42-SUMIFS('QE Detail - MGMT.'!V:V,'QE Detail - MGMT.'!$A:$A,'Recast Mgmt. Adjusted'!$B42,'QE Detail - MGMT.'!$B:$B,$A42)</f>
        <v>0</v>
      </c>
      <c r="V42" s="323">
        <f>'Recast Reported'!V42-SUMIFS('QE Detail - MGMT.'!W:W,'QE Detail - MGMT.'!$A:$A,'Recast Mgmt. Adjusted'!$B42,'QE Detail - MGMT.'!$B:$B,$A42)</f>
        <v>0</v>
      </c>
      <c r="W42" s="323">
        <f>'Recast Reported'!W42-SUMIFS('QE Detail - MGMT.'!X:X,'QE Detail - MGMT.'!$A:$A,'Recast Mgmt. Adjusted'!$B42,'QE Detail - MGMT.'!$B:$B,$A42)</f>
        <v>0</v>
      </c>
      <c r="X42" s="323">
        <f>'Recast Reported'!X42-SUMIFS('QE Detail - MGMT.'!Y:Y,'QE Detail - MGMT.'!$A:$A,'Recast Mgmt. Adjusted'!$B42,'QE Detail - MGMT.'!$B:$B,$A42)</f>
        <v>0</v>
      </c>
      <c r="Y42" s="323">
        <f>'Recast Reported'!Y42-SUMIFS('QE Detail - MGMT.'!Z:Z,'QE Detail - MGMT.'!$A:$A,'Recast Mgmt. Adjusted'!$B42,'QE Detail - MGMT.'!$B:$B,$A42)</f>
        <v>0</v>
      </c>
      <c r="Z42" s="323">
        <f>'Recast Reported'!Z42-SUMIFS('QE Detail - MGMT.'!AA:AA,'QE Detail - MGMT.'!$A:$A,'Recast Mgmt. Adjusted'!$B42,'QE Detail - MGMT.'!$B:$B,$A42)</f>
        <v>0</v>
      </c>
      <c r="AA42" s="323">
        <f>'Recast Reported'!AA42-SUMIFS('QE Detail - MGMT.'!AB:AB,'QE Detail - MGMT.'!$A:$A,'Recast Mgmt. Adjusted'!$B42,'QE Detail - MGMT.'!$B:$B,$A42)</f>
        <v>0</v>
      </c>
      <c r="AB42" s="323">
        <f>'Recast Reported'!AB42-SUMIFS('QE Detail - MGMT.'!AC:AC,'QE Detail - MGMT.'!$A:$A,'Recast Mgmt. Adjusted'!$B42,'QE Detail - MGMT.'!$B:$B,$A42)</f>
        <v>0</v>
      </c>
      <c r="AC42" s="323">
        <f>'Recast Reported'!AC42-SUMIFS('QE Detail - MGMT.'!AD:AD,'QE Detail - MGMT.'!$A:$A,'Recast Mgmt. Adjusted'!$B42,'QE Detail - MGMT.'!$B:$B,$A42)</f>
        <v>0</v>
      </c>
      <c r="AD42" s="323">
        <f>'Recast Reported'!AD42-SUMIFS('QE Detail - MGMT.'!AE:AE,'QE Detail - MGMT.'!$A:$A,'Recast Mgmt. Adjusted'!$B42,'QE Detail - MGMT.'!$B:$B,$A42)</f>
        <v>0</v>
      </c>
      <c r="AE42" s="323">
        <f>'Recast Reported'!AE42-SUMIFS('QE Detail - MGMT.'!AF:AF,'QE Detail - MGMT.'!$A:$A,'Recast Mgmt. Adjusted'!$B42,'QE Detail - MGMT.'!$B:$B,$A42)</f>
        <v>0</v>
      </c>
      <c r="AF42" s="323">
        <f>'Recast Reported'!AF42-SUMIFS('QE Detail - MGMT.'!AG:AG,'QE Detail - MGMT.'!$A:$A,'Recast Mgmt. Adjusted'!$B42,'QE Detail - MGMT.'!$B:$B,$A42)</f>
        <v>0</v>
      </c>
      <c r="AG42" s="323">
        <f>'Recast Reported'!AG42-SUMIFS('QE Detail - MGMT.'!AH:AH,'QE Detail - MGMT.'!$A:$A,'Recast Mgmt. Adjusted'!$B42,'QE Detail - MGMT.'!$B:$B,$A42)</f>
        <v>0</v>
      </c>
      <c r="AH42" s="323">
        <f>'Recast Reported'!AH42-SUMIFS('QE Detail - MGMT.'!AI:AI,'QE Detail - MGMT.'!$A:$A,'Recast Mgmt. Adjusted'!$B42,'QE Detail - MGMT.'!$B:$B,$A42)</f>
        <v>0</v>
      </c>
      <c r="AI42" s="323">
        <f>'Recast Reported'!AI42-SUMIFS('QE Detail - MGMT.'!AJ:AJ,'QE Detail - MGMT.'!$A:$A,'Recast Mgmt. Adjusted'!$B42,'QE Detail - MGMT.'!$B:$B,$A42)</f>
        <v>0</v>
      </c>
      <c r="AJ42" s="323">
        <f>'Recast Reported'!AJ42-SUMIFS('QE Detail - MGMT.'!AK:AK,'QE Detail - MGMT.'!$A:$A,'Recast Mgmt. Adjusted'!$B42,'QE Detail - MGMT.'!$B:$B,$A42)</f>
        <v>0</v>
      </c>
      <c r="AK42" s="323">
        <f>'Recast Reported'!AK42-SUMIFS('QE Detail - MGMT.'!AL:AL,'QE Detail - MGMT.'!$A:$A,'Recast Mgmt. Adjusted'!$B42,'QE Detail - MGMT.'!$B:$B,$A42)</f>
        <v>0</v>
      </c>
      <c r="AL42" s="323">
        <f>'Recast Reported'!AL42-SUMIFS('QE Detail - MGMT.'!AM:AM,'QE Detail - MGMT.'!$A:$A,'Recast Mgmt. Adjusted'!$B42,'QE Detail - MGMT.'!$B:$B,$A42)</f>
        <v>0</v>
      </c>
      <c r="AM42" s="323">
        <f>'Recast Reported'!AM42-SUMIFS('QE Detail - MGMT.'!AN:AN,'QE Detail - MGMT.'!$A:$A,'Recast Mgmt. Adjusted'!$B42,'QE Detail - MGMT.'!$B:$B,$A42)</f>
        <v>0</v>
      </c>
    </row>
    <row r="43" spans="1:39" s="262" customFormat="1" ht="13.95" customHeight="1" thickBot="1">
      <c r="A43" s="311"/>
      <c r="B43" s="340" t="s">
        <v>195</v>
      </c>
      <c r="C43" s="341">
        <f>C11-SUBTOTAL(9,C20,C25:C27)</f>
        <v>0</v>
      </c>
      <c r="D43" s="341">
        <f>D11-SUBTOTAL(9,D20,D25:D27)</f>
        <v>0</v>
      </c>
      <c r="E43" s="341">
        <f>E11-SUBTOTAL(9,E20,E25:E27)</f>
        <v>0</v>
      </c>
      <c r="F43" s="334"/>
      <c r="G43" s="341">
        <f t="shared" ref="G43:AE43" si="38">G11-SUBTOTAL(9,G20,G25:G27)</f>
        <v>0</v>
      </c>
      <c r="H43" s="341">
        <f t="shared" si="38"/>
        <v>0</v>
      </c>
      <c r="I43" s="341">
        <f t="shared" si="38"/>
        <v>0</v>
      </c>
      <c r="J43" s="341">
        <f t="shared" si="38"/>
        <v>0</v>
      </c>
      <c r="K43" s="341">
        <f t="shared" si="38"/>
        <v>0</v>
      </c>
      <c r="L43" s="341">
        <f t="shared" si="38"/>
        <v>0</v>
      </c>
      <c r="M43" s="341">
        <f t="shared" si="38"/>
        <v>0</v>
      </c>
      <c r="N43" s="341">
        <f t="shared" si="38"/>
        <v>0</v>
      </c>
      <c r="O43" s="341">
        <f t="shared" si="38"/>
        <v>0</v>
      </c>
      <c r="P43" s="341">
        <f t="shared" si="38"/>
        <v>0</v>
      </c>
      <c r="Q43" s="341">
        <f t="shared" si="38"/>
        <v>0</v>
      </c>
      <c r="R43" s="341">
        <f t="shared" si="38"/>
        <v>0</v>
      </c>
      <c r="S43" s="341">
        <f t="shared" si="38"/>
        <v>0</v>
      </c>
      <c r="T43" s="341">
        <f t="shared" si="38"/>
        <v>0</v>
      </c>
      <c r="U43" s="341">
        <f t="shared" si="38"/>
        <v>0</v>
      </c>
      <c r="V43" s="341">
        <f t="shared" si="38"/>
        <v>0</v>
      </c>
      <c r="W43" s="341">
        <f t="shared" si="38"/>
        <v>0</v>
      </c>
      <c r="X43" s="341">
        <f t="shared" si="38"/>
        <v>0</v>
      </c>
      <c r="Y43" s="341">
        <f t="shared" si="38"/>
        <v>0</v>
      </c>
      <c r="Z43" s="341">
        <f t="shared" si="38"/>
        <v>0</v>
      </c>
      <c r="AA43" s="341">
        <f t="shared" si="38"/>
        <v>0</v>
      </c>
      <c r="AB43" s="341">
        <f t="shared" si="38"/>
        <v>0</v>
      </c>
      <c r="AC43" s="341">
        <f t="shared" si="38"/>
        <v>0</v>
      </c>
      <c r="AD43" s="341">
        <f t="shared" si="38"/>
        <v>0</v>
      </c>
      <c r="AE43" s="341">
        <f t="shared" si="38"/>
        <v>0</v>
      </c>
      <c r="AF43" s="341">
        <f t="shared" ref="AF43:AM43" si="39">AF11-SUBTOTAL(9,AF20,AF25:AF27)</f>
        <v>0</v>
      </c>
      <c r="AG43" s="341">
        <f t="shared" si="39"/>
        <v>0</v>
      </c>
      <c r="AH43" s="341">
        <f t="shared" si="39"/>
        <v>0</v>
      </c>
      <c r="AI43" s="341">
        <f t="shared" si="39"/>
        <v>0</v>
      </c>
      <c r="AJ43" s="341">
        <f t="shared" si="39"/>
        <v>0</v>
      </c>
      <c r="AK43" s="341">
        <f t="shared" si="39"/>
        <v>0</v>
      </c>
      <c r="AL43" s="341">
        <f t="shared" si="39"/>
        <v>0</v>
      </c>
      <c r="AM43" s="341">
        <f t="shared" si="39"/>
        <v>0</v>
      </c>
    </row>
    <row r="44" spans="1:39" s="220" customFormat="1" ht="13.95" customHeight="1">
      <c r="A44" s="311"/>
      <c r="B44" s="93" t="s">
        <v>64</v>
      </c>
      <c r="C44" s="222"/>
      <c r="D44" s="222"/>
      <c r="E44" s="222"/>
      <c r="F44" s="334"/>
      <c r="G44" s="222"/>
      <c r="H44" s="222"/>
      <c r="I44" s="222"/>
      <c r="J44" s="211"/>
      <c r="K44" s="222"/>
      <c r="L44" s="222"/>
      <c r="M44" s="222"/>
      <c r="N44" s="222"/>
      <c r="O44" s="222"/>
      <c r="P44" s="222"/>
      <c r="Q44" s="222"/>
      <c r="R44" s="222"/>
      <c r="S44" s="222"/>
      <c r="T44" s="222"/>
      <c r="U44" s="221"/>
      <c r="V44" s="221"/>
      <c r="W44" s="221"/>
      <c r="X44" s="221"/>
      <c r="Y44" s="221"/>
      <c r="Z44" s="221"/>
      <c r="AA44" s="221"/>
      <c r="AB44" s="221"/>
      <c r="AC44" s="221"/>
      <c r="AD44" s="221"/>
      <c r="AE44" s="221"/>
      <c r="AF44" s="221"/>
      <c r="AG44" s="221"/>
      <c r="AH44" s="221"/>
      <c r="AI44" s="221"/>
      <c r="AJ44" s="221"/>
      <c r="AK44" s="221"/>
      <c r="AL44" s="221"/>
      <c r="AM44" s="221"/>
    </row>
    <row r="45" spans="1:39" s="220" customFormat="1" ht="13.95" customHeight="1" outlineLevel="1">
      <c r="A45" s="311"/>
      <c r="B45" s="221"/>
      <c r="C45" s="222"/>
      <c r="D45" s="222"/>
      <c r="E45" s="222"/>
      <c r="F45" s="334"/>
      <c r="G45" s="222"/>
      <c r="H45" s="222"/>
      <c r="I45" s="222"/>
      <c r="J45" s="211"/>
      <c r="K45" s="222"/>
      <c r="L45" s="222"/>
      <c r="M45" s="222"/>
      <c r="N45" s="222"/>
      <c r="O45" s="222"/>
      <c r="P45" s="222"/>
      <c r="Q45" s="222"/>
      <c r="R45" s="222"/>
      <c r="S45" s="222"/>
      <c r="T45" s="222"/>
      <c r="U45" s="221"/>
      <c r="V45" s="221"/>
      <c r="W45" s="221"/>
      <c r="X45" s="221"/>
      <c r="Y45" s="221"/>
      <c r="Z45" s="221"/>
      <c r="AA45" s="221"/>
      <c r="AB45" s="221"/>
      <c r="AC45" s="221"/>
      <c r="AD45" s="221"/>
      <c r="AE45" s="221"/>
      <c r="AF45" s="221"/>
      <c r="AG45" s="221"/>
      <c r="AH45" s="221"/>
      <c r="AI45" s="221"/>
      <c r="AJ45" s="221"/>
      <c r="AK45" s="221"/>
      <c r="AL45" s="221"/>
      <c r="AM45" s="221"/>
    </row>
    <row r="46" spans="1:39" s="221" customFormat="1" ht="13.95" customHeight="1" outlineLevel="1">
      <c r="A46" s="311"/>
      <c r="B46" s="221" t="s">
        <v>2</v>
      </c>
      <c r="C46" s="224">
        <f>SUMIFS($G46:$AN46,$G$5:$AN$5,"&gt;"&amp;EOMONTH(C$5,-12),$G$5:$AN$5,"&lt;="&amp;C$5)</f>
        <v>0</v>
      </c>
      <c r="D46" s="224">
        <f>SUMIFS($G46:$AN46,$G$5:$AN$5,"&gt;"&amp;EOMONTH(D$5,-12),$G$5:$AN$5,"&lt;="&amp;D$5)</f>
        <v>0</v>
      </c>
      <c r="E46" s="224">
        <f>SUMIFS($G46:$AN46,$G$5:$AN$5,"&gt;"&amp;EOMONTH(E$5,-12),$G$5:$AN$5,"&lt;="&amp;E$5)</f>
        <v>0</v>
      </c>
      <c r="F46" s="334"/>
      <c r="G46" s="222">
        <f>'Lead QE'!J27-G43</f>
        <v>0</v>
      </c>
      <c r="H46" s="222">
        <f>'Lead QE'!K27-H43</f>
        <v>0</v>
      </c>
      <c r="I46" s="222">
        <f>'Lead QE'!L27-I43</f>
        <v>0</v>
      </c>
      <c r="J46" s="222">
        <f>'Lead QE'!M27-J43</f>
        <v>0</v>
      </c>
      <c r="K46" s="222">
        <f>'Lead QE'!N27-K43</f>
        <v>0</v>
      </c>
      <c r="L46" s="222">
        <f>'Lead QE'!O27-L43</f>
        <v>0</v>
      </c>
      <c r="M46" s="222">
        <f>'Lead QE'!P27-M43</f>
        <v>0</v>
      </c>
      <c r="N46" s="222">
        <f>'Lead QE'!Q27-N43</f>
        <v>0</v>
      </c>
      <c r="O46" s="222">
        <f>'Lead QE'!R27-O43</f>
        <v>0</v>
      </c>
      <c r="P46" s="222">
        <f>'Lead QE'!S27-P43</f>
        <v>0</v>
      </c>
      <c r="Q46" s="222">
        <f>'Lead QE'!T27-Q43</f>
        <v>0</v>
      </c>
      <c r="R46" s="222">
        <f>'Lead QE'!U27-R43</f>
        <v>0</v>
      </c>
      <c r="S46" s="222">
        <f>'Lead QE'!V27-S43</f>
        <v>0</v>
      </c>
      <c r="T46" s="222">
        <f>'Lead QE'!W27-T43</f>
        <v>0</v>
      </c>
      <c r="U46" s="222">
        <f>'Lead QE'!X27-U43</f>
        <v>0</v>
      </c>
      <c r="V46" s="222">
        <f>'Lead QE'!Y27-V43</f>
        <v>0</v>
      </c>
      <c r="W46" s="222">
        <f>'Lead QE'!Z27-W43</f>
        <v>0</v>
      </c>
      <c r="X46" s="222">
        <f>'Lead QE'!AA27-X43</f>
        <v>0</v>
      </c>
      <c r="Y46" s="222">
        <f>'Lead QE'!AB27-Y43</f>
        <v>0</v>
      </c>
      <c r="Z46" s="222">
        <f>'Lead QE'!AC27-Z43</f>
        <v>0</v>
      </c>
      <c r="AA46" s="222">
        <f>'Lead QE'!AD27-AA43</f>
        <v>0</v>
      </c>
      <c r="AB46" s="222">
        <f>'Lead QE'!AE27-AB43</f>
        <v>0</v>
      </c>
      <c r="AC46" s="222">
        <f>'Lead QE'!AF27-AC43</f>
        <v>0</v>
      </c>
      <c r="AD46" s="222">
        <f>'Lead QE'!AG27-AD43</f>
        <v>0</v>
      </c>
      <c r="AE46" s="222">
        <f>'Lead QE'!AH27-AE43</f>
        <v>0</v>
      </c>
      <c r="AF46" s="222">
        <f>'Lead QE'!AI27-AF43</f>
        <v>0</v>
      </c>
      <c r="AG46" s="222">
        <f>'Lead QE'!AJ27-AG43</f>
        <v>0</v>
      </c>
      <c r="AH46" s="222">
        <f>'Lead QE'!AK27-AH43</f>
        <v>0</v>
      </c>
      <c r="AI46" s="222">
        <f>'Lead QE'!AL27-AI43</f>
        <v>0</v>
      </c>
      <c r="AJ46" s="222">
        <f>'Lead QE'!AM27-AJ43</f>
        <v>0</v>
      </c>
      <c r="AK46" s="222">
        <f>'Lead QE'!AN27-AK43</f>
        <v>0</v>
      </c>
      <c r="AL46" s="222">
        <f>'Lead QE'!AO27-AL43</f>
        <v>0</v>
      </c>
      <c r="AM46" s="222">
        <f>'Lead QE'!AP27-AM43</f>
        <v>0</v>
      </c>
    </row>
    <row r="47" spans="1:39" s="221" customFormat="1" ht="13.95" customHeight="1">
      <c r="A47" s="311"/>
      <c r="B47" s="238"/>
      <c r="C47" s="220"/>
      <c r="D47" s="220"/>
      <c r="E47" s="220"/>
      <c r="F47" s="334"/>
      <c r="G47" s="220"/>
      <c r="H47" s="220"/>
      <c r="I47" s="220"/>
      <c r="J47" s="220"/>
      <c r="K47" s="220"/>
      <c r="L47" s="220"/>
      <c r="M47" s="220"/>
      <c r="N47" s="220"/>
      <c r="O47" s="220"/>
      <c r="P47" s="220"/>
      <c r="Q47" s="220"/>
      <c r="R47" s="220"/>
      <c r="S47" s="220"/>
      <c r="T47" s="220"/>
      <c r="U47" s="220"/>
      <c r="V47" s="220"/>
      <c r="W47" s="220"/>
      <c r="X47" s="220"/>
      <c r="Y47" s="220"/>
      <c r="Z47" s="220"/>
      <c r="AA47" s="220"/>
      <c r="AB47" s="220"/>
      <c r="AC47" s="220"/>
      <c r="AD47" s="220"/>
      <c r="AE47" s="220"/>
      <c r="AF47" s="220"/>
      <c r="AG47" s="220"/>
      <c r="AH47" s="220"/>
      <c r="AI47" s="220"/>
      <c r="AJ47" s="220"/>
      <c r="AK47" s="220"/>
      <c r="AL47" s="220"/>
      <c r="AM47" s="220"/>
    </row>
    <row r="48" spans="1:39" s="221" customFormat="1" ht="13.95" customHeight="1">
      <c r="A48" s="311"/>
      <c r="B48" s="225" t="s">
        <v>70</v>
      </c>
      <c r="C48" s="219"/>
      <c r="D48" s="219"/>
      <c r="E48" s="219"/>
      <c r="F48" s="334"/>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row>
    <row r="49" spans="1:39" s="390" customFormat="1" ht="13.95" customHeight="1" thickBot="1">
      <c r="A49" s="389"/>
      <c r="B49" s="261" t="s">
        <v>7</v>
      </c>
      <c r="C49" s="297">
        <f>First_Reporting_Year</f>
        <v>44926</v>
      </c>
      <c r="D49" s="297">
        <f>Second_Reporting_Year</f>
        <v>45291</v>
      </c>
      <c r="E49" s="296">
        <f>Stub_Period</f>
        <v>45565</v>
      </c>
      <c r="F49" s="334"/>
      <c r="G49" s="249">
        <v>44562</v>
      </c>
      <c r="H49" s="249">
        <f t="shared" ref="H49:AE49" si="40">EOMONTH(G49,1)</f>
        <v>44620</v>
      </c>
      <c r="I49" s="249">
        <f t="shared" si="40"/>
        <v>44651</v>
      </c>
      <c r="J49" s="249">
        <f t="shared" si="40"/>
        <v>44681</v>
      </c>
      <c r="K49" s="249">
        <f t="shared" si="40"/>
        <v>44712</v>
      </c>
      <c r="L49" s="249">
        <f t="shared" si="40"/>
        <v>44742</v>
      </c>
      <c r="M49" s="249">
        <f t="shared" si="40"/>
        <v>44773</v>
      </c>
      <c r="N49" s="249">
        <f t="shared" si="40"/>
        <v>44804</v>
      </c>
      <c r="O49" s="249">
        <f t="shared" si="40"/>
        <v>44834</v>
      </c>
      <c r="P49" s="249">
        <f t="shared" si="40"/>
        <v>44865</v>
      </c>
      <c r="Q49" s="249">
        <f t="shared" si="40"/>
        <v>44895</v>
      </c>
      <c r="R49" s="249">
        <f t="shared" si="40"/>
        <v>44926</v>
      </c>
      <c r="S49" s="249">
        <f t="shared" si="40"/>
        <v>44957</v>
      </c>
      <c r="T49" s="249">
        <f t="shared" si="40"/>
        <v>44985</v>
      </c>
      <c r="U49" s="249">
        <f t="shared" si="40"/>
        <v>45016</v>
      </c>
      <c r="V49" s="249">
        <f t="shared" si="40"/>
        <v>45046</v>
      </c>
      <c r="W49" s="249">
        <f t="shared" si="40"/>
        <v>45077</v>
      </c>
      <c r="X49" s="249">
        <f t="shared" si="40"/>
        <v>45107</v>
      </c>
      <c r="Y49" s="249">
        <f t="shared" si="40"/>
        <v>45138</v>
      </c>
      <c r="Z49" s="249">
        <f t="shared" si="40"/>
        <v>45169</v>
      </c>
      <c r="AA49" s="249">
        <f t="shared" si="40"/>
        <v>45199</v>
      </c>
      <c r="AB49" s="249">
        <f t="shared" si="40"/>
        <v>45230</v>
      </c>
      <c r="AC49" s="249">
        <f t="shared" si="40"/>
        <v>45260</v>
      </c>
      <c r="AD49" s="249">
        <f t="shared" si="40"/>
        <v>45291</v>
      </c>
      <c r="AE49" s="249">
        <f t="shared" si="40"/>
        <v>45322</v>
      </c>
      <c r="AF49" s="249">
        <f t="shared" ref="AF49" si="41">EOMONTH(AE49,1)</f>
        <v>45351</v>
      </c>
      <c r="AG49" s="249">
        <f t="shared" ref="AG49" si="42">EOMONTH(AF49,1)</f>
        <v>45382</v>
      </c>
      <c r="AH49" s="249">
        <f t="shared" ref="AH49" si="43">EOMONTH(AG49,1)</f>
        <v>45412</v>
      </c>
      <c r="AI49" s="249">
        <f t="shared" ref="AI49" si="44">EOMONTH(AH49,1)</f>
        <v>45443</v>
      </c>
      <c r="AJ49" s="249">
        <f t="shared" ref="AJ49" si="45">EOMONTH(AI49,1)</f>
        <v>45473</v>
      </c>
      <c r="AK49" s="249">
        <f t="shared" ref="AK49" si="46">EOMONTH(AJ49,1)</f>
        <v>45504</v>
      </c>
      <c r="AL49" s="249">
        <f t="shared" ref="AL49" si="47">EOMONTH(AK49,1)</f>
        <v>45535</v>
      </c>
      <c r="AM49" s="249">
        <f t="shared" ref="AM49" si="48">EOMONTH(AL49,1)</f>
        <v>45565</v>
      </c>
    </row>
    <row r="50" spans="1:39" s="262" customFormat="1" ht="13.95" customHeight="1">
      <c r="A50" s="311"/>
      <c r="B50" s="302" t="s">
        <v>12</v>
      </c>
      <c r="C50" s="304">
        <f>+C6</f>
        <v>0</v>
      </c>
      <c r="D50" s="304">
        <f>+D6</f>
        <v>0</v>
      </c>
      <c r="E50" s="304">
        <f>+E6</f>
        <v>0</v>
      </c>
      <c r="F50" s="343"/>
      <c r="G50" s="342">
        <f t="shared" ref="G50:AE50" si="49">+G6</f>
        <v>0</v>
      </c>
      <c r="H50" s="342">
        <f t="shared" si="49"/>
        <v>0</v>
      </c>
      <c r="I50" s="342">
        <f t="shared" si="49"/>
        <v>0</v>
      </c>
      <c r="J50" s="342">
        <f t="shared" si="49"/>
        <v>0</v>
      </c>
      <c r="K50" s="342">
        <f t="shared" si="49"/>
        <v>0</v>
      </c>
      <c r="L50" s="342">
        <f t="shared" si="49"/>
        <v>0</v>
      </c>
      <c r="M50" s="342">
        <f t="shared" si="49"/>
        <v>0</v>
      </c>
      <c r="N50" s="342">
        <f t="shared" si="49"/>
        <v>0</v>
      </c>
      <c r="O50" s="342">
        <f t="shared" si="49"/>
        <v>0</v>
      </c>
      <c r="P50" s="342">
        <f t="shared" si="49"/>
        <v>0</v>
      </c>
      <c r="Q50" s="342">
        <f t="shared" si="49"/>
        <v>0</v>
      </c>
      <c r="R50" s="342">
        <f t="shared" si="49"/>
        <v>0</v>
      </c>
      <c r="S50" s="342">
        <f t="shared" si="49"/>
        <v>0</v>
      </c>
      <c r="T50" s="342">
        <f t="shared" si="49"/>
        <v>0</v>
      </c>
      <c r="U50" s="342">
        <f t="shared" si="49"/>
        <v>0</v>
      </c>
      <c r="V50" s="342">
        <f t="shared" si="49"/>
        <v>0</v>
      </c>
      <c r="W50" s="342">
        <f t="shared" si="49"/>
        <v>0</v>
      </c>
      <c r="X50" s="342">
        <f t="shared" si="49"/>
        <v>0</v>
      </c>
      <c r="Y50" s="342">
        <f t="shared" si="49"/>
        <v>0</v>
      </c>
      <c r="Z50" s="342">
        <f t="shared" si="49"/>
        <v>0</v>
      </c>
      <c r="AA50" s="342">
        <f t="shared" si="49"/>
        <v>0</v>
      </c>
      <c r="AB50" s="342">
        <f t="shared" si="49"/>
        <v>0</v>
      </c>
      <c r="AC50" s="342">
        <f t="shared" si="49"/>
        <v>0</v>
      </c>
      <c r="AD50" s="342">
        <f t="shared" si="49"/>
        <v>0</v>
      </c>
      <c r="AE50" s="342">
        <f t="shared" si="49"/>
        <v>0</v>
      </c>
      <c r="AF50" s="342">
        <f t="shared" ref="AF50:AM50" si="50">+AF6</f>
        <v>0</v>
      </c>
      <c r="AG50" s="342">
        <f t="shared" si="50"/>
        <v>0</v>
      </c>
      <c r="AH50" s="342">
        <f t="shared" si="50"/>
        <v>0</v>
      </c>
      <c r="AI50" s="342">
        <f t="shared" si="50"/>
        <v>0</v>
      </c>
      <c r="AJ50" s="342">
        <f t="shared" si="50"/>
        <v>0</v>
      </c>
      <c r="AK50" s="342">
        <f t="shared" si="50"/>
        <v>0</v>
      </c>
      <c r="AL50" s="342">
        <f t="shared" si="50"/>
        <v>0</v>
      </c>
      <c r="AM50" s="342">
        <f t="shared" si="50"/>
        <v>0</v>
      </c>
    </row>
    <row r="51" spans="1:39" s="262" customFormat="1" ht="13.95" customHeight="1">
      <c r="A51" s="311"/>
      <c r="B51" s="223" t="s">
        <v>168</v>
      </c>
      <c r="C51" s="338">
        <f t="shared" ref="C51:E55" si="51">+IFERROR((C7/C$6)*100,0)</f>
        <v>0</v>
      </c>
      <c r="D51" s="338">
        <f t="shared" si="51"/>
        <v>0</v>
      </c>
      <c r="E51" s="338">
        <f t="shared" si="51"/>
        <v>0</v>
      </c>
      <c r="F51" s="500"/>
      <c r="G51" s="501">
        <f t="shared" ref="G51:AE51" si="52">+IFERROR((G7/G$6)*100,0)</f>
        <v>0</v>
      </c>
      <c r="H51" s="501">
        <f t="shared" si="52"/>
        <v>0</v>
      </c>
      <c r="I51" s="501">
        <f t="shared" si="52"/>
        <v>0</v>
      </c>
      <c r="J51" s="501">
        <f t="shared" si="52"/>
        <v>0</v>
      </c>
      <c r="K51" s="501">
        <f t="shared" si="52"/>
        <v>0</v>
      </c>
      <c r="L51" s="501">
        <f t="shared" si="52"/>
        <v>0</v>
      </c>
      <c r="M51" s="501">
        <f t="shared" si="52"/>
        <v>0</v>
      </c>
      <c r="N51" s="501">
        <f t="shared" si="52"/>
        <v>0</v>
      </c>
      <c r="O51" s="501">
        <f t="shared" si="52"/>
        <v>0</v>
      </c>
      <c r="P51" s="501">
        <f t="shared" si="52"/>
        <v>0</v>
      </c>
      <c r="Q51" s="501">
        <f t="shared" si="52"/>
        <v>0</v>
      </c>
      <c r="R51" s="501">
        <f t="shared" si="52"/>
        <v>0</v>
      </c>
      <c r="S51" s="501">
        <f t="shared" si="52"/>
        <v>0</v>
      </c>
      <c r="T51" s="501">
        <f t="shared" si="52"/>
        <v>0</v>
      </c>
      <c r="U51" s="501">
        <f t="shared" si="52"/>
        <v>0</v>
      </c>
      <c r="V51" s="501">
        <f t="shared" si="52"/>
        <v>0</v>
      </c>
      <c r="W51" s="501">
        <f t="shared" si="52"/>
        <v>0</v>
      </c>
      <c r="X51" s="501">
        <f t="shared" si="52"/>
        <v>0</v>
      </c>
      <c r="Y51" s="501">
        <f t="shared" si="52"/>
        <v>0</v>
      </c>
      <c r="Z51" s="501">
        <f t="shared" si="52"/>
        <v>0</v>
      </c>
      <c r="AA51" s="501">
        <f t="shared" si="52"/>
        <v>0</v>
      </c>
      <c r="AB51" s="501">
        <f t="shared" si="52"/>
        <v>0</v>
      </c>
      <c r="AC51" s="501">
        <f t="shared" si="52"/>
        <v>0</v>
      </c>
      <c r="AD51" s="501">
        <f t="shared" si="52"/>
        <v>0</v>
      </c>
      <c r="AE51" s="501">
        <f t="shared" si="52"/>
        <v>0</v>
      </c>
      <c r="AF51" s="501">
        <f t="shared" ref="AF51:AM51" si="53">+IFERROR((AF7/AF$6)*100,0)</f>
        <v>0</v>
      </c>
      <c r="AG51" s="501">
        <f t="shared" si="53"/>
        <v>0</v>
      </c>
      <c r="AH51" s="501">
        <f t="shared" si="53"/>
        <v>0</v>
      </c>
      <c r="AI51" s="501">
        <f t="shared" si="53"/>
        <v>0</v>
      </c>
      <c r="AJ51" s="501">
        <f t="shared" si="53"/>
        <v>0</v>
      </c>
      <c r="AK51" s="501">
        <f t="shared" si="53"/>
        <v>0</v>
      </c>
      <c r="AL51" s="501">
        <f t="shared" si="53"/>
        <v>0</v>
      </c>
      <c r="AM51" s="501">
        <f t="shared" si="53"/>
        <v>0</v>
      </c>
    </row>
    <row r="52" spans="1:39" s="262" customFormat="1" ht="13.95" customHeight="1">
      <c r="A52" s="311"/>
      <c r="B52" s="223" t="s">
        <v>169</v>
      </c>
      <c r="C52" s="338">
        <f t="shared" si="51"/>
        <v>0</v>
      </c>
      <c r="D52" s="338">
        <f t="shared" si="51"/>
        <v>0</v>
      </c>
      <c r="E52" s="338">
        <f t="shared" si="51"/>
        <v>0</v>
      </c>
      <c r="F52" s="500"/>
      <c r="G52" s="501">
        <f t="shared" ref="G52:AE52" si="54">+IFERROR((G8/G$6)*100,0)</f>
        <v>0</v>
      </c>
      <c r="H52" s="501">
        <f t="shared" si="54"/>
        <v>0</v>
      </c>
      <c r="I52" s="501">
        <f t="shared" si="54"/>
        <v>0</v>
      </c>
      <c r="J52" s="501">
        <f t="shared" si="54"/>
        <v>0</v>
      </c>
      <c r="K52" s="501">
        <f t="shared" si="54"/>
        <v>0</v>
      </c>
      <c r="L52" s="501">
        <f t="shared" si="54"/>
        <v>0</v>
      </c>
      <c r="M52" s="501">
        <f t="shared" si="54"/>
        <v>0</v>
      </c>
      <c r="N52" s="501">
        <f t="shared" si="54"/>
        <v>0</v>
      </c>
      <c r="O52" s="501">
        <f t="shared" si="54"/>
        <v>0</v>
      </c>
      <c r="P52" s="501">
        <f t="shared" si="54"/>
        <v>0</v>
      </c>
      <c r="Q52" s="501">
        <f t="shared" si="54"/>
        <v>0</v>
      </c>
      <c r="R52" s="501">
        <f t="shared" si="54"/>
        <v>0</v>
      </c>
      <c r="S52" s="501">
        <f t="shared" si="54"/>
        <v>0</v>
      </c>
      <c r="T52" s="501">
        <f t="shared" si="54"/>
        <v>0</v>
      </c>
      <c r="U52" s="501">
        <f t="shared" si="54"/>
        <v>0</v>
      </c>
      <c r="V52" s="501">
        <f t="shared" si="54"/>
        <v>0</v>
      </c>
      <c r="W52" s="501">
        <f t="shared" si="54"/>
        <v>0</v>
      </c>
      <c r="X52" s="501">
        <f t="shared" si="54"/>
        <v>0</v>
      </c>
      <c r="Y52" s="501">
        <f t="shared" si="54"/>
        <v>0</v>
      </c>
      <c r="Z52" s="501">
        <f t="shared" si="54"/>
        <v>0</v>
      </c>
      <c r="AA52" s="501">
        <f t="shared" si="54"/>
        <v>0</v>
      </c>
      <c r="AB52" s="501">
        <f t="shared" si="54"/>
        <v>0</v>
      </c>
      <c r="AC52" s="501">
        <f t="shared" si="54"/>
        <v>0</v>
      </c>
      <c r="AD52" s="501">
        <f t="shared" si="54"/>
        <v>0</v>
      </c>
      <c r="AE52" s="501">
        <f t="shared" si="54"/>
        <v>0</v>
      </c>
      <c r="AF52" s="501">
        <f t="shared" ref="AF52:AM52" si="55">+IFERROR((AF8/AF$6)*100,0)</f>
        <v>0</v>
      </c>
      <c r="AG52" s="501">
        <f t="shared" si="55"/>
        <v>0</v>
      </c>
      <c r="AH52" s="501">
        <f t="shared" si="55"/>
        <v>0</v>
      </c>
      <c r="AI52" s="501">
        <f t="shared" si="55"/>
        <v>0</v>
      </c>
      <c r="AJ52" s="501">
        <f t="shared" si="55"/>
        <v>0</v>
      </c>
      <c r="AK52" s="501">
        <f t="shared" si="55"/>
        <v>0</v>
      </c>
      <c r="AL52" s="501">
        <f t="shared" si="55"/>
        <v>0</v>
      </c>
      <c r="AM52" s="501">
        <f t="shared" si="55"/>
        <v>0</v>
      </c>
    </row>
    <row r="53" spans="1:39" s="262" customFormat="1" ht="13.95" customHeight="1">
      <c r="A53" s="311"/>
      <c r="B53" s="424" t="s">
        <v>74</v>
      </c>
      <c r="C53" s="499">
        <f t="shared" si="51"/>
        <v>0</v>
      </c>
      <c r="D53" s="499">
        <f t="shared" si="51"/>
        <v>0</v>
      </c>
      <c r="E53" s="499">
        <f t="shared" si="51"/>
        <v>0</v>
      </c>
      <c r="F53" s="500"/>
      <c r="G53" s="502">
        <f t="shared" ref="G53:AE53" si="56">+IFERROR((G9/G$6)*100,0)</f>
        <v>0</v>
      </c>
      <c r="H53" s="502">
        <f t="shared" si="56"/>
        <v>0</v>
      </c>
      <c r="I53" s="502">
        <f t="shared" si="56"/>
        <v>0</v>
      </c>
      <c r="J53" s="502">
        <f t="shared" si="56"/>
        <v>0</v>
      </c>
      <c r="K53" s="502">
        <f t="shared" si="56"/>
        <v>0</v>
      </c>
      <c r="L53" s="502">
        <f t="shared" si="56"/>
        <v>0</v>
      </c>
      <c r="M53" s="502">
        <f t="shared" si="56"/>
        <v>0</v>
      </c>
      <c r="N53" s="502">
        <f t="shared" si="56"/>
        <v>0</v>
      </c>
      <c r="O53" s="502">
        <f t="shared" si="56"/>
        <v>0</v>
      </c>
      <c r="P53" s="502">
        <f t="shared" si="56"/>
        <v>0</v>
      </c>
      <c r="Q53" s="502">
        <f t="shared" si="56"/>
        <v>0</v>
      </c>
      <c r="R53" s="502">
        <f t="shared" si="56"/>
        <v>0</v>
      </c>
      <c r="S53" s="502">
        <f t="shared" si="56"/>
        <v>0</v>
      </c>
      <c r="T53" s="502">
        <f t="shared" si="56"/>
        <v>0</v>
      </c>
      <c r="U53" s="502">
        <f t="shared" si="56"/>
        <v>0</v>
      </c>
      <c r="V53" s="502">
        <f t="shared" si="56"/>
        <v>0</v>
      </c>
      <c r="W53" s="502">
        <f t="shared" si="56"/>
        <v>0</v>
      </c>
      <c r="X53" s="502">
        <f t="shared" si="56"/>
        <v>0</v>
      </c>
      <c r="Y53" s="502">
        <f t="shared" si="56"/>
        <v>0</v>
      </c>
      <c r="Z53" s="502">
        <f t="shared" si="56"/>
        <v>0</v>
      </c>
      <c r="AA53" s="502">
        <f t="shared" si="56"/>
        <v>0</v>
      </c>
      <c r="AB53" s="502">
        <f t="shared" si="56"/>
        <v>0</v>
      </c>
      <c r="AC53" s="502">
        <f t="shared" si="56"/>
        <v>0</v>
      </c>
      <c r="AD53" s="502">
        <f t="shared" si="56"/>
        <v>0</v>
      </c>
      <c r="AE53" s="502">
        <f t="shared" si="56"/>
        <v>0</v>
      </c>
      <c r="AF53" s="502">
        <f t="shared" ref="AF53:AM53" si="57">+IFERROR((AF9/AF$6)*100,0)</f>
        <v>0</v>
      </c>
      <c r="AG53" s="502">
        <f t="shared" si="57"/>
        <v>0</v>
      </c>
      <c r="AH53" s="502">
        <f t="shared" si="57"/>
        <v>0</v>
      </c>
      <c r="AI53" s="502">
        <f t="shared" si="57"/>
        <v>0</v>
      </c>
      <c r="AJ53" s="502">
        <f t="shared" si="57"/>
        <v>0</v>
      </c>
      <c r="AK53" s="502">
        <f t="shared" si="57"/>
        <v>0</v>
      </c>
      <c r="AL53" s="502">
        <f t="shared" si="57"/>
        <v>0</v>
      </c>
      <c r="AM53" s="502">
        <f t="shared" si="57"/>
        <v>0</v>
      </c>
    </row>
    <row r="54" spans="1:39" s="264" customFormat="1" ht="13.95" customHeight="1">
      <c r="A54" s="435"/>
      <c r="B54" s="434" t="s">
        <v>29</v>
      </c>
      <c r="C54" s="497">
        <f t="shared" si="51"/>
        <v>0</v>
      </c>
      <c r="D54" s="497">
        <f t="shared" si="51"/>
        <v>0</v>
      </c>
      <c r="E54" s="497">
        <f t="shared" si="51"/>
        <v>0</v>
      </c>
      <c r="F54" s="505"/>
      <c r="G54" s="530">
        <f t="shared" ref="G54:AE54" si="58">+IFERROR((G10/G$6)*100,0)</f>
        <v>0</v>
      </c>
      <c r="H54" s="530">
        <f t="shared" si="58"/>
        <v>0</v>
      </c>
      <c r="I54" s="530">
        <f t="shared" si="58"/>
        <v>0</v>
      </c>
      <c r="J54" s="530">
        <f t="shared" si="58"/>
        <v>0</v>
      </c>
      <c r="K54" s="530">
        <f t="shared" si="58"/>
        <v>0</v>
      </c>
      <c r="L54" s="530">
        <f t="shared" si="58"/>
        <v>0</v>
      </c>
      <c r="M54" s="530">
        <f t="shared" si="58"/>
        <v>0</v>
      </c>
      <c r="N54" s="530">
        <f t="shared" si="58"/>
        <v>0</v>
      </c>
      <c r="O54" s="530">
        <f t="shared" si="58"/>
        <v>0</v>
      </c>
      <c r="P54" s="530">
        <f t="shared" si="58"/>
        <v>0</v>
      </c>
      <c r="Q54" s="530">
        <f t="shared" si="58"/>
        <v>0</v>
      </c>
      <c r="R54" s="530">
        <f t="shared" si="58"/>
        <v>0</v>
      </c>
      <c r="S54" s="530">
        <f t="shared" si="58"/>
        <v>0</v>
      </c>
      <c r="T54" s="530">
        <f t="shared" si="58"/>
        <v>0</v>
      </c>
      <c r="U54" s="530">
        <f t="shared" si="58"/>
        <v>0</v>
      </c>
      <c r="V54" s="530">
        <f t="shared" si="58"/>
        <v>0</v>
      </c>
      <c r="W54" s="530">
        <f t="shared" si="58"/>
        <v>0</v>
      </c>
      <c r="X54" s="530">
        <f t="shared" si="58"/>
        <v>0</v>
      </c>
      <c r="Y54" s="530">
        <f t="shared" si="58"/>
        <v>0</v>
      </c>
      <c r="Z54" s="530">
        <f t="shared" si="58"/>
        <v>0</v>
      </c>
      <c r="AA54" s="530">
        <f t="shared" si="58"/>
        <v>0</v>
      </c>
      <c r="AB54" s="530">
        <f t="shared" si="58"/>
        <v>0</v>
      </c>
      <c r="AC54" s="530">
        <f t="shared" si="58"/>
        <v>0</v>
      </c>
      <c r="AD54" s="530">
        <f t="shared" si="58"/>
        <v>0</v>
      </c>
      <c r="AE54" s="530">
        <f t="shared" si="58"/>
        <v>0</v>
      </c>
      <c r="AF54" s="530">
        <f t="shared" ref="AF54:AM54" si="59">+IFERROR((AF10/AF$6)*100,0)</f>
        <v>0</v>
      </c>
      <c r="AG54" s="530">
        <f t="shared" si="59"/>
        <v>0</v>
      </c>
      <c r="AH54" s="530">
        <f t="shared" si="59"/>
        <v>0</v>
      </c>
      <c r="AI54" s="530">
        <f t="shared" si="59"/>
        <v>0</v>
      </c>
      <c r="AJ54" s="530">
        <f t="shared" si="59"/>
        <v>0</v>
      </c>
      <c r="AK54" s="530">
        <f t="shared" si="59"/>
        <v>0</v>
      </c>
      <c r="AL54" s="530">
        <f t="shared" si="59"/>
        <v>0</v>
      </c>
      <c r="AM54" s="530">
        <f t="shared" si="59"/>
        <v>0</v>
      </c>
    </row>
    <row r="55" spans="1:39" s="262" customFormat="1" ht="13.95" customHeight="1">
      <c r="A55" s="311"/>
      <c r="B55" s="236" t="s">
        <v>11</v>
      </c>
      <c r="C55" s="339">
        <f t="shared" si="51"/>
        <v>0</v>
      </c>
      <c r="D55" s="339">
        <f t="shared" si="51"/>
        <v>0</v>
      </c>
      <c r="E55" s="339">
        <f t="shared" si="51"/>
        <v>0</v>
      </c>
      <c r="F55" s="500"/>
      <c r="G55" s="339">
        <f t="shared" ref="G55:AE55" si="60">+IFERROR((G11/G$6)*100,0)</f>
        <v>0</v>
      </c>
      <c r="H55" s="339">
        <f t="shared" si="60"/>
        <v>0</v>
      </c>
      <c r="I55" s="339">
        <f t="shared" si="60"/>
        <v>0</v>
      </c>
      <c r="J55" s="339">
        <f t="shared" si="60"/>
        <v>0</v>
      </c>
      <c r="K55" s="339">
        <f t="shared" si="60"/>
        <v>0</v>
      </c>
      <c r="L55" s="339">
        <f t="shared" si="60"/>
        <v>0</v>
      </c>
      <c r="M55" s="339">
        <f t="shared" si="60"/>
        <v>0</v>
      </c>
      <c r="N55" s="339">
        <f t="shared" si="60"/>
        <v>0</v>
      </c>
      <c r="O55" s="339">
        <f t="shared" si="60"/>
        <v>0</v>
      </c>
      <c r="P55" s="339">
        <f t="shared" si="60"/>
        <v>0</v>
      </c>
      <c r="Q55" s="339">
        <f t="shared" si="60"/>
        <v>0</v>
      </c>
      <c r="R55" s="339">
        <f t="shared" si="60"/>
        <v>0</v>
      </c>
      <c r="S55" s="339">
        <f t="shared" si="60"/>
        <v>0</v>
      </c>
      <c r="T55" s="339">
        <f t="shared" si="60"/>
        <v>0</v>
      </c>
      <c r="U55" s="339">
        <f t="shared" si="60"/>
        <v>0</v>
      </c>
      <c r="V55" s="339">
        <f t="shared" si="60"/>
        <v>0</v>
      </c>
      <c r="W55" s="339">
        <f t="shared" si="60"/>
        <v>0</v>
      </c>
      <c r="X55" s="339">
        <f t="shared" si="60"/>
        <v>0</v>
      </c>
      <c r="Y55" s="339">
        <f t="shared" si="60"/>
        <v>0</v>
      </c>
      <c r="Z55" s="339">
        <f t="shared" si="60"/>
        <v>0</v>
      </c>
      <c r="AA55" s="339">
        <f t="shared" si="60"/>
        <v>0</v>
      </c>
      <c r="AB55" s="339">
        <f t="shared" si="60"/>
        <v>0</v>
      </c>
      <c r="AC55" s="339">
        <f t="shared" si="60"/>
        <v>0</v>
      </c>
      <c r="AD55" s="339">
        <f t="shared" si="60"/>
        <v>0</v>
      </c>
      <c r="AE55" s="339">
        <f t="shared" si="60"/>
        <v>0</v>
      </c>
      <c r="AF55" s="339">
        <f t="shared" ref="AF55:AM55" si="61">+IFERROR((AF11/AF$6)*100,0)</f>
        <v>0</v>
      </c>
      <c r="AG55" s="339">
        <f t="shared" si="61"/>
        <v>0</v>
      </c>
      <c r="AH55" s="339">
        <f t="shared" si="61"/>
        <v>0</v>
      </c>
      <c r="AI55" s="339">
        <f t="shared" si="61"/>
        <v>0</v>
      </c>
      <c r="AJ55" s="339">
        <f t="shared" si="61"/>
        <v>0</v>
      </c>
      <c r="AK55" s="339">
        <f t="shared" si="61"/>
        <v>0</v>
      </c>
      <c r="AL55" s="339">
        <f t="shared" si="61"/>
        <v>0</v>
      </c>
      <c r="AM55" s="339">
        <f t="shared" si="61"/>
        <v>0</v>
      </c>
    </row>
    <row r="56" spans="1:39" s="262" customFormat="1" ht="5.25" customHeight="1">
      <c r="A56" s="311"/>
      <c r="B56" s="240"/>
      <c r="C56" s="497"/>
      <c r="D56" s="497"/>
      <c r="E56" s="497"/>
      <c r="F56" s="500"/>
      <c r="G56" s="497"/>
      <c r="H56" s="497"/>
      <c r="I56" s="497"/>
      <c r="J56" s="497"/>
      <c r="K56" s="497"/>
      <c r="L56" s="497"/>
      <c r="M56" s="497"/>
      <c r="N56" s="497"/>
      <c r="O56" s="497"/>
      <c r="P56" s="497"/>
      <c r="Q56" s="497"/>
      <c r="R56" s="497"/>
      <c r="S56" s="497"/>
      <c r="T56" s="497"/>
      <c r="U56" s="497"/>
      <c r="V56" s="497"/>
      <c r="W56" s="497"/>
      <c r="X56" s="497"/>
      <c r="Y56" s="497"/>
      <c r="Z56" s="497"/>
      <c r="AA56" s="497"/>
      <c r="AB56" s="497"/>
      <c r="AC56" s="497"/>
      <c r="AD56" s="497"/>
      <c r="AE56" s="497"/>
      <c r="AF56" s="497"/>
      <c r="AG56" s="497"/>
      <c r="AH56" s="497"/>
      <c r="AI56" s="497"/>
      <c r="AJ56" s="497"/>
      <c r="AK56" s="497"/>
      <c r="AL56" s="497"/>
      <c r="AM56" s="497"/>
    </row>
    <row r="57" spans="1:39" s="391" customFormat="1" ht="13.95" customHeight="1">
      <c r="A57" s="426"/>
      <c r="B57" s="223" t="s">
        <v>72</v>
      </c>
      <c r="C57" s="338">
        <f t="shared" ref="C57:E86" si="62">+IFERROR((C13/C$6)*100,0)</f>
        <v>0</v>
      </c>
      <c r="D57" s="338">
        <f t="shared" si="62"/>
        <v>0</v>
      </c>
      <c r="E57" s="338">
        <f t="shared" si="62"/>
        <v>0</v>
      </c>
      <c r="F57" s="500"/>
      <c r="G57" s="338">
        <f t="shared" ref="G57:AE57" si="63">+IFERROR((G13/G$6)*100,0)</f>
        <v>0</v>
      </c>
      <c r="H57" s="338">
        <f t="shared" si="63"/>
        <v>0</v>
      </c>
      <c r="I57" s="338">
        <f t="shared" si="63"/>
        <v>0</v>
      </c>
      <c r="J57" s="338">
        <f t="shared" si="63"/>
        <v>0</v>
      </c>
      <c r="K57" s="338">
        <f t="shared" si="63"/>
        <v>0</v>
      </c>
      <c r="L57" s="338">
        <f t="shared" si="63"/>
        <v>0</v>
      </c>
      <c r="M57" s="338">
        <f t="shared" si="63"/>
        <v>0</v>
      </c>
      <c r="N57" s="338">
        <f t="shared" si="63"/>
        <v>0</v>
      </c>
      <c r="O57" s="338">
        <f t="shared" si="63"/>
        <v>0</v>
      </c>
      <c r="P57" s="338">
        <f t="shared" si="63"/>
        <v>0</v>
      </c>
      <c r="Q57" s="338">
        <f t="shared" si="63"/>
        <v>0</v>
      </c>
      <c r="R57" s="338">
        <f t="shared" si="63"/>
        <v>0</v>
      </c>
      <c r="S57" s="338">
        <f t="shared" si="63"/>
        <v>0</v>
      </c>
      <c r="T57" s="338">
        <f t="shared" si="63"/>
        <v>0</v>
      </c>
      <c r="U57" s="338">
        <f t="shared" si="63"/>
        <v>0</v>
      </c>
      <c r="V57" s="338">
        <f t="shared" si="63"/>
        <v>0</v>
      </c>
      <c r="W57" s="338">
        <f t="shared" si="63"/>
        <v>0</v>
      </c>
      <c r="X57" s="338">
        <f t="shared" si="63"/>
        <v>0</v>
      </c>
      <c r="Y57" s="338">
        <f t="shared" si="63"/>
        <v>0</v>
      </c>
      <c r="Z57" s="338">
        <f t="shared" si="63"/>
        <v>0</v>
      </c>
      <c r="AA57" s="338">
        <f t="shared" si="63"/>
        <v>0</v>
      </c>
      <c r="AB57" s="338">
        <f t="shared" si="63"/>
        <v>0</v>
      </c>
      <c r="AC57" s="338">
        <f t="shared" si="63"/>
        <v>0</v>
      </c>
      <c r="AD57" s="338">
        <f t="shared" si="63"/>
        <v>0</v>
      </c>
      <c r="AE57" s="338">
        <f t="shared" si="63"/>
        <v>0</v>
      </c>
      <c r="AF57" s="338">
        <f t="shared" ref="AF57:AM57" si="64">+IFERROR((AF13/AF$6)*100,0)</f>
        <v>0</v>
      </c>
      <c r="AG57" s="338">
        <f t="shared" si="64"/>
        <v>0</v>
      </c>
      <c r="AH57" s="338">
        <f t="shared" si="64"/>
        <v>0</v>
      </c>
      <c r="AI57" s="338">
        <f t="shared" si="64"/>
        <v>0</v>
      </c>
      <c r="AJ57" s="338">
        <f t="shared" si="64"/>
        <v>0</v>
      </c>
      <c r="AK57" s="338">
        <f t="shared" si="64"/>
        <v>0</v>
      </c>
      <c r="AL57" s="338">
        <f t="shared" si="64"/>
        <v>0</v>
      </c>
      <c r="AM57" s="338">
        <f t="shared" si="64"/>
        <v>0</v>
      </c>
    </row>
    <row r="58" spans="1:39" s="391" customFormat="1" ht="13.95" customHeight="1">
      <c r="A58" s="426"/>
      <c r="B58" s="223" t="s">
        <v>174</v>
      </c>
      <c r="C58" s="338">
        <f t="shared" si="62"/>
        <v>0</v>
      </c>
      <c r="D58" s="338">
        <f t="shared" si="62"/>
        <v>0</v>
      </c>
      <c r="E58" s="338">
        <f t="shared" si="62"/>
        <v>0</v>
      </c>
      <c r="F58" s="500"/>
      <c r="G58" s="338">
        <f t="shared" ref="G58:AE58" si="65">+IFERROR((G14/G$6)*100,0)</f>
        <v>0</v>
      </c>
      <c r="H58" s="338">
        <f t="shared" si="65"/>
        <v>0</v>
      </c>
      <c r="I58" s="338">
        <f t="shared" si="65"/>
        <v>0</v>
      </c>
      <c r="J58" s="338">
        <f t="shared" si="65"/>
        <v>0</v>
      </c>
      <c r="K58" s="338">
        <f t="shared" si="65"/>
        <v>0</v>
      </c>
      <c r="L58" s="338">
        <f t="shared" si="65"/>
        <v>0</v>
      </c>
      <c r="M58" s="338">
        <f t="shared" si="65"/>
        <v>0</v>
      </c>
      <c r="N58" s="338">
        <f t="shared" si="65"/>
        <v>0</v>
      </c>
      <c r="O58" s="338">
        <f t="shared" si="65"/>
        <v>0</v>
      </c>
      <c r="P58" s="338">
        <f t="shared" si="65"/>
        <v>0</v>
      </c>
      <c r="Q58" s="338">
        <f t="shared" si="65"/>
        <v>0</v>
      </c>
      <c r="R58" s="338">
        <f t="shared" si="65"/>
        <v>0</v>
      </c>
      <c r="S58" s="338">
        <f t="shared" si="65"/>
        <v>0</v>
      </c>
      <c r="T58" s="338">
        <f t="shared" si="65"/>
        <v>0</v>
      </c>
      <c r="U58" s="338">
        <f t="shared" si="65"/>
        <v>0</v>
      </c>
      <c r="V58" s="338">
        <f t="shared" si="65"/>
        <v>0</v>
      </c>
      <c r="W58" s="338">
        <f t="shared" si="65"/>
        <v>0</v>
      </c>
      <c r="X58" s="338">
        <f t="shared" si="65"/>
        <v>0</v>
      </c>
      <c r="Y58" s="338">
        <f t="shared" si="65"/>
        <v>0</v>
      </c>
      <c r="Z58" s="338">
        <f t="shared" si="65"/>
        <v>0</v>
      </c>
      <c r="AA58" s="338">
        <f t="shared" si="65"/>
        <v>0</v>
      </c>
      <c r="AB58" s="338">
        <f t="shared" si="65"/>
        <v>0</v>
      </c>
      <c r="AC58" s="338">
        <f t="shared" si="65"/>
        <v>0</v>
      </c>
      <c r="AD58" s="338">
        <f t="shared" si="65"/>
        <v>0</v>
      </c>
      <c r="AE58" s="338">
        <f t="shared" si="65"/>
        <v>0</v>
      </c>
      <c r="AF58" s="338">
        <f t="shared" ref="AF58:AM58" si="66">+IFERROR((AF14/AF$6)*100,0)</f>
        <v>0</v>
      </c>
      <c r="AG58" s="338">
        <f t="shared" si="66"/>
        <v>0</v>
      </c>
      <c r="AH58" s="338">
        <f t="shared" si="66"/>
        <v>0</v>
      </c>
      <c r="AI58" s="338">
        <f t="shared" si="66"/>
        <v>0</v>
      </c>
      <c r="AJ58" s="338">
        <f t="shared" si="66"/>
        <v>0</v>
      </c>
      <c r="AK58" s="338">
        <f t="shared" si="66"/>
        <v>0</v>
      </c>
      <c r="AL58" s="338">
        <f t="shared" si="66"/>
        <v>0</v>
      </c>
      <c r="AM58" s="338">
        <f t="shared" si="66"/>
        <v>0</v>
      </c>
    </row>
    <row r="59" spans="1:39" s="391" customFormat="1" ht="13.95" customHeight="1">
      <c r="A59" s="426"/>
      <c r="B59" s="424" t="s">
        <v>175</v>
      </c>
      <c r="C59" s="499">
        <f t="shared" si="62"/>
        <v>0</v>
      </c>
      <c r="D59" s="499">
        <f t="shared" si="62"/>
        <v>0</v>
      </c>
      <c r="E59" s="499">
        <f t="shared" si="62"/>
        <v>0</v>
      </c>
      <c r="F59" s="500"/>
      <c r="G59" s="499">
        <f t="shared" ref="G59:AE59" si="67">+IFERROR((G15/G$6)*100,0)</f>
        <v>0</v>
      </c>
      <c r="H59" s="499">
        <f t="shared" si="67"/>
        <v>0</v>
      </c>
      <c r="I59" s="499">
        <f t="shared" si="67"/>
        <v>0</v>
      </c>
      <c r="J59" s="499">
        <f t="shared" si="67"/>
        <v>0</v>
      </c>
      <c r="K59" s="499">
        <f t="shared" si="67"/>
        <v>0</v>
      </c>
      <c r="L59" s="499">
        <f t="shared" si="67"/>
        <v>0</v>
      </c>
      <c r="M59" s="499">
        <f t="shared" si="67"/>
        <v>0</v>
      </c>
      <c r="N59" s="499">
        <f t="shared" si="67"/>
        <v>0</v>
      </c>
      <c r="O59" s="499">
        <f t="shared" si="67"/>
        <v>0</v>
      </c>
      <c r="P59" s="499">
        <f t="shared" si="67"/>
        <v>0</v>
      </c>
      <c r="Q59" s="499">
        <f t="shared" si="67"/>
        <v>0</v>
      </c>
      <c r="R59" s="499">
        <f t="shared" si="67"/>
        <v>0</v>
      </c>
      <c r="S59" s="499">
        <f t="shared" si="67"/>
        <v>0</v>
      </c>
      <c r="T59" s="499">
        <f t="shared" si="67"/>
        <v>0</v>
      </c>
      <c r="U59" s="499">
        <f t="shared" si="67"/>
        <v>0</v>
      </c>
      <c r="V59" s="499">
        <f t="shared" si="67"/>
        <v>0</v>
      </c>
      <c r="W59" s="499">
        <f t="shared" si="67"/>
        <v>0</v>
      </c>
      <c r="X59" s="499">
        <f t="shared" si="67"/>
        <v>0</v>
      </c>
      <c r="Y59" s="499">
        <f t="shared" si="67"/>
        <v>0</v>
      </c>
      <c r="Z59" s="499">
        <f t="shared" si="67"/>
        <v>0</v>
      </c>
      <c r="AA59" s="499">
        <f t="shared" si="67"/>
        <v>0</v>
      </c>
      <c r="AB59" s="499">
        <f t="shared" si="67"/>
        <v>0</v>
      </c>
      <c r="AC59" s="499">
        <f t="shared" si="67"/>
        <v>0</v>
      </c>
      <c r="AD59" s="499">
        <f t="shared" si="67"/>
        <v>0</v>
      </c>
      <c r="AE59" s="499">
        <f t="shared" si="67"/>
        <v>0</v>
      </c>
      <c r="AF59" s="499">
        <f t="shared" ref="AF59:AM59" si="68">+IFERROR((AF15/AF$6)*100,0)</f>
        <v>0</v>
      </c>
      <c r="AG59" s="499">
        <f t="shared" si="68"/>
        <v>0</v>
      </c>
      <c r="AH59" s="499">
        <f t="shared" si="68"/>
        <v>0</v>
      </c>
      <c r="AI59" s="499">
        <f t="shared" si="68"/>
        <v>0</v>
      </c>
      <c r="AJ59" s="499">
        <f t="shared" si="68"/>
        <v>0</v>
      </c>
      <c r="AK59" s="499">
        <f t="shared" si="68"/>
        <v>0</v>
      </c>
      <c r="AL59" s="499">
        <f t="shared" si="68"/>
        <v>0</v>
      </c>
      <c r="AM59" s="499">
        <f t="shared" si="68"/>
        <v>0</v>
      </c>
    </row>
    <row r="60" spans="1:39" s="427" customFormat="1" ht="13.95" customHeight="1">
      <c r="A60" s="436"/>
      <c r="B60" s="434" t="s">
        <v>170</v>
      </c>
      <c r="C60" s="497">
        <f t="shared" si="62"/>
        <v>0</v>
      </c>
      <c r="D60" s="497">
        <f t="shared" si="62"/>
        <v>0</v>
      </c>
      <c r="E60" s="497">
        <f t="shared" si="62"/>
        <v>0</v>
      </c>
      <c r="F60" s="505"/>
      <c r="G60" s="497">
        <f t="shared" ref="G60:AE60" si="69">+IFERROR((G16/G$6)*100,0)</f>
        <v>0</v>
      </c>
      <c r="H60" s="497">
        <f t="shared" si="69"/>
        <v>0</v>
      </c>
      <c r="I60" s="497">
        <f t="shared" si="69"/>
        <v>0</v>
      </c>
      <c r="J60" s="497">
        <f t="shared" si="69"/>
        <v>0</v>
      </c>
      <c r="K60" s="497">
        <f t="shared" si="69"/>
        <v>0</v>
      </c>
      <c r="L60" s="497">
        <f t="shared" si="69"/>
        <v>0</v>
      </c>
      <c r="M60" s="497">
        <f t="shared" si="69"/>
        <v>0</v>
      </c>
      <c r="N60" s="497">
        <f t="shared" si="69"/>
        <v>0</v>
      </c>
      <c r="O60" s="497">
        <f t="shared" si="69"/>
        <v>0</v>
      </c>
      <c r="P60" s="497">
        <f t="shared" si="69"/>
        <v>0</v>
      </c>
      <c r="Q60" s="497">
        <f t="shared" si="69"/>
        <v>0</v>
      </c>
      <c r="R60" s="497">
        <f t="shared" si="69"/>
        <v>0</v>
      </c>
      <c r="S60" s="497">
        <f t="shared" si="69"/>
        <v>0</v>
      </c>
      <c r="T60" s="497">
        <f t="shared" si="69"/>
        <v>0</v>
      </c>
      <c r="U60" s="497">
        <f t="shared" si="69"/>
        <v>0</v>
      </c>
      <c r="V60" s="497">
        <f t="shared" si="69"/>
        <v>0</v>
      </c>
      <c r="W60" s="497">
        <f t="shared" si="69"/>
        <v>0</v>
      </c>
      <c r="X60" s="497">
        <f t="shared" si="69"/>
        <v>0</v>
      </c>
      <c r="Y60" s="497">
        <f t="shared" si="69"/>
        <v>0</v>
      </c>
      <c r="Z60" s="497">
        <f t="shared" si="69"/>
        <v>0</v>
      </c>
      <c r="AA60" s="497">
        <f t="shared" si="69"/>
        <v>0</v>
      </c>
      <c r="AB60" s="497">
        <f t="shared" si="69"/>
        <v>0</v>
      </c>
      <c r="AC60" s="497">
        <f t="shared" si="69"/>
        <v>0</v>
      </c>
      <c r="AD60" s="497">
        <f t="shared" si="69"/>
        <v>0</v>
      </c>
      <c r="AE60" s="497">
        <f t="shared" si="69"/>
        <v>0</v>
      </c>
      <c r="AF60" s="497">
        <f t="shared" ref="AF60:AM60" si="70">+IFERROR((AF16/AF$6)*100,0)</f>
        <v>0</v>
      </c>
      <c r="AG60" s="497">
        <f t="shared" si="70"/>
        <v>0</v>
      </c>
      <c r="AH60" s="497">
        <f t="shared" si="70"/>
        <v>0</v>
      </c>
      <c r="AI60" s="497">
        <f t="shared" si="70"/>
        <v>0</v>
      </c>
      <c r="AJ60" s="497">
        <f t="shared" si="70"/>
        <v>0</v>
      </c>
      <c r="AK60" s="497">
        <f t="shared" si="70"/>
        <v>0</v>
      </c>
      <c r="AL60" s="497">
        <f t="shared" si="70"/>
        <v>0</v>
      </c>
      <c r="AM60" s="497">
        <f t="shared" si="70"/>
        <v>0</v>
      </c>
    </row>
    <row r="61" spans="1:39" s="262" customFormat="1" ht="13.95" customHeight="1">
      <c r="A61" s="311"/>
      <c r="B61" s="223" t="s">
        <v>171</v>
      </c>
      <c r="C61" s="338">
        <f t="shared" si="62"/>
        <v>0</v>
      </c>
      <c r="D61" s="338">
        <f t="shared" si="62"/>
        <v>0</v>
      </c>
      <c r="E61" s="338">
        <f t="shared" si="62"/>
        <v>0</v>
      </c>
      <c r="F61" s="500"/>
      <c r="G61" s="338">
        <f t="shared" ref="G61:AE61" si="71">+IFERROR((G17/G$6)*100,0)</f>
        <v>0</v>
      </c>
      <c r="H61" s="338">
        <f t="shared" si="71"/>
        <v>0</v>
      </c>
      <c r="I61" s="338">
        <f t="shared" si="71"/>
        <v>0</v>
      </c>
      <c r="J61" s="338">
        <f t="shared" si="71"/>
        <v>0</v>
      </c>
      <c r="K61" s="338">
        <f t="shared" si="71"/>
        <v>0</v>
      </c>
      <c r="L61" s="338">
        <f t="shared" si="71"/>
        <v>0</v>
      </c>
      <c r="M61" s="338">
        <f t="shared" si="71"/>
        <v>0</v>
      </c>
      <c r="N61" s="338">
        <f t="shared" si="71"/>
        <v>0</v>
      </c>
      <c r="O61" s="338">
        <f t="shared" si="71"/>
        <v>0</v>
      </c>
      <c r="P61" s="338">
        <f t="shared" si="71"/>
        <v>0</v>
      </c>
      <c r="Q61" s="338">
        <f t="shared" si="71"/>
        <v>0</v>
      </c>
      <c r="R61" s="338">
        <f t="shared" si="71"/>
        <v>0</v>
      </c>
      <c r="S61" s="338">
        <f t="shared" si="71"/>
        <v>0</v>
      </c>
      <c r="T61" s="338">
        <f t="shared" si="71"/>
        <v>0</v>
      </c>
      <c r="U61" s="338">
        <f t="shared" si="71"/>
        <v>0</v>
      </c>
      <c r="V61" s="338">
        <f t="shared" si="71"/>
        <v>0</v>
      </c>
      <c r="W61" s="338">
        <f t="shared" si="71"/>
        <v>0</v>
      </c>
      <c r="X61" s="338">
        <f t="shared" si="71"/>
        <v>0</v>
      </c>
      <c r="Y61" s="338">
        <f t="shared" si="71"/>
        <v>0</v>
      </c>
      <c r="Z61" s="338">
        <f t="shared" si="71"/>
        <v>0</v>
      </c>
      <c r="AA61" s="338">
        <f t="shared" si="71"/>
        <v>0</v>
      </c>
      <c r="AB61" s="338">
        <f t="shared" si="71"/>
        <v>0</v>
      </c>
      <c r="AC61" s="338">
        <f t="shared" si="71"/>
        <v>0</v>
      </c>
      <c r="AD61" s="338">
        <f t="shared" si="71"/>
        <v>0</v>
      </c>
      <c r="AE61" s="338">
        <f t="shared" si="71"/>
        <v>0</v>
      </c>
      <c r="AF61" s="338">
        <f t="shared" ref="AF61:AM61" si="72">+IFERROR((AF17/AF$6)*100,0)</f>
        <v>0</v>
      </c>
      <c r="AG61" s="338">
        <f t="shared" si="72"/>
        <v>0</v>
      </c>
      <c r="AH61" s="338">
        <f t="shared" si="72"/>
        <v>0</v>
      </c>
      <c r="AI61" s="338">
        <f t="shared" si="72"/>
        <v>0</v>
      </c>
      <c r="AJ61" s="338">
        <f t="shared" si="72"/>
        <v>0</v>
      </c>
      <c r="AK61" s="338">
        <f t="shared" si="72"/>
        <v>0</v>
      </c>
      <c r="AL61" s="338">
        <f t="shared" si="72"/>
        <v>0</v>
      </c>
      <c r="AM61" s="338">
        <f t="shared" si="72"/>
        <v>0</v>
      </c>
    </row>
    <row r="62" spans="1:39" s="262" customFormat="1" ht="13.95" customHeight="1">
      <c r="A62" s="311"/>
      <c r="B62" s="223" t="s">
        <v>49</v>
      </c>
      <c r="C62" s="338">
        <f t="shared" si="62"/>
        <v>0</v>
      </c>
      <c r="D62" s="338">
        <f t="shared" si="62"/>
        <v>0</v>
      </c>
      <c r="E62" s="338">
        <f t="shared" si="62"/>
        <v>0</v>
      </c>
      <c r="F62" s="500"/>
      <c r="G62" s="338">
        <f t="shared" ref="G62:AE62" si="73">+IFERROR((G18/G$6)*100,0)</f>
        <v>0</v>
      </c>
      <c r="H62" s="338">
        <f t="shared" si="73"/>
        <v>0</v>
      </c>
      <c r="I62" s="338">
        <f t="shared" si="73"/>
        <v>0</v>
      </c>
      <c r="J62" s="338">
        <f t="shared" si="73"/>
        <v>0</v>
      </c>
      <c r="K62" s="338">
        <f t="shared" si="73"/>
        <v>0</v>
      </c>
      <c r="L62" s="338">
        <f t="shared" si="73"/>
        <v>0</v>
      </c>
      <c r="M62" s="338">
        <f t="shared" si="73"/>
        <v>0</v>
      </c>
      <c r="N62" s="338">
        <f t="shared" si="73"/>
        <v>0</v>
      </c>
      <c r="O62" s="338">
        <f t="shared" si="73"/>
        <v>0</v>
      </c>
      <c r="P62" s="338">
        <f t="shared" si="73"/>
        <v>0</v>
      </c>
      <c r="Q62" s="338">
        <f t="shared" si="73"/>
        <v>0</v>
      </c>
      <c r="R62" s="338">
        <f t="shared" si="73"/>
        <v>0</v>
      </c>
      <c r="S62" s="338">
        <f t="shared" si="73"/>
        <v>0</v>
      </c>
      <c r="T62" s="338">
        <f t="shared" si="73"/>
        <v>0</v>
      </c>
      <c r="U62" s="338">
        <f t="shared" si="73"/>
        <v>0</v>
      </c>
      <c r="V62" s="338">
        <f t="shared" si="73"/>
        <v>0</v>
      </c>
      <c r="W62" s="338">
        <f t="shared" si="73"/>
        <v>0</v>
      </c>
      <c r="X62" s="338">
        <f t="shared" si="73"/>
        <v>0</v>
      </c>
      <c r="Y62" s="338">
        <f t="shared" si="73"/>
        <v>0</v>
      </c>
      <c r="Z62" s="338">
        <f t="shared" si="73"/>
        <v>0</v>
      </c>
      <c r="AA62" s="338">
        <f t="shared" si="73"/>
        <v>0</v>
      </c>
      <c r="AB62" s="338">
        <f t="shared" si="73"/>
        <v>0</v>
      </c>
      <c r="AC62" s="338">
        <f t="shared" si="73"/>
        <v>0</v>
      </c>
      <c r="AD62" s="338">
        <f t="shared" si="73"/>
        <v>0</v>
      </c>
      <c r="AE62" s="338">
        <f t="shared" si="73"/>
        <v>0</v>
      </c>
      <c r="AF62" s="338">
        <f t="shared" ref="AF62:AM62" si="74">+IFERROR((AF18/AF$6)*100,0)</f>
        <v>0</v>
      </c>
      <c r="AG62" s="338">
        <f t="shared" si="74"/>
        <v>0</v>
      </c>
      <c r="AH62" s="338">
        <f t="shared" si="74"/>
        <v>0</v>
      </c>
      <c r="AI62" s="338">
        <f t="shared" si="74"/>
        <v>0</v>
      </c>
      <c r="AJ62" s="338">
        <f t="shared" si="74"/>
        <v>0</v>
      </c>
      <c r="AK62" s="338">
        <f t="shared" si="74"/>
        <v>0</v>
      </c>
      <c r="AL62" s="338">
        <f t="shared" si="74"/>
        <v>0</v>
      </c>
      <c r="AM62" s="338">
        <f t="shared" si="74"/>
        <v>0</v>
      </c>
    </row>
    <row r="63" spans="1:39" s="262" customFormat="1" ht="13.95" customHeight="1">
      <c r="A63" s="311"/>
      <c r="B63" s="424" t="s">
        <v>176</v>
      </c>
      <c r="C63" s="499">
        <f t="shared" si="62"/>
        <v>0</v>
      </c>
      <c r="D63" s="499">
        <f t="shared" si="62"/>
        <v>0</v>
      </c>
      <c r="E63" s="499">
        <f t="shared" si="62"/>
        <v>0</v>
      </c>
      <c r="F63" s="500"/>
      <c r="G63" s="499">
        <f t="shared" ref="G63:AE63" si="75">+IFERROR((G19/G$6)*100,0)</f>
        <v>0</v>
      </c>
      <c r="H63" s="499">
        <f t="shared" si="75"/>
        <v>0</v>
      </c>
      <c r="I63" s="499">
        <f t="shared" si="75"/>
        <v>0</v>
      </c>
      <c r="J63" s="499">
        <f t="shared" si="75"/>
        <v>0</v>
      </c>
      <c r="K63" s="499">
        <f t="shared" si="75"/>
        <v>0</v>
      </c>
      <c r="L63" s="499">
        <f t="shared" si="75"/>
        <v>0</v>
      </c>
      <c r="M63" s="499">
        <f t="shared" si="75"/>
        <v>0</v>
      </c>
      <c r="N63" s="499">
        <f t="shared" si="75"/>
        <v>0</v>
      </c>
      <c r="O63" s="499">
        <f t="shared" si="75"/>
        <v>0</v>
      </c>
      <c r="P63" s="499">
        <f t="shared" si="75"/>
        <v>0</v>
      </c>
      <c r="Q63" s="499">
        <f t="shared" si="75"/>
        <v>0</v>
      </c>
      <c r="R63" s="499">
        <f t="shared" si="75"/>
        <v>0</v>
      </c>
      <c r="S63" s="499">
        <f t="shared" si="75"/>
        <v>0</v>
      </c>
      <c r="T63" s="499">
        <f t="shared" si="75"/>
        <v>0</v>
      </c>
      <c r="U63" s="499">
        <f t="shared" si="75"/>
        <v>0</v>
      </c>
      <c r="V63" s="499">
        <f t="shared" si="75"/>
        <v>0</v>
      </c>
      <c r="W63" s="499">
        <f t="shared" si="75"/>
        <v>0</v>
      </c>
      <c r="X63" s="499">
        <f t="shared" si="75"/>
        <v>0</v>
      </c>
      <c r="Y63" s="499">
        <f t="shared" si="75"/>
        <v>0</v>
      </c>
      <c r="Z63" s="499">
        <f t="shared" si="75"/>
        <v>0</v>
      </c>
      <c r="AA63" s="499">
        <f t="shared" si="75"/>
        <v>0</v>
      </c>
      <c r="AB63" s="499">
        <f t="shared" si="75"/>
        <v>0</v>
      </c>
      <c r="AC63" s="499">
        <f t="shared" si="75"/>
        <v>0</v>
      </c>
      <c r="AD63" s="499">
        <f t="shared" si="75"/>
        <v>0</v>
      </c>
      <c r="AE63" s="499">
        <f t="shared" si="75"/>
        <v>0</v>
      </c>
      <c r="AF63" s="499">
        <f t="shared" ref="AF63:AM63" si="76">+IFERROR((AF19/AF$6)*100,0)</f>
        <v>0</v>
      </c>
      <c r="AG63" s="499">
        <f t="shared" si="76"/>
        <v>0</v>
      </c>
      <c r="AH63" s="499">
        <f t="shared" si="76"/>
        <v>0</v>
      </c>
      <c r="AI63" s="499">
        <f t="shared" si="76"/>
        <v>0</v>
      </c>
      <c r="AJ63" s="499">
        <f t="shared" si="76"/>
        <v>0</v>
      </c>
      <c r="AK63" s="499">
        <f t="shared" si="76"/>
        <v>0</v>
      </c>
      <c r="AL63" s="499">
        <f t="shared" si="76"/>
        <v>0</v>
      </c>
      <c r="AM63" s="499">
        <f t="shared" si="76"/>
        <v>0</v>
      </c>
    </row>
    <row r="64" spans="1:39" s="264" customFormat="1" ht="13.95" customHeight="1">
      <c r="A64" s="435"/>
      <c r="B64" s="434" t="s">
        <v>172</v>
      </c>
      <c r="C64" s="497">
        <f t="shared" si="62"/>
        <v>0</v>
      </c>
      <c r="D64" s="497">
        <f t="shared" si="62"/>
        <v>0</v>
      </c>
      <c r="E64" s="497">
        <f t="shared" si="62"/>
        <v>0</v>
      </c>
      <c r="F64" s="505"/>
      <c r="G64" s="497">
        <f t="shared" ref="G64:AE64" si="77">+IFERROR((G20/G$6)*100,0)</f>
        <v>0</v>
      </c>
      <c r="H64" s="497">
        <f t="shared" si="77"/>
        <v>0</v>
      </c>
      <c r="I64" s="497">
        <f t="shared" si="77"/>
        <v>0</v>
      </c>
      <c r="J64" s="497">
        <f t="shared" si="77"/>
        <v>0</v>
      </c>
      <c r="K64" s="497">
        <f t="shared" si="77"/>
        <v>0</v>
      </c>
      <c r="L64" s="497">
        <f t="shared" si="77"/>
        <v>0</v>
      </c>
      <c r="M64" s="497">
        <f t="shared" si="77"/>
        <v>0</v>
      </c>
      <c r="N64" s="497">
        <f t="shared" si="77"/>
        <v>0</v>
      </c>
      <c r="O64" s="497">
        <f t="shared" si="77"/>
        <v>0</v>
      </c>
      <c r="P64" s="497">
        <f t="shared" si="77"/>
        <v>0</v>
      </c>
      <c r="Q64" s="497">
        <f t="shared" si="77"/>
        <v>0</v>
      </c>
      <c r="R64" s="497">
        <f t="shared" si="77"/>
        <v>0</v>
      </c>
      <c r="S64" s="497">
        <f t="shared" si="77"/>
        <v>0</v>
      </c>
      <c r="T64" s="497">
        <f t="shared" si="77"/>
        <v>0</v>
      </c>
      <c r="U64" s="497">
        <f t="shared" si="77"/>
        <v>0</v>
      </c>
      <c r="V64" s="497">
        <f t="shared" si="77"/>
        <v>0</v>
      </c>
      <c r="W64" s="497">
        <f t="shared" si="77"/>
        <v>0</v>
      </c>
      <c r="X64" s="497">
        <f t="shared" si="77"/>
        <v>0</v>
      </c>
      <c r="Y64" s="497">
        <f t="shared" si="77"/>
        <v>0</v>
      </c>
      <c r="Z64" s="497">
        <f t="shared" si="77"/>
        <v>0</v>
      </c>
      <c r="AA64" s="497">
        <f t="shared" si="77"/>
        <v>0</v>
      </c>
      <c r="AB64" s="497">
        <f t="shared" si="77"/>
        <v>0</v>
      </c>
      <c r="AC64" s="497">
        <f t="shared" si="77"/>
        <v>0</v>
      </c>
      <c r="AD64" s="497">
        <f t="shared" si="77"/>
        <v>0</v>
      </c>
      <c r="AE64" s="497">
        <f t="shared" si="77"/>
        <v>0</v>
      </c>
      <c r="AF64" s="497">
        <f t="shared" ref="AF64:AM64" si="78">+IFERROR((AF20/AF$6)*100,0)</f>
        <v>0</v>
      </c>
      <c r="AG64" s="497">
        <f t="shared" si="78"/>
        <v>0</v>
      </c>
      <c r="AH64" s="497">
        <f t="shared" si="78"/>
        <v>0</v>
      </c>
      <c r="AI64" s="497">
        <f t="shared" si="78"/>
        <v>0</v>
      </c>
      <c r="AJ64" s="497">
        <f t="shared" si="78"/>
        <v>0</v>
      </c>
      <c r="AK64" s="497">
        <f t="shared" si="78"/>
        <v>0</v>
      </c>
      <c r="AL64" s="497">
        <f t="shared" si="78"/>
        <v>0</v>
      </c>
      <c r="AM64" s="497">
        <f t="shared" si="78"/>
        <v>0</v>
      </c>
    </row>
    <row r="65" spans="1:39" s="262" customFormat="1" ht="13.95" customHeight="1">
      <c r="A65" s="311"/>
      <c r="B65" s="223" t="s">
        <v>177</v>
      </c>
      <c r="C65" s="338">
        <f t="shared" si="62"/>
        <v>0</v>
      </c>
      <c r="D65" s="338">
        <f t="shared" si="62"/>
        <v>0</v>
      </c>
      <c r="E65" s="338">
        <f t="shared" si="62"/>
        <v>0</v>
      </c>
      <c r="F65" s="500"/>
      <c r="G65" s="338">
        <f t="shared" ref="G65:AE65" si="79">+IFERROR((G21/G$6)*100,0)</f>
        <v>0</v>
      </c>
      <c r="H65" s="338">
        <f t="shared" si="79"/>
        <v>0</v>
      </c>
      <c r="I65" s="338">
        <f t="shared" si="79"/>
        <v>0</v>
      </c>
      <c r="J65" s="338">
        <f t="shared" si="79"/>
        <v>0</v>
      </c>
      <c r="K65" s="338">
        <f t="shared" si="79"/>
        <v>0</v>
      </c>
      <c r="L65" s="338">
        <f t="shared" si="79"/>
        <v>0</v>
      </c>
      <c r="M65" s="338">
        <f t="shared" si="79"/>
        <v>0</v>
      </c>
      <c r="N65" s="338">
        <f t="shared" si="79"/>
        <v>0</v>
      </c>
      <c r="O65" s="338">
        <f t="shared" si="79"/>
        <v>0</v>
      </c>
      <c r="P65" s="338">
        <f t="shared" si="79"/>
        <v>0</v>
      </c>
      <c r="Q65" s="338">
        <f t="shared" si="79"/>
        <v>0</v>
      </c>
      <c r="R65" s="338">
        <f t="shared" si="79"/>
        <v>0</v>
      </c>
      <c r="S65" s="338">
        <f t="shared" si="79"/>
        <v>0</v>
      </c>
      <c r="T65" s="338">
        <f t="shared" si="79"/>
        <v>0</v>
      </c>
      <c r="U65" s="338">
        <f t="shared" si="79"/>
        <v>0</v>
      </c>
      <c r="V65" s="338">
        <f t="shared" si="79"/>
        <v>0</v>
      </c>
      <c r="W65" s="338">
        <f t="shared" si="79"/>
        <v>0</v>
      </c>
      <c r="X65" s="338">
        <f t="shared" si="79"/>
        <v>0</v>
      </c>
      <c r="Y65" s="338">
        <f t="shared" si="79"/>
        <v>0</v>
      </c>
      <c r="Z65" s="338">
        <f t="shared" si="79"/>
        <v>0</v>
      </c>
      <c r="AA65" s="338">
        <f t="shared" si="79"/>
        <v>0</v>
      </c>
      <c r="AB65" s="338">
        <f t="shared" si="79"/>
        <v>0</v>
      </c>
      <c r="AC65" s="338">
        <f t="shared" si="79"/>
        <v>0</v>
      </c>
      <c r="AD65" s="338">
        <f t="shared" si="79"/>
        <v>0</v>
      </c>
      <c r="AE65" s="338">
        <f t="shared" si="79"/>
        <v>0</v>
      </c>
      <c r="AF65" s="338">
        <f t="shared" ref="AF65:AM65" si="80">+IFERROR((AF21/AF$6)*100,0)</f>
        <v>0</v>
      </c>
      <c r="AG65" s="338">
        <f t="shared" si="80"/>
        <v>0</v>
      </c>
      <c r="AH65" s="338">
        <f t="shared" si="80"/>
        <v>0</v>
      </c>
      <c r="AI65" s="338">
        <f t="shared" si="80"/>
        <v>0</v>
      </c>
      <c r="AJ65" s="338">
        <f t="shared" si="80"/>
        <v>0</v>
      </c>
      <c r="AK65" s="338">
        <f t="shared" si="80"/>
        <v>0</v>
      </c>
      <c r="AL65" s="338">
        <f t="shared" si="80"/>
        <v>0</v>
      </c>
      <c r="AM65" s="338">
        <f t="shared" si="80"/>
        <v>0</v>
      </c>
    </row>
    <row r="66" spans="1:39" s="262" customFormat="1" ht="13.95" customHeight="1">
      <c r="A66" s="311"/>
      <c r="B66" s="223" t="s">
        <v>181</v>
      </c>
      <c r="C66" s="338">
        <f t="shared" si="62"/>
        <v>0</v>
      </c>
      <c r="D66" s="338">
        <f t="shared" si="62"/>
        <v>0</v>
      </c>
      <c r="E66" s="338">
        <f t="shared" si="62"/>
        <v>0</v>
      </c>
      <c r="F66" s="500"/>
      <c r="G66" s="338">
        <f t="shared" ref="G66:AE66" si="81">+IFERROR((G22/G$6)*100,0)</f>
        <v>0</v>
      </c>
      <c r="H66" s="338">
        <f t="shared" si="81"/>
        <v>0</v>
      </c>
      <c r="I66" s="338">
        <f t="shared" si="81"/>
        <v>0</v>
      </c>
      <c r="J66" s="338">
        <f t="shared" si="81"/>
        <v>0</v>
      </c>
      <c r="K66" s="338">
        <f t="shared" si="81"/>
        <v>0</v>
      </c>
      <c r="L66" s="338">
        <f t="shared" si="81"/>
        <v>0</v>
      </c>
      <c r="M66" s="338">
        <f t="shared" si="81"/>
        <v>0</v>
      </c>
      <c r="N66" s="338">
        <f t="shared" si="81"/>
        <v>0</v>
      </c>
      <c r="O66" s="338">
        <f t="shared" si="81"/>
        <v>0</v>
      </c>
      <c r="P66" s="338">
        <f t="shared" si="81"/>
        <v>0</v>
      </c>
      <c r="Q66" s="338">
        <f t="shared" si="81"/>
        <v>0</v>
      </c>
      <c r="R66" s="338">
        <f t="shared" si="81"/>
        <v>0</v>
      </c>
      <c r="S66" s="338">
        <f t="shared" si="81"/>
        <v>0</v>
      </c>
      <c r="T66" s="338">
        <f t="shared" si="81"/>
        <v>0</v>
      </c>
      <c r="U66" s="338">
        <f t="shared" si="81"/>
        <v>0</v>
      </c>
      <c r="V66" s="338">
        <f t="shared" si="81"/>
        <v>0</v>
      </c>
      <c r="W66" s="338">
        <f t="shared" si="81"/>
        <v>0</v>
      </c>
      <c r="X66" s="338">
        <f t="shared" si="81"/>
        <v>0</v>
      </c>
      <c r="Y66" s="338">
        <f t="shared" si="81"/>
        <v>0</v>
      </c>
      <c r="Z66" s="338">
        <f t="shared" si="81"/>
        <v>0</v>
      </c>
      <c r="AA66" s="338">
        <f t="shared" si="81"/>
        <v>0</v>
      </c>
      <c r="AB66" s="338">
        <f t="shared" si="81"/>
        <v>0</v>
      </c>
      <c r="AC66" s="338">
        <f t="shared" si="81"/>
        <v>0</v>
      </c>
      <c r="AD66" s="338">
        <f t="shared" si="81"/>
        <v>0</v>
      </c>
      <c r="AE66" s="338">
        <f t="shared" si="81"/>
        <v>0</v>
      </c>
      <c r="AF66" s="338">
        <f t="shared" ref="AF66:AM66" si="82">+IFERROR((AF22/AF$6)*100,0)</f>
        <v>0</v>
      </c>
      <c r="AG66" s="338">
        <f t="shared" si="82"/>
        <v>0</v>
      </c>
      <c r="AH66" s="338">
        <f t="shared" si="82"/>
        <v>0</v>
      </c>
      <c r="AI66" s="338">
        <f t="shared" si="82"/>
        <v>0</v>
      </c>
      <c r="AJ66" s="338">
        <f t="shared" si="82"/>
        <v>0</v>
      </c>
      <c r="AK66" s="338">
        <f t="shared" si="82"/>
        <v>0</v>
      </c>
      <c r="AL66" s="338">
        <f t="shared" si="82"/>
        <v>0</v>
      </c>
      <c r="AM66" s="338">
        <f t="shared" si="82"/>
        <v>0</v>
      </c>
    </row>
    <row r="67" spans="1:39" s="262" customFormat="1" ht="13.95" customHeight="1">
      <c r="A67" s="311"/>
      <c r="B67" s="223" t="s">
        <v>178</v>
      </c>
      <c r="C67" s="338">
        <f t="shared" si="62"/>
        <v>0</v>
      </c>
      <c r="D67" s="338">
        <f t="shared" si="62"/>
        <v>0</v>
      </c>
      <c r="E67" s="338">
        <f t="shared" si="62"/>
        <v>0</v>
      </c>
      <c r="F67" s="500"/>
      <c r="G67" s="338">
        <f t="shared" ref="G67:AE67" si="83">+IFERROR((G23/G$6)*100,0)</f>
        <v>0</v>
      </c>
      <c r="H67" s="338">
        <f t="shared" si="83"/>
        <v>0</v>
      </c>
      <c r="I67" s="338">
        <f t="shared" si="83"/>
        <v>0</v>
      </c>
      <c r="J67" s="338">
        <f t="shared" si="83"/>
        <v>0</v>
      </c>
      <c r="K67" s="338">
        <f t="shared" si="83"/>
        <v>0</v>
      </c>
      <c r="L67" s="338">
        <f t="shared" si="83"/>
        <v>0</v>
      </c>
      <c r="M67" s="338">
        <f t="shared" si="83"/>
        <v>0</v>
      </c>
      <c r="N67" s="338">
        <f t="shared" si="83"/>
        <v>0</v>
      </c>
      <c r="O67" s="338">
        <f t="shared" si="83"/>
        <v>0</v>
      </c>
      <c r="P67" s="338">
        <f t="shared" si="83"/>
        <v>0</v>
      </c>
      <c r="Q67" s="338">
        <f t="shared" si="83"/>
        <v>0</v>
      </c>
      <c r="R67" s="338">
        <f t="shared" si="83"/>
        <v>0</v>
      </c>
      <c r="S67" s="338">
        <f t="shared" si="83"/>
        <v>0</v>
      </c>
      <c r="T67" s="338">
        <f t="shared" si="83"/>
        <v>0</v>
      </c>
      <c r="U67" s="338">
        <f t="shared" si="83"/>
        <v>0</v>
      </c>
      <c r="V67" s="338">
        <f t="shared" si="83"/>
        <v>0</v>
      </c>
      <c r="W67" s="338">
        <f t="shared" si="83"/>
        <v>0</v>
      </c>
      <c r="X67" s="338">
        <f t="shared" si="83"/>
        <v>0</v>
      </c>
      <c r="Y67" s="338">
        <f t="shared" si="83"/>
        <v>0</v>
      </c>
      <c r="Z67" s="338">
        <f t="shared" si="83"/>
        <v>0</v>
      </c>
      <c r="AA67" s="338">
        <f t="shared" si="83"/>
        <v>0</v>
      </c>
      <c r="AB67" s="338">
        <f t="shared" si="83"/>
        <v>0</v>
      </c>
      <c r="AC67" s="338">
        <f t="shared" si="83"/>
        <v>0</v>
      </c>
      <c r="AD67" s="338">
        <f t="shared" si="83"/>
        <v>0</v>
      </c>
      <c r="AE67" s="338">
        <f t="shared" si="83"/>
        <v>0</v>
      </c>
      <c r="AF67" s="338">
        <f t="shared" ref="AF67:AM67" si="84">+IFERROR((AF23/AF$6)*100,0)</f>
        <v>0</v>
      </c>
      <c r="AG67" s="338">
        <f t="shared" si="84"/>
        <v>0</v>
      </c>
      <c r="AH67" s="338">
        <f t="shared" si="84"/>
        <v>0</v>
      </c>
      <c r="AI67" s="338">
        <f t="shared" si="84"/>
        <v>0</v>
      </c>
      <c r="AJ67" s="338">
        <f t="shared" si="84"/>
        <v>0</v>
      </c>
      <c r="AK67" s="338">
        <f t="shared" si="84"/>
        <v>0</v>
      </c>
      <c r="AL67" s="338">
        <f t="shared" si="84"/>
        <v>0</v>
      </c>
      <c r="AM67" s="338">
        <f t="shared" si="84"/>
        <v>0</v>
      </c>
    </row>
    <row r="68" spans="1:39" s="262" customFormat="1" ht="13.95" customHeight="1">
      <c r="A68" s="311"/>
      <c r="B68" s="424" t="s">
        <v>179</v>
      </c>
      <c r="C68" s="499">
        <f t="shared" si="62"/>
        <v>0</v>
      </c>
      <c r="D68" s="499">
        <f t="shared" si="62"/>
        <v>0</v>
      </c>
      <c r="E68" s="499">
        <f t="shared" si="62"/>
        <v>0</v>
      </c>
      <c r="F68" s="504"/>
      <c r="G68" s="499">
        <f t="shared" ref="G68:AE68" si="85">+IFERROR((G24/G$6)*100,0)</f>
        <v>0</v>
      </c>
      <c r="H68" s="499">
        <f t="shared" si="85"/>
        <v>0</v>
      </c>
      <c r="I68" s="499">
        <f t="shared" si="85"/>
        <v>0</v>
      </c>
      <c r="J68" s="499">
        <f t="shared" si="85"/>
        <v>0</v>
      </c>
      <c r="K68" s="499">
        <f t="shared" si="85"/>
        <v>0</v>
      </c>
      <c r="L68" s="499">
        <f t="shared" si="85"/>
        <v>0</v>
      </c>
      <c r="M68" s="499">
        <f t="shared" si="85"/>
        <v>0</v>
      </c>
      <c r="N68" s="499">
        <f t="shared" si="85"/>
        <v>0</v>
      </c>
      <c r="O68" s="499">
        <f t="shared" si="85"/>
        <v>0</v>
      </c>
      <c r="P68" s="499">
        <f t="shared" si="85"/>
        <v>0</v>
      </c>
      <c r="Q68" s="499">
        <f t="shared" si="85"/>
        <v>0</v>
      </c>
      <c r="R68" s="499">
        <f t="shared" si="85"/>
        <v>0</v>
      </c>
      <c r="S68" s="499">
        <f t="shared" si="85"/>
        <v>0</v>
      </c>
      <c r="T68" s="499">
        <f t="shared" si="85"/>
        <v>0</v>
      </c>
      <c r="U68" s="499">
        <f t="shared" si="85"/>
        <v>0</v>
      </c>
      <c r="V68" s="499">
        <f t="shared" si="85"/>
        <v>0</v>
      </c>
      <c r="W68" s="499">
        <f t="shared" si="85"/>
        <v>0</v>
      </c>
      <c r="X68" s="499">
        <f t="shared" si="85"/>
        <v>0</v>
      </c>
      <c r="Y68" s="499">
        <f t="shared" si="85"/>
        <v>0</v>
      </c>
      <c r="Z68" s="499">
        <f t="shared" si="85"/>
        <v>0</v>
      </c>
      <c r="AA68" s="499">
        <f t="shared" si="85"/>
        <v>0</v>
      </c>
      <c r="AB68" s="499">
        <f t="shared" si="85"/>
        <v>0</v>
      </c>
      <c r="AC68" s="499">
        <f t="shared" si="85"/>
        <v>0</v>
      </c>
      <c r="AD68" s="499">
        <f t="shared" si="85"/>
        <v>0</v>
      </c>
      <c r="AE68" s="499">
        <f t="shared" si="85"/>
        <v>0</v>
      </c>
      <c r="AF68" s="499">
        <f t="shared" ref="AF68:AM68" si="86">+IFERROR((AF24/AF$6)*100,0)</f>
        <v>0</v>
      </c>
      <c r="AG68" s="499">
        <f t="shared" si="86"/>
        <v>0</v>
      </c>
      <c r="AH68" s="499">
        <f t="shared" si="86"/>
        <v>0</v>
      </c>
      <c r="AI68" s="499">
        <f t="shared" si="86"/>
        <v>0</v>
      </c>
      <c r="AJ68" s="499">
        <f t="shared" si="86"/>
        <v>0</v>
      </c>
      <c r="AK68" s="499">
        <f t="shared" si="86"/>
        <v>0</v>
      </c>
      <c r="AL68" s="499">
        <f t="shared" si="86"/>
        <v>0</v>
      </c>
      <c r="AM68" s="499">
        <f t="shared" si="86"/>
        <v>0</v>
      </c>
    </row>
    <row r="69" spans="1:39" s="262" customFormat="1" ht="13.95" customHeight="1">
      <c r="A69" s="311"/>
      <c r="B69" s="434" t="s">
        <v>180</v>
      </c>
      <c r="C69" s="497">
        <f t="shared" si="62"/>
        <v>0</v>
      </c>
      <c r="D69" s="497">
        <f t="shared" si="62"/>
        <v>0</v>
      </c>
      <c r="E69" s="497">
        <f t="shared" si="62"/>
        <v>0</v>
      </c>
      <c r="F69" s="500"/>
      <c r="G69" s="338">
        <f t="shared" ref="G69:AE69" si="87">+IFERROR((G25/G$6)*100,0)</f>
        <v>0</v>
      </c>
      <c r="H69" s="338">
        <f t="shared" si="87"/>
        <v>0</v>
      </c>
      <c r="I69" s="338">
        <f t="shared" si="87"/>
        <v>0</v>
      </c>
      <c r="J69" s="338">
        <f t="shared" si="87"/>
        <v>0</v>
      </c>
      <c r="K69" s="338">
        <f t="shared" si="87"/>
        <v>0</v>
      </c>
      <c r="L69" s="338">
        <f t="shared" si="87"/>
        <v>0</v>
      </c>
      <c r="M69" s="338">
        <f t="shared" si="87"/>
        <v>0</v>
      </c>
      <c r="N69" s="338">
        <f t="shared" si="87"/>
        <v>0</v>
      </c>
      <c r="O69" s="338">
        <f t="shared" si="87"/>
        <v>0</v>
      </c>
      <c r="P69" s="338">
        <f t="shared" si="87"/>
        <v>0</v>
      </c>
      <c r="Q69" s="338">
        <f t="shared" si="87"/>
        <v>0</v>
      </c>
      <c r="R69" s="338">
        <f t="shared" si="87"/>
        <v>0</v>
      </c>
      <c r="S69" s="338">
        <f t="shared" si="87"/>
        <v>0</v>
      </c>
      <c r="T69" s="338">
        <f t="shared" si="87"/>
        <v>0</v>
      </c>
      <c r="U69" s="338">
        <f t="shared" si="87"/>
        <v>0</v>
      </c>
      <c r="V69" s="338">
        <f t="shared" si="87"/>
        <v>0</v>
      </c>
      <c r="W69" s="338">
        <f t="shared" si="87"/>
        <v>0</v>
      </c>
      <c r="X69" s="338">
        <f t="shared" si="87"/>
        <v>0</v>
      </c>
      <c r="Y69" s="338">
        <f t="shared" si="87"/>
        <v>0</v>
      </c>
      <c r="Z69" s="338">
        <f t="shared" si="87"/>
        <v>0</v>
      </c>
      <c r="AA69" s="338">
        <f t="shared" si="87"/>
        <v>0</v>
      </c>
      <c r="AB69" s="338">
        <f t="shared" si="87"/>
        <v>0</v>
      </c>
      <c r="AC69" s="338">
        <f t="shared" si="87"/>
        <v>0</v>
      </c>
      <c r="AD69" s="338">
        <f t="shared" si="87"/>
        <v>0</v>
      </c>
      <c r="AE69" s="338">
        <f t="shared" si="87"/>
        <v>0</v>
      </c>
      <c r="AF69" s="338">
        <f t="shared" ref="AF69:AM69" si="88">+IFERROR((AF25/AF$6)*100,0)</f>
        <v>0</v>
      </c>
      <c r="AG69" s="338">
        <f t="shared" si="88"/>
        <v>0</v>
      </c>
      <c r="AH69" s="338">
        <f t="shared" si="88"/>
        <v>0</v>
      </c>
      <c r="AI69" s="338">
        <f t="shared" si="88"/>
        <v>0</v>
      </c>
      <c r="AJ69" s="338">
        <f t="shared" si="88"/>
        <v>0</v>
      </c>
      <c r="AK69" s="338">
        <f t="shared" si="88"/>
        <v>0</v>
      </c>
      <c r="AL69" s="338">
        <f t="shared" si="88"/>
        <v>0</v>
      </c>
      <c r="AM69" s="338">
        <f t="shared" si="88"/>
        <v>0</v>
      </c>
    </row>
    <row r="70" spans="1:39" s="265" customFormat="1" ht="13.95" customHeight="1">
      <c r="A70" s="311"/>
      <c r="B70" s="223" t="s">
        <v>0</v>
      </c>
      <c r="C70" s="338">
        <f t="shared" si="62"/>
        <v>0</v>
      </c>
      <c r="D70" s="338">
        <f t="shared" si="62"/>
        <v>0</v>
      </c>
      <c r="E70" s="338">
        <f t="shared" si="62"/>
        <v>0</v>
      </c>
      <c r="F70" s="500"/>
      <c r="G70" s="338">
        <f t="shared" ref="G70:AE70" si="89">+IFERROR((G26/G$6)*100,0)</f>
        <v>0</v>
      </c>
      <c r="H70" s="338">
        <f t="shared" si="89"/>
        <v>0</v>
      </c>
      <c r="I70" s="338">
        <f t="shared" si="89"/>
        <v>0</v>
      </c>
      <c r="J70" s="338">
        <f t="shared" si="89"/>
        <v>0</v>
      </c>
      <c r="K70" s="338">
        <f t="shared" si="89"/>
        <v>0</v>
      </c>
      <c r="L70" s="338">
        <f t="shared" si="89"/>
        <v>0</v>
      </c>
      <c r="M70" s="338">
        <f t="shared" si="89"/>
        <v>0</v>
      </c>
      <c r="N70" s="338">
        <f t="shared" si="89"/>
        <v>0</v>
      </c>
      <c r="O70" s="338">
        <f t="shared" si="89"/>
        <v>0</v>
      </c>
      <c r="P70" s="338">
        <f t="shared" si="89"/>
        <v>0</v>
      </c>
      <c r="Q70" s="338">
        <f t="shared" si="89"/>
        <v>0</v>
      </c>
      <c r="R70" s="338">
        <f t="shared" si="89"/>
        <v>0</v>
      </c>
      <c r="S70" s="338">
        <f t="shared" si="89"/>
        <v>0</v>
      </c>
      <c r="T70" s="338">
        <f t="shared" si="89"/>
        <v>0</v>
      </c>
      <c r="U70" s="338">
        <f t="shared" si="89"/>
        <v>0</v>
      </c>
      <c r="V70" s="338">
        <f t="shared" si="89"/>
        <v>0</v>
      </c>
      <c r="W70" s="338">
        <f t="shared" si="89"/>
        <v>0</v>
      </c>
      <c r="X70" s="338">
        <f t="shared" si="89"/>
        <v>0</v>
      </c>
      <c r="Y70" s="338">
        <f t="shared" si="89"/>
        <v>0</v>
      </c>
      <c r="Z70" s="338">
        <f t="shared" si="89"/>
        <v>0</v>
      </c>
      <c r="AA70" s="338">
        <f t="shared" si="89"/>
        <v>0</v>
      </c>
      <c r="AB70" s="338">
        <f t="shared" si="89"/>
        <v>0</v>
      </c>
      <c r="AC70" s="338">
        <f t="shared" si="89"/>
        <v>0</v>
      </c>
      <c r="AD70" s="338">
        <f t="shared" si="89"/>
        <v>0</v>
      </c>
      <c r="AE70" s="338">
        <f t="shared" si="89"/>
        <v>0</v>
      </c>
      <c r="AF70" s="338">
        <f t="shared" ref="AF70:AM70" si="90">+IFERROR((AF26/AF$6)*100,0)</f>
        <v>0</v>
      </c>
      <c r="AG70" s="338">
        <f t="shared" si="90"/>
        <v>0</v>
      </c>
      <c r="AH70" s="338">
        <f t="shared" si="90"/>
        <v>0</v>
      </c>
      <c r="AI70" s="338">
        <f t="shared" si="90"/>
        <v>0</v>
      </c>
      <c r="AJ70" s="338">
        <f t="shared" si="90"/>
        <v>0</v>
      </c>
      <c r="AK70" s="338">
        <f t="shared" si="90"/>
        <v>0</v>
      </c>
      <c r="AL70" s="338">
        <f t="shared" si="90"/>
        <v>0</v>
      </c>
      <c r="AM70" s="338">
        <f t="shared" si="90"/>
        <v>0</v>
      </c>
    </row>
    <row r="71" spans="1:39" s="428" customFormat="1" ht="13.95" customHeight="1">
      <c r="A71" s="426"/>
      <c r="B71" s="223" t="s">
        <v>1</v>
      </c>
      <c r="C71" s="338">
        <f t="shared" si="62"/>
        <v>0</v>
      </c>
      <c r="D71" s="338">
        <f t="shared" si="62"/>
        <v>0</v>
      </c>
      <c r="E71" s="338">
        <f t="shared" si="62"/>
        <v>0</v>
      </c>
      <c r="F71" s="500"/>
      <c r="G71" s="338">
        <f t="shared" ref="G71:AE71" si="91">+IFERROR((G27/G$6)*100,0)</f>
        <v>0</v>
      </c>
      <c r="H71" s="338">
        <f t="shared" si="91"/>
        <v>0</v>
      </c>
      <c r="I71" s="338">
        <f t="shared" si="91"/>
        <v>0</v>
      </c>
      <c r="J71" s="338">
        <f t="shared" si="91"/>
        <v>0</v>
      </c>
      <c r="K71" s="338">
        <f t="shared" si="91"/>
        <v>0</v>
      </c>
      <c r="L71" s="338">
        <f t="shared" si="91"/>
        <v>0</v>
      </c>
      <c r="M71" s="338">
        <f t="shared" si="91"/>
        <v>0</v>
      </c>
      <c r="N71" s="338">
        <f t="shared" si="91"/>
        <v>0</v>
      </c>
      <c r="O71" s="338">
        <f t="shared" si="91"/>
        <v>0</v>
      </c>
      <c r="P71" s="338">
        <f t="shared" si="91"/>
        <v>0</v>
      </c>
      <c r="Q71" s="338">
        <f t="shared" si="91"/>
        <v>0</v>
      </c>
      <c r="R71" s="338">
        <f t="shared" si="91"/>
        <v>0</v>
      </c>
      <c r="S71" s="338">
        <f t="shared" si="91"/>
        <v>0</v>
      </c>
      <c r="T71" s="338">
        <f t="shared" si="91"/>
        <v>0</v>
      </c>
      <c r="U71" s="338">
        <f t="shared" si="91"/>
        <v>0</v>
      </c>
      <c r="V71" s="338">
        <f t="shared" si="91"/>
        <v>0</v>
      </c>
      <c r="W71" s="338">
        <f t="shared" si="91"/>
        <v>0</v>
      </c>
      <c r="X71" s="338">
        <f t="shared" si="91"/>
        <v>0</v>
      </c>
      <c r="Y71" s="338">
        <f t="shared" si="91"/>
        <v>0</v>
      </c>
      <c r="Z71" s="338">
        <f t="shared" si="91"/>
        <v>0</v>
      </c>
      <c r="AA71" s="338">
        <f t="shared" si="91"/>
        <v>0</v>
      </c>
      <c r="AB71" s="338">
        <f t="shared" si="91"/>
        <v>0</v>
      </c>
      <c r="AC71" s="338">
        <f t="shared" si="91"/>
        <v>0</v>
      </c>
      <c r="AD71" s="338">
        <f t="shared" si="91"/>
        <v>0</v>
      </c>
      <c r="AE71" s="338">
        <f t="shared" si="91"/>
        <v>0</v>
      </c>
      <c r="AF71" s="338">
        <f t="shared" ref="AF71:AM71" si="92">+IFERROR((AF27/AF$6)*100,0)</f>
        <v>0</v>
      </c>
      <c r="AG71" s="338">
        <f t="shared" si="92"/>
        <v>0</v>
      </c>
      <c r="AH71" s="338">
        <f t="shared" si="92"/>
        <v>0</v>
      </c>
      <c r="AI71" s="338">
        <f t="shared" si="92"/>
        <v>0</v>
      </c>
      <c r="AJ71" s="338">
        <f t="shared" si="92"/>
        <v>0</v>
      </c>
      <c r="AK71" s="338">
        <f t="shared" si="92"/>
        <v>0</v>
      </c>
      <c r="AL71" s="338">
        <f t="shared" si="92"/>
        <v>0</v>
      </c>
      <c r="AM71" s="338">
        <f t="shared" si="92"/>
        <v>0</v>
      </c>
    </row>
    <row r="72" spans="1:39" s="428" customFormat="1" ht="13.95" customHeight="1" outlineLevel="1">
      <c r="A72" s="426"/>
      <c r="B72" s="531" t="s">
        <v>211</v>
      </c>
      <c r="C72" s="338">
        <f t="shared" si="62"/>
        <v>0</v>
      </c>
      <c r="D72" s="338">
        <f t="shared" si="62"/>
        <v>0</v>
      </c>
      <c r="E72" s="338">
        <f t="shared" si="62"/>
        <v>0</v>
      </c>
      <c r="F72" s="500"/>
      <c r="G72" s="338">
        <f t="shared" ref="G72:AE72" si="93">+IFERROR((G28/G$6)*100,0)</f>
        <v>0</v>
      </c>
      <c r="H72" s="338">
        <f t="shared" si="93"/>
        <v>0</v>
      </c>
      <c r="I72" s="338">
        <f t="shared" si="93"/>
        <v>0</v>
      </c>
      <c r="J72" s="338">
        <f t="shared" si="93"/>
        <v>0</v>
      </c>
      <c r="K72" s="338">
        <f t="shared" si="93"/>
        <v>0</v>
      </c>
      <c r="L72" s="338">
        <f t="shared" si="93"/>
        <v>0</v>
      </c>
      <c r="M72" s="338">
        <f t="shared" si="93"/>
        <v>0</v>
      </c>
      <c r="N72" s="338">
        <f t="shared" si="93"/>
        <v>0</v>
      </c>
      <c r="O72" s="338">
        <f t="shared" si="93"/>
        <v>0</v>
      </c>
      <c r="P72" s="338">
        <f t="shared" si="93"/>
        <v>0</v>
      </c>
      <c r="Q72" s="338">
        <f t="shared" si="93"/>
        <v>0</v>
      </c>
      <c r="R72" s="338">
        <f t="shared" si="93"/>
        <v>0</v>
      </c>
      <c r="S72" s="338">
        <f t="shared" si="93"/>
        <v>0</v>
      </c>
      <c r="T72" s="338">
        <f t="shared" si="93"/>
        <v>0</v>
      </c>
      <c r="U72" s="338">
        <f t="shared" si="93"/>
        <v>0</v>
      </c>
      <c r="V72" s="338">
        <f t="shared" si="93"/>
        <v>0</v>
      </c>
      <c r="W72" s="338">
        <f t="shared" si="93"/>
        <v>0</v>
      </c>
      <c r="X72" s="338">
        <f t="shared" si="93"/>
        <v>0</v>
      </c>
      <c r="Y72" s="338">
        <f t="shared" si="93"/>
        <v>0</v>
      </c>
      <c r="Z72" s="338">
        <f t="shared" si="93"/>
        <v>0</v>
      </c>
      <c r="AA72" s="338">
        <f t="shared" si="93"/>
        <v>0</v>
      </c>
      <c r="AB72" s="338">
        <f t="shared" si="93"/>
        <v>0</v>
      </c>
      <c r="AC72" s="338">
        <f t="shared" si="93"/>
        <v>0</v>
      </c>
      <c r="AD72" s="338">
        <f t="shared" si="93"/>
        <v>0</v>
      </c>
      <c r="AE72" s="338">
        <f t="shared" si="93"/>
        <v>0</v>
      </c>
      <c r="AF72" s="338">
        <f t="shared" ref="AF72:AM72" si="94">+IFERROR((AF28/AF$6)*100,0)</f>
        <v>0</v>
      </c>
      <c r="AG72" s="338">
        <f t="shared" si="94"/>
        <v>0</v>
      </c>
      <c r="AH72" s="338">
        <f t="shared" si="94"/>
        <v>0</v>
      </c>
      <c r="AI72" s="338">
        <f t="shared" si="94"/>
        <v>0</v>
      </c>
      <c r="AJ72" s="338">
        <f t="shared" si="94"/>
        <v>0</v>
      </c>
      <c r="AK72" s="338">
        <f t="shared" si="94"/>
        <v>0</v>
      </c>
      <c r="AL72" s="338">
        <f t="shared" si="94"/>
        <v>0</v>
      </c>
      <c r="AM72" s="338">
        <f t="shared" si="94"/>
        <v>0</v>
      </c>
    </row>
    <row r="73" spans="1:39" s="428" customFormat="1" ht="13.95" customHeight="1" outlineLevel="1">
      <c r="A73" s="426"/>
      <c r="B73" s="531" t="s">
        <v>212</v>
      </c>
      <c r="C73" s="338">
        <f t="shared" si="62"/>
        <v>0</v>
      </c>
      <c r="D73" s="338">
        <f t="shared" si="62"/>
        <v>0</v>
      </c>
      <c r="E73" s="338">
        <f t="shared" si="62"/>
        <v>0</v>
      </c>
      <c r="F73" s="500"/>
      <c r="G73" s="338">
        <f t="shared" ref="G73:AE73" si="95">+IFERROR((G29/G$6)*100,0)</f>
        <v>0</v>
      </c>
      <c r="H73" s="338">
        <f t="shared" si="95"/>
        <v>0</v>
      </c>
      <c r="I73" s="338">
        <f t="shared" si="95"/>
        <v>0</v>
      </c>
      <c r="J73" s="338">
        <f t="shared" si="95"/>
        <v>0</v>
      </c>
      <c r="K73" s="338">
        <f t="shared" si="95"/>
        <v>0</v>
      </c>
      <c r="L73" s="338">
        <f t="shared" si="95"/>
        <v>0</v>
      </c>
      <c r="M73" s="338">
        <f t="shared" si="95"/>
        <v>0</v>
      </c>
      <c r="N73" s="338">
        <f t="shared" si="95"/>
        <v>0</v>
      </c>
      <c r="O73" s="338">
        <f t="shared" si="95"/>
        <v>0</v>
      </c>
      <c r="P73" s="338">
        <f t="shared" si="95"/>
        <v>0</v>
      </c>
      <c r="Q73" s="338">
        <f t="shared" si="95"/>
        <v>0</v>
      </c>
      <c r="R73" s="338">
        <f t="shared" si="95"/>
        <v>0</v>
      </c>
      <c r="S73" s="338">
        <f t="shared" si="95"/>
        <v>0</v>
      </c>
      <c r="T73" s="338">
        <f t="shared" si="95"/>
        <v>0</v>
      </c>
      <c r="U73" s="338">
        <f t="shared" si="95"/>
        <v>0</v>
      </c>
      <c r="V73" s="338">
        <f t="shared" si="95"/>
        <v>0</v>
      </c>
      <c r="W73" s="338">
        <f t="shared" si="95"/>
        <v>0</v>
      </c>
      <c r="X73" s="338">
        <f t="shared" si="95"/>
        <v>0</v>
      </c>
      <c r="Y73" s="338">
        <f t="shared" si="95"/>
        <v>0</v>
      </c>
      <c r="Z73" s="338">
        <f t="shared" si="95"/>
        <v>0</v>
      </c>
      <c r="AA73" s="338">
        <f t="shared" si="95"/>
        <v>0</v>
      </c>
      <c r="AB73" s="338">
        <f t="shared" si="95"/>
        <v>0</v>
      </c>
      <c r="AC73" s="338">
        <f t="shared" si="95"/>
        <v>0</v>
      </c>
      <c r="AD73" s="338">
        <f t="shared" si="95"/>
        <v>0</v>
      </c>
      <c r="AE73" s="338">
        <f t="shared" si="95"/>
        <v>0</v>
      </c>
      <c r="AF73" s="338">
        <f t="shared" ref="AF73:AM73" si="96">+IFERROR((AF29/AF$6)*100,0)</f>
        <v>0</v>
      </c>
      <c r="AG73" s="338">
        <f t="shared" si="96"/>
        <v>0</v>
      </c>
      <c r="AH73" s="338">
        <f t="shared" si="96"/>
        <v>0</v>
      </c>
      <c r="AI73" s="338">
        <f t="shared" si="96"/>
        <v>0</v>
      </c>
      <c r="AJ73" s="338">
        <f t="shared" si="96"/>
        <v>0</v>
      </c>
      <c r="AK73" s="338">
        <f t="shared" si="96"/>
        <v>0</v>
      </c>
      <c r="AL73" s="338">
        <f t="shared" si="96"/>
        <v>0</v>
      </c>
      <c r="AM73" s="338">
        <f t="shared" si="96"/>
        <v>0</v>
      </c>
    </row>
    <row r="74" spans="1:39" s="428" customFormat="1" ht="13.95" customHeight="1" outlineLevel="1">
      <c r="A74" s="426"/>
      <c r="B74" s="531" t="s">
        <v>213</v>
      </c>
      <c r="C74" s="338">
        <f t="shared" si="62"/>
        <v>0</v>
      </c>
      <c r="D74" s="338">
        <f t="shared" si="62"/>
        <v>0</v>
      </c>
      <c r="E74" s="338">
        <f t="shared" si="62"/>
        <v>0</v>
      </c>
      <c r="F74" s="500"/>
      <c r="G74" s="338">
        <f t="shared" ref="G74:AE74" si="97">+IFERROR((G30/G$6)*100,0)</f>
        <v>0</v>
      </c>
      <c r="H74" s="338">
        <f t="shared" si="97"/>
        <v>0</v>
      </c>
      <c r="I74" s="338">
        <f t="shared" si="97"/>
        <v>0</v>
      </c>
      <c r="J74" s="338">
        <f t="shared" si="97"/>
        <v>0</v>
      </c>
      <c r="K74" s="338">
        <f t="shared" si="97"/>
        <v>0</v>
      </c>
      <c r="L74" s="338">
        <f t="shared" si="97"/>
        <v>0</v>
      </c>
      <c r="M74" s="338">
        <f t="shared" si="97"/>
        <v>0</v>
      </c>
      <c r="N74" s="338">
        <f t="shared" si="97"/>
        <v>0</v>
      </c>
      <c r="O74" s="338">
        <f t="shared" si="97"/>
        <v>0</v>
      </c>
      <c r="P74" s="338">
        <f t="shared" si="97"/>
        <v>0</v>
      </c>
      <c r="Q74" s="338">
        <f t="shared" si="97"/>
        <v>0</v>
      </c>
      <c r="R74" s="338">
        <f t="shared" si="97"/>
        <v>0</v>
      </c>
      <c r="S74" s="338">
        <f t="shared" si="97"/>
        <v>0</v>
      </c>
      <c r="T74" s="338">
        <f t="shared" si="97"/>
        <v>0</v>
      </c>
      <c r="U74" s="338">
        <f t="shared" si="97"/>
        <v>0</v>
      </c>
      <c r="V74" s="338">
        <f t="shared" si="97"/>
        <v>0</v>
      </c>
      <c r="W74" s="338">
        <f t="shared" si="97"/>
        <v>0</v>
      </c>
      <c r="X74" s="338">
        <f t="shared" si="97"/>
        <v>0</v>
      </c>
      <c r="Y74" s="338">
        <f t="shared" si="97"/>
        <v>0</v>
      </c>
      <c r="Z74" s="338">
        <f t="shared" si="97"/>
        <v>0</v>
      </c>
      <c r="AA74" s="338">
        <f t="shared" si="97"/>
        <v>0</v>
      </c>
      <c r="AB74" s="338">
        <f t="shared" si="97"/>
        <v>0</v>
      </c>
      <c r="AC74" s="338">
        <f t="shared" si="97"/>
        <v>0</v>
      </c>
      <c r="AD74" s="338">
        <f t="shared" si="97"/>
        <v>0</v>
      </c>
      <c r="AE74" s="338">
        <f t="shared" si="97"/>
        <v>0</v>
      </c>
      <c r="AF74" s="338">
        <f t="shared" ref="AF74:AM74" si="98">+IFERROR((AF30/AF$6)*100,0)</f>
        <v>0</v>
      </c>
      <c r="AG74" s="338">
        <f t="shared" si="98"/>
        <v>0</v>
      </c>
      <c r="AH74" s="338">
        <f t="shared" si="98"/>
        <v>0</v>
      </c>
      <c r="AI74" s="338">
        <f t="shared" si="98"/>
        <v>0</v>
      </c>
      <c r="AJ74" s="338">
        <f t="shared" si="98"/>
        <v>0</v>
      </c>
      <c r="AK74" s="338">
        <f t="shared" si="98"/>
        <v>0</v>
      </c>
      <c r="AL74" s="338">
        <f t="shared" si="98"/>
        <v>0</v>
      </c>
      <c r="AM74" s="338">
        <f t="shared" si="98"/>
        <v>0</v>
      </c>
    </row>
    <row r="75" spans="1:39" s="428" customFormat="1" ht="13.95" customHeight="1" outlineLevel="1">
      <c r="A75" s="426"/>
      <c r="B75" s="531" t="s">
        <v>214</v>
      </c>
      <c r="C75" s="338">
        <f t="shared" si="62"/>
        <v>0</v>
      </c>
      <c r="D75" s="338">
        <f t="shared" si="62"/>
        <v>0</v>
      </c>
      <c r="E75" s="338">
        <f t="shared" si="62"/>
        <v>0</v>
      </c>
      <c r="F75" s="500"/>
      <c r="G75" s="338">
        <f t="shared" ref="G75:AE75" si="99">+IFERROR((G31/G$6)*100,0)</f>
        <v>0</v>
      </c>
      <c r="H75" s="338">
        <f t="shared" si="99"/>
        <v>0</v>
      </c>
      <c r="I75" s="338">
        <f t="shared" si="99"/>
        <v>0</v>
      </c>
      <c r="J75" s="338">
        <f t="shared" si="99"/>
        <v>0</v>
      </c>
      <c r="K75" s="338">
        <f t="shared" si="99"/>
        <v>0</v>
      </c>
      <c r="L75" s="338">
        <f t="shared" si="99"/>
        <v>0</v>
      </c>
      <c r="M75" s="338">
        <f t="shared" si="99"/>
        <v>0</v>
      </c>
      <c r="N75" s="338">
        <f t="shared" si="99"/>
        <v>0</v>
      </c>
      <c r="O75" s="338">
        <f t="shared" si="99"/>
        <v>0</v>
      </c>
      <c r="P75" s="338">
        <f t="shared" si="99"/>
        <v>0</v>
      </c>
      <c r="Q75" s="338">
        <f t="shared" si="99"/>
        <v>0</v>
      </c>
      <c r="R75" s="338">
        <f t="shared" si="99"/>
        <v>0</v>
      </c>
      <c r="S75" s="338">
        <f t="shared" si="99"/>
        <v>0</v>
      </c>
      <c r="T75" s="338">
        <f t="shared" si="99"/>
        <v>0</v>
      </c>
      <c r="U75" s="338">
        <f t="shared" si="99"/>
        <v>0</v>
      </c>
      <c r="V75" s="338">
        <f t="shared" si="99"/>
        <v>0</v>
      </c>
      <c r="W75" s="338">
        <f t="shared" si="99"/>
        <v>0</v>
      </c>
      <c r="X75" s="338">
        <f t="shared" si="99"/>
        <v>0</v>
      </c>
      <c r="Y75" s="338">
        <f t="shared" si="99"/>
        <v>0</v>
      </c>
      <c r="Z75" s="338">
        <f t="shared" si="99"/>
        <v>0</v>
      </c>
      <c r="AA75" s="338">
        <f t="shared" si="99"/>
        <v>0</v>
      </c>
      <c r="AB75" s="338">
        <f t="shared" si="99"/>
        <v>0</v>
      </c>
      <c r="AC75" s="338">
        <f t="shared" si="99"/>
        <v>0</v>
      </c>
      <c r="AD75" s="338">
        <f t="shared" si="99"/>
        <v>0</v>
      </c>
      <c r="AE75" s="338">
        <f t="shared" si="99"/>
        <v>0</v>
      </c>
      <c r="AF75" s="338">
        <f t="shared" ref="AF75:AM75" si="100">+IFERROR((AF31/AF$6)*100,0)</f>
        <v>0</v>
      </c>
      <c r="AG75" s="338">
        <f t="shared" si="100"/>
        <v>0</v>
      </c>
      <c r="AH75" s="338">
        <f t="shared" si="100"/>
        <v>0</v>
      </c>
      <c r="AI75" s="338">
        <f t="shared" si="100"/>
        <v>0</v>
      </c>
      <c r="AJ75" s="338">
        <f t="shared" si="100"/>
        <v>0</v>
      </c>
      <c r="AK75" s="338">
        <f t="shared" si="100"/>
        <v>0</v>
      </c>
      <c r="AL75" s="338">
        <f t="shared" si="100"/>
        <v>0</v>
      </c>
      <c r="AM75" s="338">
        <f t="shared" si="100"/>
        <v>0</v>
      </c>
    </row>
    <row r="76" spans="1:39" s="428" customFormat="1" ht="13.95" customHeight="1" outlineLevel="1">
      <c r="A76" s="426"/>
      <c r="B76" s="531" t="s">
        <v>215</v>
      </c>
      <c r="C76" s="338">
        <f t="shared" si="62"/>
        <v>0</v>
      </c>
      <c r="D76" s="338">
        <f t="shared" si="62"/>
        <v>0</v>
      </c>
      <c r="E76" s="338">
        <f t="shared" si="62"/>
        <v>0</v>
      </c>
      <c r="F76" s="500"/>
      <c r="G76" s="338">
        <f t="shared" ref="G76:AE76" si="101">+IFERROR((G32/G$6)*100,0)</f>
        <v>0</v>
      </c>
      <c r="H76" s="338">
        <f t="shared" si="101"/>
        <v>0</v>
      </c>
      <c r="I76" s="338">
        <f t="shared" si="101"/>
        <v>0</v>
      </c>
      <c r="J76" s="338">
        <f t="shared" si="101"/>
        <v>0</v>
      </c>
      <c r="K76" s="338">
        <f t="shared" si="101"/>
        <v>0</v>
      </c>
      <c r="L76" s="338">
        <f t="shared" si="101"/>
        <v>0</v>
      </c>
      <c r="M76" s="338">
        <f t="shared" si="101"/>
        <v>0</v>
      </c>
      <c r="N76" s="338">
        <f t="shared" si="101"/>
        <v>0</v>
      </c>
      <c r="O76" s="338">
        <f t="shared" si="101"/>
        <v>0</v>
      </c>
      <c r="P76" s="338">
        <f t="shared" si="101"/>
        <v>0</v>
      </c>
      <c r="Q76" s="338">
        <f t="shared" si="101"/>
        <v>0</v>
      </c>
      <c r="R76" s="338">
        <f t="shared" si="101"/>
        <v>0</v>
      </c>
      <c r="S76" s="338">
        <f t="shared" si="101"/>
        <v>0</v>
      </c>
      <c r="T76" s="338">
        <f t="shared" si="101"/>
        <v>0</v>
      </c>
      <c r="U76" s="338">
        <f t="shared" si="101"/>
        <v>0</v>
      </c>
      <c r="V76" s="338">
        <f t="shared" si="101"/>
        <v>0</v>
      </c>
      <c r="W76" s="338">
        <f t="shared" si="101"/>
        <v>0</v>
      </c>
      <c r="X76" s="338">
        <f t="shared" si="101"/>
        <v>0</v>
      </c>
      <c r="Y76" s="338">
        <f t="shared" si="101"/>
        <v>0</v>
      </c>
      <c r="Z76" s="338">
        <f t="shared" si="101"/>
        <v>0</v>
      </c>
      <c r="AA76" s="338">
        <f t="shared" si="101"/>
        <v>0</v>
      </c>
      <c r="AB76" s="338">
        <f t="shared" si="101"/>
        <v>0</v>
      </c>
      <c r="AC76" s="338">
        <f t="shared" si="101"/>
        <v>0</v>
      </c>
      <c r="AD76" s="338">
        <f t="shared" si="101"/>
        <v>0</v>
      </c>
      <c r="AE76" s="338">
        <f t="shared" si="101"/>
        <v>0</v>
      </c>
      <c r="AF76" s="338">
        <f t="shared" ref="AF76:AM76" si="102">+IFERROR((AF32/AF$6)*100,0)</f>
        <v>0</v>
      </c>
      <c r="AG76" s="338">
        <f t="shared" si="102"/>
        <v>0</v>
      </c>
      <c r="AH76" s="338">
        <f t="shared" si="102"/>
        <v>0</v>
      </c>
      <c r="AI76" s="338">
        <f t="shared" si="102"/>
        <v>0</v>
      </c>
      <c r="AJ76" s="338">
        <f t="shared" si="102"/>
        <v>0</v>
      </c>
      <c r="AK76" s="338">
        <f t="shared" si="102"/>
        <v>0</v>
      </c>
      <c r="AL76" s="338">
        <f t="shared" si="102"/>
        <v>0</v>
      </c>
      <c r="AM76" s="338">
        <f t="shared" si="102"/>
        <v>0</v>
      </c>
    </row>
    <row r="77" spans="1:39" s="428" customFormat="1" ht="13.95" customHeight="1" outlineLevel="1">
      <c r="A77" s="426"/>
      <c r="B77" s="531" t="s">
        <v>216</v>
      </c>
      <c r="C77" s="338">
        <f t="shared" si="62"/>
        <v>0</v>
      </c>
      <c r="D77" s="338">
        <f t="shared" si="62"/>
        <v>0</v>
      </c>
      <c r="E77" s="338">
        <f t="shared" si="62"/>
        <v>0</v>
      </c>
      <c r="F77" s="500"/>
      <c r="G77" s="338">
        <f t="shared" ref="G77:AE77" si="103">+IFERROR((G33/G$6)*100,0)</f>
        <v>0</v>
      </c>
      <c r="H77" s="338">
        <f t="shared" si="103"/>
        <v>0</v>
      </c>
      <c r="I77" s="338">
        <f t="shared" si="103"/>
        <v>0</v>
      </c>
      <c r="J77" s="338">
        <f t="shared" si="103"/>
        <v>0</v>
      </c>
      <c r="K77" s="338">
        <f t="shared" si="103"/>
        <v>0</v>
      </c>
      <c r="L77" s="338">
        <f t="shared" si="103"/>
        <v>0</v>
      </c>
      <c r="M77" s="338">
        <f t="shared" si="103"/>
        <v>0</v>
      </c>
      <c r="N77" s="338">
        <f t="shared" si="103"/>
        <v>0</v>
      </c>
      <c r="O77" s="338">
        <f t="shared" si="103"/>
        <v>0</v>
      </c>
      <c r="P77" s="338">
        <f t="shared" si="103"/>
        <v>0</v>
      </c>
      <c r="Q77" s="338">
        <f t="shared" si="103"/>
        <v>0</v>
      </c>
      <c r="R77" s="338">
        <f t="shared" si="103"/>
        <v>0</v>
      </c>
      <c r="S77" s="338">
        <f t="shared" si="103"/>
        <v>0</v>
      </c>
      <c r="T77" s="338">
        <f t="shared" si="103"/>
        <v>0</v>
      </c>
      <c r="U77" s="338">
        <f t="shared" si="103"/>
        <v>0</v>
      </c>
      <c r="V77" s="338">
        <f t="shared" si="103"/>
        <v>0</v>
      </c>
      <c r="W77" s="338">
        <f t="shared" si="103"/>
        <v>0</v>
      </c>
      <c r="X77" s="338">
        <f t="shared" si="103"/>
        <v>0</v>
      </c>
      <c r="Y77" s="338">
        <f t="shared" si="103"/>
        <v>0</v>
      </c>
      <c r="Z77" s="338">
        <f t="shared" si="103"/>
        <v>0</v>
      </c>
      <c r="AA77" s="338">
        <f t="shared" si="103"/>
        <v>0</v>
      </c>
      <c r="AB77" s="338">
        <f t="shared" si="103"/>
        <v>0</v>
      </c>
      <c r="AC77" s="338">
        <f t="shared" si="103"/>
        <v>0</v>
      </c>
      <c r="AD77" s="338">
        <f t="shared" si="103"/>
        <v>0</v>
      </c>
      <c r="AE77" s="338">
        <f t="shared" si="103"/>
        <v>0</v>
      </c>
      <c r="AF77" s="338">
        <f t="shared" ref="AF77:AM77" si="104">+IFERROR((AF33/AF$6)*100,0)</f>
        <v>0</v>
      </c>
      <c r="AG77" s="338">
        <f t="shared" si="104"/>
        <v>0</v>
      </c>
      <c r="AH77" s="338">
        <f t="shared" si="104"/>
        <v>0</v>
      </c>
      <c r="AI77" s="338">
        <f t="shared" si="104"/>
        <v>0</v>
      </c>
      <c r="AJ77" s="338">
        <f t="shared" si="104"/>
        <v>0</v>
      </c>
      <c r="AK77" s="338">
        <f t="shared" si="104"/>
        <v>0</v>
      </c>
      <c r="AL77" s="338">
        <f t="shared" si="104"/>
        <v>0</v>
      </c>
      <c r="AM77" s="338">
        <f t="shared" si="104"/>
        <v>0</v>
      </c>
    </row>
    <row r="78" spans="1:39" s="428" customFormat="1" ht="13.95" customHeight="1" outlineLevel="1">
      <c r="A78" s="426"/>
      <c r="B78" s="531" t="s">
        <v>217</v>
      </c>
      <c r="C78" s="338">
        <f t="shared" si="62"/>
        <v>0</v>
      </c>
      <c r="D78" s="338">
        <f t="shared" si="62"/>
        <v>0</v>
      </c>
      <c r="E78" s="338">
        <f t="shared" si="62"/>
        <v>0</v>
      </c>
      <c r="F78" s="500"/>
      <c r="G78" s="338">
        <f t="shared" ref="G78:AE78" si="105">+IFERROR((G34/G$6)*100,0)</f>
        <v>0</v>
      </c>
      <c r="H78" s="338">
        <f t="shared" si="105"/>
        <v>0</v>
      </c>
      <c r="I78" s="338">
        <f t="shared" si="105"/>
        <v>0</v>
      </c>
      <c r="J78" s="338">
        <f t="shared" si="105"/>
        <v>0</v>
      </c>
      <c r="K78" s="338">
        <f t="shared" si="105"/>
        <v>0</v>
      </c>
      <c r="L78" s="338">
        <f t="shared" si="105"/>
        <v>0</v>
      </c>
      <c r="M78" s="338">
        <f t="shared" si="105"/>
        <v>0</v>
      </c>
      <c r="N78" s="338">
        <f t="shared" si="105"/>
        <v>0</v>
      </c>
      <c r="O78" s="338">
        <f t="shared" si="105"/>
        <v>0</v>
      </c>
      <c r="P78" s="338">
        <f t="shared" si="105"/>
        <v>0</v>
      </c>
      <c r="Q78" s="338">
        <f t="shared" si="105"/>
        <v>0</v>
      </c>
      <c r="R78" s="338">
        <f t="shared" si="105"/>
        <v>0</v>
      </c>
      <c r="S78" s="338">
        <f t="shared" si="105"/>
        <v>0</v>
      </c>
      <c r="T78" s="338">
        <f t="shared" si="105"/>
        <v>0</v>
      </c>
      <c r="U78" s="338">
        <f t="shared" si="105"/>
        <v>0</v>
      </c>
      <c r="V78" s="338">
        <f t="shared" si="105"/>
        <v>0</v>
      </c>
      <c r="W78" s="338">
        <f t="shared" si="105"/>
        <v>0</v>
      </c>
      <c r="X78" s="338">
        <f t="shared" si="105"/>
        <v>0</v>
      </c>
      <c r="Y78" s="338">
        <f t="shared" si="105"/>
        <v>0</v>
      </c>
      <c r="Z78" s="338">
        <f t="shared" si="105"/>
        <v>0</v>
      </c>
      <c r="AA78" s="338">
        <f t="shared" si="105"/>
        <v>0</v>
      </c>
      <c r="AB78" s="338">
        <f t="shared" si="105"/>
        <v>0</v>
      </c>
      <c r="AC78" s="338">
        <f t="shared" si="105"/>
        <v>0</v>
      </c>
      <c r="AD78" s="338">
        <f t="shared" si="105"/>
        <v>0</v>
      </c>
      <c r="AE78" s="338">
        <f t="shared" si="105"/>
        <v>0</v>
      </c>
      <c r="AF78" s="338">
        <f t="shared" ref="AF78:AM78" si="106">+IFERROR((AF34/AF$6)*100,0)</f>
        <v>0</v>
      </c>
      <c r="AG78" s="338">
        <f t="shared" si="106"/>
        <v>0</v>
      </c>
      <c r="AH78" s="338">
        <f t="shared" si="106"/>
        <v>0</v>
      </c>
      <c r="AI78" s="338">
        <f t="shared" si="106"/>
        <v>0</v>
      </c>
      <c r="AJ78" s="338">
        <f t="shared" si="106"/>
        <v>0</v>
      </c>
      <c r="AK78" s="338">
        <f t="shared" si="106"/>
        <v>0</v>
      </c>
      <c r="AL78" s="338">
        <f t="shared" si="106"/>
        <v>0</v>
      </c>
      <c r="AM78" s="338">
        <f t="shared" si="106"/>
        <v>0</v>
      </c>
    </row>
    <row r="79" spans="1:39" s="428" customFormat="1" ht="13.95" customHeight="1" outlineLevel="1">
      <c r="A79" s="426"/>
      <c r="B79" s="531" t="s">
        <v>218</v>
      </c>
      <c r="C79" s="338">
        <f t="shared" si="62"/>
        <v>0</v>
      </c>
      <c r="D79" s="338">
        <f t="shared" si="62"/>
        <v>0</v>
      </c>
      <c r="E79" s="338">
        <f t="shared" si="62"/>
        <v>0</v>
      </c>
      <c r="F79" s="500"/>
      <c r="G79" s="338">
        <f t="shared" ref="G79:AE79" si="107">+IFERROR((G35/G$6)*100,0)</f>
        <v>0</v>
      </c>
      <c r="H79" s="338">
        <f t="shared" si="107"/>
        <v>0</v>
      </c>
      <c r="I79" s="338">
        <f t="shared" si="107"/>
        <v>0</v>
      </c>
      <c r="J79" s="338">
        <f t="shared" si="107"/>
        <v>0</v>
      </c>
      <c r="K79" s="338">
        <f t="shared" si="107"/>
        <v>0</v>
      </c>
      <c r="L79" s="338">
        <f t="shared" si="107"/>
        <v>0</v>
      </c>
      <c r="M79" s="338">
        <f t="shared" si="107"/>
        <v>0</v>
      </c>
      <c r="N79" s="338">
        <f t="shared" si="107"/>
        <v>0</v>
      </c>
      <c r="O79" s="338">
        <f t="shared" si="107"/>
        <v>0</v>
      </c>
      <c r="P79" s="338">
        <f t="shared" si="107"/>
        <v>0</v>
      </c>
      <c r="Q79" s="338">
        <f t="shared" si="107"/>
        <v>0</v>
      </c>
      <c r="R79" s="338">
        <f t="shared" si="107"/>
        <v>0</v>
      </c>
      <c r="S79" s="338">
        <f t="shared" si="107"/>
        <v>0</v>
      </c>
      <c r="T79" s="338">
        <f t="shared" si="107"/>
        <v>0</v>
      </c>
      <c r="U79" s="338">
        <f t="shared" si="107"/>
        <v>0</v>
      </c>
      <c r="V79" s="338">
        <f t="shared" si="107"/>
        <v>0</v>
      </c>
      <c r="W79" s="338">
        <f t="shared" si="107"/>
        <v>0</v>
      </c>
      <c r="X79" s="338">
        <f t="shared" si="107"/>
        <v>0</v>
      </c>
      <c r="Y79" s="338">
        <f t="shared" si="107"/>
        <v>0</v>
      </c>
      <c r="Z79" s="338">
        <f t="shared" si="107"/>
        <v>0</v>
      </c>
      <c r="AA79" s="338">
        <f t="shared" si="107"/>
        <v>0</v>
      </c>
      <c r="AB79" s="338">
        <f t="shared" si="107"/>
        <v>0</v>
      </c>
      <c r="AC79" s="338">
        <f t="shared" si="107"/>
        <v>0</v>
      </c>
      <c r="AD79" s="338">
        <f t="shared" si="107"/>
        <v>0</v>
      </c>
      <c r="AE79" s="338">
        <f t="shared" si="107"/>
        <v>0</v>
      </c>
      <c r="AF79" s="338">
        <f t="shared" ref="AF79:AM79" si="108">+IFERROR((AF35/AF$6)*100,0)</f>
        <v>0</v>
      </c>
      <c r="AG79" s="338">
        <f t="shared" si="108"/>
        <v>0</v>
      </c>
      <c r="AH79" s="338">
        <f t="shared" si="108"/>
        <v>0</v>
      </c>
      <c r="AI79" s="338">
        <f t="shared" si="108"/>
        <v>0</v>
      </c>
      <c r="AJ79" s="338">
        <f t="shared" si="108"/>
        <v>0</v>
      </c>
      <c r="AK79" s="338">
        <f t="shared" si="108"/>
        <v>0</v>
      </c>
      <c r="AL79" s="338">
        <f t="shared" si="108"/>
        <v>0</v>
      </c>
      <c r="AM79" s="338">
        <f t="shared" si="108"/>
        <v>0</v>
      </c>
    </row>
    <row r="80" spans="1:39" s="428" customFormat="1" ht="13.95" customHeight="1" outlineLevel="1">
      <c r="A80" s="426"/>
      <c r="B80" s="531" t="s">
        <v>219</v>
      </c>
      <c r="C80" s="338">
        <f t="shared" si="62"/>
        <v>0</v>
      </c>
      <c r="D80" s="338">
        <f t="shared" si="62"/>
        <v>0</v>
      </c>
      <c r="E80" s="338">
        <f t="shared" si="62"/>
        <v>0</v>
      </c>
      <c r="F80" s="500"/>
      <c r="G80" s="338">
        <f t="shared" ref="G80:AE80" si="109">+IFERROR((G36/G$6)*100,0)</f>
        <v>0</v>
      </c>
      <c r="H80" s="338">
        <f t="shared" si="109"/>
        <v>0</v>
      </c>
      <c r="I80" s="338">
        <f t="shared" si="109"/>
        <v>0</v>
      </c>
      <c r="J80" s="338">
        <f t="shared" si="109"/>
        <v>0</v>
      </c>
      <c r="K80" s="338">
        <f t="shared" si="109"/>
        <v>0</v>
      </c>
      <c r="L80" s="338">
        <f t="shared" si="109"/>
        <v>0</v>
      </c>
      <c r="M80" s="338">
        <f t="shared" si="109"/>
        <v>0</v>
      </c>
      <c r="N80" s="338">
        <f t="shared" si="109"/>
        <v>0</v>
      </c>
      <c r="O80" s="338">
        <f t="shared" si="109"/>
        <v>0</v>
      </c>
      <c r="P80" s="338">
        <f t="shared" si="109"/>
        <v>0</v>
      </c>
      <c r="Q80" s="338">
        <f t="shared" si="109"/>
        <v>0</v>
      </c>
      <c r="R80" s="338">
        <f t="shared" si="109"/>
        <v>0</v>
      </c>
      <c r="S80" s="338">
        <f t="shared" si="109"/>
        <v>0</v>
      </c>
      <c r="T80" s="338">
        <f t="shared" si="109"/>
        <v>0</v>
      </c>
      <c r="U80" s="338">
        <f t="shared" si="109"/>
        <v>0</v>
      </c>
      <c r="V80" s="338">
        <f t="shared" si="109"/>
        <v>0</v>
      </c>
      <c r="W80" s="338">
        <f t="shared" si="109"/>
        <v>0</v>
      </c>
      <c r="X80" s="338">
        <f t="shared" si="109"/>
        <v>0</v>
      </c>
      <c r="Y80" s="338">
        <f t="shared" si="109"/>
        <v>0</v>
      </c>
      <c r="Z80" s="338">
        <f t="shared" si="109"/>
        <v>0</v>
      </c>
      <c r="AA80" s="338">
        <f t="shared" si="109"/>
        <v>0</v>
      </c>
      <c r="AB80" s="338">
        <f t="shared" si="109"/>
        <v>0</v>
      </c>
      <c r="AC80" s="338">
        <f t="shared" si="109"/>
        <v>0</v>
      </c>
      <c r="AD80" s="338">
        <f t="shared" si="109"/>
        <v>0</v>
      </c>
      <c r="AE80" s="338">
        <f t="shared" si="109"/>
        <v>0</v>
      </c>
      <c r="AF80" s="338">
        <f t="shared" ref="AF80:AM80" si="110">+IFERROR((AF36/AF$6)*100,0)</f>
        <v>0</v>
      </c>
      <c r="AG80" s="338">
        <f t="shared" si="110"/>
        <v>0</v>
      </c>
      <c r="AH80" s="338">
        <f t="shared" si="110"/>
        <v>0</v>
      </c>
      <c r="AI80" s="338">
        <f t="shared" si="110"/>
        <v>0</v>
      </c>
      <c r="AJ80" s="338">
        <f t="shared" si="110"/>
        <v>0</v>
      </c>
      <c r="AK80" s="338">
        <f t="shared" si="110"/>
        <v>0</v>
      </c>
      <c r="AL80" s="338">
        <f t="shared" si="110"/>
        <v>0</v>
      </c>
      <c r="AM80" s="338">
        <f t="shared" si="110"/>
        <v>0</v>
      </c>
    </row>
    <row r="81" spans="1:39" s="428" customFormat="1" ht="13.95" customHeight="1" outlineLevel="1">
      <c r="A81" s="426"/>
      <c r="B81" s="531" t="s">
        <v>220</v>
      </c>
      <c r="C81" s="338">
        <f t="shared" si="62"/>
        <v>0</v>
      </c>
      <c r="D81" s="338">
        <f t="shared" si="62"/>
        <v>0</v>
      </c>
      <c r="E81" s="338">
        <f t="shared" si="62"/>
        <v>0</v>
      </c>
      <c r="F81" s="500"/>
      <c r="G81" s="338">
        <f t="shared" ref="G81:AE81" si="111">+IFERROR((G37/G$6)*100,0)</f>
        <v>0</v>
      </c>
      <c r="H81" s="338">
        <f t="shared" si="111"/>
        <v>0</v>
      </c>
      <c r="I81" s="338">
        <f t="shared" si="111"/>
        <v>0</v>
      </c>
      <c r="J81" s="338">
        <f t="shared" si="111"/>
        <v>0</v>
      </c>
      <c r="K81" s="338">
        <f t="shared" si="111"/>
        <v>0</v>
      </c>
      <c r="L81" s="338">
        <f t="shared" si="111"/>
        <v>0</v>
      </c>
      <c r="M81" s="338">
        <f t="shared" si="111"/>
        <v>0</v>
      </c>
      <c r="N81" s="338">
        <f t="shared" si="111"/>
        <v>0</v>
      </c>
      <c r="O81" s="338">
        <f t="shared" si="111"/>
        <v>0</v>
      </c>
      <c r="P81" s="338">
        <f t="shared" si="111"/>
        <v>0</v>
      </c>
      <c r="Q81" s="338">
        <f t="shared" si="111"/>
        <v>0</v>
      </c>
      <c r="R81" s="338">
        <f t="shared" si="111"/>
        <v>0</v>
      </c>
      <c r="S81" s="338">
        <f t="shared" si="111"/>
        <v>0</v>
      </c>
      <c r="T81" s="338">
        <f t="shared" si="111"/>
        <v>0</v>
      </c>
      <c r="U81" s="338">
        <f t="shared" si="111"/>
        <v>0</v>
      </c>
      <c r="V81" s="338">
        <f t="shared" si="111"/>
        <v>0</v>
      </c>
      <c r="W81" s="338">
        <f t="shared" si="111"/>
        <v>0</v>
      </c>
      <c r="X81" s="338">
        <f t="shared" si="111"/>
        <v>0</v>
      </c>
      <c r="Y81" s="338">
        <f t="shared" si="111"/>
        <v>0</v>
      </c>
      <c r="Z81" s="338">
        <f t="shared" si="111"/>
        <v>0</v>
      </c>
      <c r="AA81" s="338">
        <f t="shared" si="111"/>
        <v>0</v>
      </c>
      <c r="AB81" s="338">
        <f t="shared" si="111"/>
        <v>0</v>
      </c>
      <c r="AC81" s="338">
        <f t="shared" si="111"/>
        <v>0</v>
      </c>
      <c r="AD81" s="338">
        <f t="shared" si="111"/>
        <v>0</v>
      </c>
      <c r="AE81" s="338">
        <f t="shared" si="111"/>
        <v>0</v>
      </c>
      <c r="AF81" s="338">
        <f t="shared" ref="AF81:AM81" si="112">+IFERROR((AF37/AF$6)*100,0)</f>
        <v>0</v>
      </c>
      <c r="AG81" s="338">
        <f t="shared" si="112"/>
        <v>0</v>
      </c>
      <c r="AH81" s="338">
        <f t="shared" si="112"/>
        <v>0</v>
      </c>
      <c r="AI81" s="338">
        <f t="shared" si="112"/>
        <v>0</v>
      </c>
      <c r="AJ81" s="338">
        <f t="shared" si="112"/>
        <v>0</v>
      </c>
      <c r="AK81" s="338">
        <f t="shared" si="112"/>
        <v>0</v>
      </c>
      <c r="AL81" s="338">
        <f t="shared" si="112"/>
        <v>0</v>
      </c>
      <c r="AM81" s="338">
        <f t="shared" si="112"/>
        <v>0</v>
      </c>
    </row>
    <row r="82" spans="1:39" s="428" customFormat="1" ht="13.95" customHeight="1" outlineLevel="1">
      <c r="A82" s="426"/>
      <c r="B82" s="531" t="s">
        <v>221</v>
      </c>
      <c r="C82" s="338">
        <f t="shared" si="62"/>
        <v>0</v>
      </c>
      <c r="D82" s="338">
        <f t="shared" si="62"/>
        <v>0</v>
      </c>
      <c r="E82" s="338">
        <f t="shared" si="62"/>
        <v>0</v>
      </c>
      <c r="F82" s="500"/>
      <c r="G82" s="338">
        <f t="shared" ref="G82:AE82" si="113">+IFERROR((G38/G$6)*100,0)</f>
        <v>0</v>
      </c>
      <c r="H82" s="338">
        <f t="shared" si="113"/>
        <v>0</v>
      </c>
      <c r="I82" s="338">
        <f t="shared" si="113"/>
        <v>0</v>
      </c>
      <c r="J82" s="338">
        <f t="shared" si="113"/>
        <v>0</v>
      </c>
      <c r="K82" s="338">
        <f t="shared" si="113"/>
        <v>0</v>
      </c>
      <c r="L82" s="338">
        <f t="shared" si="113"/>
        <v>0</v>
      </c>
      <c r="M82" s="338">
        <f t="shared" si="113"/>
        <v>0</v>
      </c>
      <c r="N82" s="338">
        <f t="shared" si="113"/>
        <v>0</v>
      </c>
      <c r="O82" s="338">
        <f t="shared" si="113"/>
        <v>0</v>
      </c>
      <c r="P82" s="338">
        <f t="shared" si="113"/>
        <v>0</v>
      </c>
      <c r="Q82" s="338">
        <f t="shared" si="113"/>
        <v>0</v>
      </c>
      <c r="R82" s="338">
        <f t="shared" si="113"/>
        <v>0</v>
      </c>
      <c r="S82" s="338">
        <f t="shared" si="113"/>
        <v>0</v>
      </c>
      <c r="T82" s="338">
        <f t="shared" si="113"/>
        <v>0</v>
      </c>
      <c r="U82" s="338">
        <f t="shared" si="113"/>
        <v>0</v>
      </c>
      <c r="V82" s="338">
        <f t="shared" si="113"/>
        <v>0</v>
      </c>
      <c r="W82" s="338">
        <f t="shared" si="113"/>
        <v>0</v>
      </c>
      <c r="X82" s="338">
        <f t="shared" si="113"/>
        <v>0</v>
      </c>
      <c r="Y82" s="338">
        <f t="shared" si="113"/>
        <v>0</v>
      </c>
      <c r="Z82" s="338">
        <f t="shared" si="113"/>
        <v>0</v>
      </c>
      <c r="AA82" s="338">
        <f t="shared" si="113"/>
        <v>0</v>
      </c>
      <c r="AB82" s="338">
        <f t="shared" si="113"/>
        <v>0</v>
      </c>
      <c r="AC82" s="338">
        <f t="shared" si="113"/>
        <v>0</v>
      </c>
      <c r="AD82" s="338">
        <f t="shared" si="113"/>
        <v>0</v>
      </c>
      <c r="AE82" s="338">
        <f t="shared" si="113"/>
        <v>0</v>
      </c>
      <c r="AF82" s="338">
        <f t="shared" ref="AF82:AM82" si="114">+IFERROR((AF38/AF$6)*100,0)</f>
        <v>0</v>
      </c>
      <c r="AG82" s="338">
        <f t="shared" si="114"/>
        <v>0</v>
      </c>
      <c r="AH82" s="338">
        <f t="shared" si="114"/>
        <v>0</v>
      </c>
      <c r="AI82" s="338">
        <f t="shared" si="114"/>
        <v>0</v>
      </c>
      <c r="AJ82" s="338">
        <f t="shared" si="114"/>
        <v>0</v>
      </c>
      <c r="AK82" s="338">
        <f t="shared" si="114"/>
        <v>0</v>
      </c>
      <c r="AL82" s="338">
        <f t="shared" si="114"/>
        <v>0</v>
      </c>
      <c r="AM82" s="338">
        <f t="shared" si="114"/>
        <v>0</v>
      </c>
    </row>
    <row r="83" spans="1:39" s="428" customFormat="1" ht="13.95" customHeight="1" outlineLevel="1">
      <c r="A83" s="426"/>
      <c r="B83" s="531" t="s">
        <v>222</v>
      </c>
      <c r="C83" s="338">
        <f t="shared" si="62"/>
        <v>0</v>
      </c>
      <c r="D83" s="338">
        <f t="shared" si="62"/>
        <v>0</v>
      </c>
      <c r="E83" s="338">
        <f t="shared" si="62"/>
        <v>0</v>
      </c>
      <c r="F83" s="500"/>
      <c r="G83" s="338">
        <f t="shared" ref="G83:AE83" si="115">+IFERROR((G39/G$6)*100,0)</f>
        <v>0</v>
      </c>
      <c r="H83" s="338">
        <f t="shared" si="115"/>
        <v>0</v>
      </c>
      <c r="I83" s="338">
        <f t="shared" si="115"/>
        <v>0</v>
      </c>
      <c r="J83" s="338">
        <f t="shared" si="115"/>
        <v>0</v>
      </c>
      <c r="K83" s="338">
        <f t="shared" si="115"/>
        <v>0</v>
      </c>
      <c r="L83" s="338">
        <f t="shared" si="115"/>
        <v>0</v>
      </c>
      <c r="M83" s="338">
        <f t="shared" si="115"/>
        <v>0</v>
      </c>
      <c r="N83" s="338">
        <f t="shared" si="115"/>
        <v>0</v>
      </c>
      <c r="O83" s="338">
        <f t="shared" si="115"/>
        <v>0</v>
      </c>
      <c r="P83" s="338">
        <f t="shared" si="115"/>
        <v>0</v>
      </c>
      <c r="Q83" s="338">
        <f t="shared" si="115"/>
        <v>0</v>
      </c>
      <c r="R83" s="338">
        <f t="shared" si="115"/>
        <v>0</v>
      </c>
      <c r="S83" s="338">
        <f t="shared" si="115"/>
        <v>0</v>
      </c>
      <c r="T83" s="338">
        <f t="shared" si="115"/>
        <v>0</v>
      </c>
      <c r="U83" s="338">
        <f t="shared" si="115"/>
        <v>0</v>
      </c>
      <c r="V83" s="338">
        <f t="shared" si="115"/>
        <v>0</v>
      </c>
      <c r="W83" s="338">
        <f t="shared" si="115"/>
        <v>0</v>
      </c>
      <c r="X83" s="338">
        <f t="shared" si="115"/>
        <v>0</v>
      </c>
      <c r="Y83" s="338">
        <f t="shared" si="115"/>
        <v>0</v>
      </c>
      <c r="Z83" s="338">
        <f t="shared" si="115"/>
        <v>0</v>
      </c>
      <c r="AA83" s="338">
        <f t="shared" si="115"/>
        <v>0</v>
      </c>
      <c r="AB83" s="338">
        <f t="shared" si="115"/>
        <v>0</v>
      </c>
      <c r="AC83" s="338">
        <f t="shared" si="115"/>
        <v>0</v>
      </c>
      <c r="AD83" s="338">
        <f t="shared" si="115"/>
        <v>0</v>
      </c>
      <c r="AE83" s="338">
        <f t="shared" si="115"/>
        <v>0</v>
      </c>
      <c r="AF83" s="338">
        <f t="shared" ref="AF83:AM83" si="116">+IFERROR((AF39/AF$6)*100,0)</f>
        <v>0</v>
      </c>
      <c r="AG83" s="338">
        <f t="shared" si="116"/>
        <v>0</v>
      </c>
      <c r="AH83" s="338">
        <f t="shared" si="116"/>
        <v>0</v>
      </c>
      <c r="AI83" s="338">
        <f t="shared" si="116"/>
        <v>0</v>
      </c>
      <c r="AJ83" s="338">
        <f t="shared" si="116"/>
        <v>0</v>
      </c>
      <c r="AK83" s="338">
        <f t="shared" si="116"/>
        <v>0</v>
      </c>
      <c r="AL83" s="338">
        <f t="shared" si="116"/>
        <v>0</v>
      </c>
      <c r="AM83" s="338">
        <f t="shared" si="116"/>
        <v>0</v>
      </c>
    </row>
    <row r="84" spans="1:39" s="428" customFormat="1" ht="13.95" customHeight="1" outlineLevel="1">
      <c r="A84" s="426"/>
      <c r="B84" s="531" t="s">
        <v>223</v>
      </c>
      <c r="C84" s="338">
        <f t="shared" si="62"/>
        <v>0</v>
      </c>
      <c r="D84" s="338">
        <f t="shared" si="62"/>
        <v>0</v>
      </c>
      <c r="E84" s="338">
        <f t="shared" si="62"/>
        <v>0</v>
      </c>
      <c r="F84" s="500"/>
      <c r="G84" s="338">
        <f t="shared" ref="G84:AE84" si="117">+IFERROR((G40/G$6)*100,0)</f>
        <v>0</v>
      </c>
      <c r="H84" s="338">
        <f t="shared" si="117"/>
        <v>0</v>
      </c>
      <c r="I84" s="338">
        <f t="shared" si="117"/>
        <v>0</v>
      </c>
      <c r="J84" s="338">
        <f t="shared" si="117"/>
        <v>0</v>
      </c>
      <c r="K84" s="338">
        <f t="shared" si="117"/>
        <v>0</v>
      </c>
      <c r="L84" s="338">
        <f t="shared" si="117"/>
        <v>0</v>
      </c>
      <c r="M84" s="338">
        <f t="shared" si="117"/>
        <v>0</v>
      </c>
      <c r="N84" s="338">
        <f t="shared" si="117"/>
        <v>0</v>
      </c>
      <c r="O84" s="338">
        <f t="shared" si="117"/>
        <v>0</v>
      </c>
      <c r="P84" s="338">
        <f t="shared" si="117"/>
        <v>0</v>
      </c>
      <c r="Q84" s="338">
        <f t="shared" si="117"/>
        <v>0</v>
      </c>
      <c r="R84" s="338">
        <f t="shared" si="117"/>
        <v>0</v>
      </c>
      <c r="S84" s="338">
        <f t="shared" si="117"/>
        <v>0</v>
      </c>
      <c r="T84" s="338">
        <f t="shared" si="117"/>
        <v>0</v>
      </c>
      <c r="U84" s="338">
        <f t="shared" si="117"/>
        <v>0</v>
      </c>
      <c r="V84" s="338">
        <f t="shared" si="117"/>
        <v>0</v>
      </c>
      <c r="W84" s="338">
        <f t="shared" si="117"/>
        <v>0</v>
      </c>
      <c r="X84" s="338">
        <f t="shared" si="117"/>
        <v>0</v>
      </c>
      <c r="Y84" s="338">
        <f t="shared" si="117"/>
        <v>0</v>
      </c>
      <c r="Z84" s="338">
        <f t="shared" si="117"/>
        <v>0</v>
      </c>
      <c r="AA84" s="338">
        <f t="shared" si="117"/>
        <v>0</v>
      </c>
      <c r="AB84" s="338">
        <f t="shared" si="117"/>
        <v>0</v>
      </c>
      <c r="AC84" s="338">
        <f t="shared" si="117"/>
        <v>0</v>
      </c>
      <c r="AD84" s="338">
        <f t="shared" si="117"/>
        <v>0</v>
      </c>
      <c r="AE84" s="338">
        <f t="shared" si="117"/>
        <v>0</v>
      </c>
      <c r="AF84" s="338">
        <f t="shared" ref="AF84:AM84" si="118">+IFERROR((AF40/AF$6)*100,0)</f>
        <v>0</v>
      </c>
      <c r="AG84" s="338">
        <f t="shared" si="118"/>
        <v>0</v>
      </c>
      <c r="AH84" s="338">
        <f t="shared" si="118"/>
        <v>0</v>
      </c>
      <c r="AI84" s="338">
        <f t="shared" si="118"/>
        <v>0</v>
      </c>
      <c r="AJ84" s="338">
        <f t="shared" si="118"/>
        <v>0</v>
      </c>
      <c r="AK84" s="338">
        <f t="shared" si="118"/>
        <v>0</v>
      </c>
      <c r="AL84" s="338">
        <f t="shared" si="118"/>
        <v>0</v>
      </c>
      <c r="AM84" s="338">
        <f t="shared" si="118"/>
        <v>0</v>
      </c>
    </row>
    <row r="85" spans="1:39" s="428" customFormat="1" ht="13.95" customHeight="1" outlineLevel="1">
      <c r="A85" s="426"/>
      <c r="B85" s="531" t="s">
        <v>224</v>
      </c>
      <c r="C85" s="338">
        <f t="shared" si="62"/>
        <v>0</v>
      </c>
      <c r="D85" s="338">
        <f t="shared" si="62"/>
        <v>0</v>
      </c>
      <c r="E85" s="338">
        <f t="shared" si="62"/>
        <v>0</v>
      </c>
      <c r="F85" s="500"/>
      <c r="G85" s="338">
        <f t="shared" ref="G85:AE85" si="119">+IFERROR((G41/G$6)*100,0)</f>
        <v>0</v>
      </c>
      <c r="H85" s="338">
        <f t="shared" si="119"/>
        <v>0</v>
      </c>
      <c r="I85" s="338">
        <f t="shared" si="119"/>
        <v>0</v>
      </c>
      <c r="J85" s="338">
        <f t="shared" si="119"/>
        <v>0</v>
      </c>
      <c r="K85" s="338">
        <f t="shared" si="119"/>
        <v>0</v>
      </c>
      <c r="L85" s="338">
        <f t="shared" si="119"/>
        <v>0</v>
      </c>
      <c r="M85" s="338">
        <f t="shared" si="119"/>
        <v>0</v>
      </c>
      <c r="N85" s="338">
        <f t="shared" si="119"/>
        <v>0</v>
      </c>
      <c r="O85" s="338">
        <f t="shared" si="119"/>
        <v>0</v>
      </c>
      <c r="P85" s="338">
        <f t="shared" si="119"/>
        <v>0</v>
      </c>
      <c r="Q85" s="338">
        <f t="shared" si="119"/>
        <v>0</v>
      </c>
      <c r="R85" s="338">
        <f t="shared" si="119"/>
        <v>0</v>
      </c>
      <c r="S85" s="338">
        <f t="shared" si="119"/>
        <v>0</v>
      </c>
      <c r="T85" s="338">
        <f t="shared" si="119"/>
        <v>0</v>
      </c>
      <c r="U85" s="338">
        <f t="shared" si="119"/>
        <v>0</v>
      </c>
      <c r="V85" s="338">
        <f t="shared" si="119"/>
        <v>0</v>
      </c>
      <c r="W85" s="338">
        <f t="shared" si="119"/>
        <v>0</v>
      </c>
      <c r="X85" s="338">
        <f t="shared" si="119"/>
        <v>0</v>
      </c>
      <c r="Y85" s="338">
        <f t="shared" si="119"/>
        <v>0</v>
      </c>
      <c r="Z85" s="338">
        <f t="shared" si="119"/>
        <v>0</v>
      </c>
      <c r="AA85" s="338">
        <f t="shared" si="119"/>
        <v>0</v>
      </c>
      <c r="AB85" s="338">
        <f t="shared" si="119"/>
        <v>0</v>
      </c>
      <c r="AC85" s="338">
        <f t="shared" si="119"/>
        <v>0</v>
      </c>
      <c r="AD85" s="338">
        <f t="shared" si="119"/>
        <v>0</v>
      </c>
      <c r="AE85" s="338">
        <f t="shared" si="119"/>
        <v>0</v>
      </c>
      <c r="AF85" s="338">
        <f t="shared" ref="AF85:AM85" si="120">+IFERROR((AF41/AF$6)*100,0)</f>
        <v>0</v>
      </c>
      <c r="AG85" s="338">
        <f t="shared" si="120"/>
        <v>0</v>
      </c>
      <c r="AH85" s="338">
        <f t="shared" si="120"/>
        <v>0</v>
      </c>
      <c r="AI85" s="338">
        <f t="shared" si="120"/>
        <v>0</v>
      </c>
      <c r="AJ85" s="338">
        <f t="shared" si="120"/>
        <v>0</v>
      </c>
      <c r="AK85" s="338">
        <f t="shared" si="120"/>
        <v>0</v>
      </c>
      <c r="AL85" s="338">
        <f t="shared" si="120"/>
        <v>0</v>
      </c>
      <c r="AM85" s="338">
        <f t="shared" si="120"/>
        <v>0</v>
      </c>
    </row>
    <row r="86" spans="1:39" s="428" customFormat="1" ht="13.95" customHeight="1" outlineLevel="1">
      <c r="A86" s="426"/>
      <c r="B86" s="531" t="s">
        <v>225</v>
      </c>
      <c r="C86" s="338">
        <f t="shared" si="62"/>
        <v>0</v>
      </c>
      <c r="D86" s="338">
        <f t="shared" si="62"/>
        <v>0</v>
      </c>
      <c r="E86" s="338">
        <f t="shared" si="62"/>
        <v>0</v>
      </c>
      <c r="F86" s="500"/>
      <c r="G86" s="338">
        <f t="shared" ref="G86:AE86" si="121">+IFERROR((G42/G$6)*100,0)</f>
        <v>0</v>
      </c>
      <c r="H86" s="338">
        <f t="shared" si="121"/>
        <v>0</v>
      </c>
      <c r="I86" s="338">
        <f t="shared" si="121"/>
        <v>0</v>
      </c>
      <c r="J86" s="338">
        <f t="shared" si="121"/>
        <v>0</v>
      </c>
      <c r="K86" s="338">
        <f t="shared" si="121"/>
        <v>0</v>
      </c>
      <c r="L86" s="338">
        <f t="shared" si="121"/>
        <v>0</v>
      </c>
      <c r="M86" s="338">
        <f t="shared" si="121"/>
        <v>0</v>
      </c>
      <c r="N86" s="338">
        <f t="shared" si="121"/>
        <v>0</v>
      </c>
      <c r="O86" s="338">
        <f t="shared" si="121"/>
        <v>0</v>
      </c>
      <c r="P86" s="338">
        <f t="shared" si="121"/>
        <v>0</v>
      </c>
      <c r="Q86" s="338">
        <f t="shared" si="121"/>
        <v>0</v>
      </c>
      <c r="R86" s="338">
        <f t="shared" si="121"/>
        <v>0</v>
      </c>
      <c r="S86" s="338">
        <f t="shared" si="121"/>
        <v>0</v>
      </c>
      <c r="T86" s="338">
        <f t="shared" si="121"/>
        <v>0</v>
      </c>
      <c r="U86" s="338">
        <f t="shared" si="121"/>
        <v>0</v>
      </c>
      <c r="V86" s="338">
        <f t="shared" si="121"/>
        <v>0</v>
      </c>
      <c r="W86" s="338">
        <f t="shared" si="121"/>
        <v>0</v>
      </c>
      <c r="X86" s="338">
        <f t="shared" si="121"/>
        <v>0</v>
      </c>
      <c r="Y86" s="338">
        <f t="shared" si="121"/>
        <v>0</v>
      </c>
      <c r="Z86" s="338">
        <f t="shared" si="121"/>
        <v>0</v>
      </c>
      <c r="AA86" s="338">
        <f t="shared" si="121"/>
        <v>0</v>
      </c>
      <c r="AB86" s="338">
        <f t="shared" si="121"/>
        <v>0</v>
      </c>
      <c r="AC86" s="338">
        <f t="shared" si="121"/>
        <v>0</v>
      </c>
      <c r="AD86" s="338">
        <f t="shared" si="121"/>
        <v>0</v>
      </c>
      <c r="AE86" s="338">
        <f t="shared" si="121"/>
        <v>0</v>
      </c>
      <c r="AF86" s="338">
        <f t="shared" ref="AF86:AM86" si="122">+IFERROR((AF42/AF$6)*100,0)</f>
        <v>0</v>
      </c>
      <c r="AG86" s="338">
        <f t="shared" si="122"/>
        <v>0</v>
      </c>
      <c r="AH86" s="338">
        <f t="shared" si="122"/>
        <v>0</v>
      </c>
      <c r="AI86" s="338">
        <f t="shared" si="122"/>
        <v>0</v>
      </c>
      <c r="AJ86" s="338">
        <f t="shared" si="122"/>
        <v>0</v>
      </c>
      <c r="AK86" s="338">
        <f t="shared" si="122"/>
        <v>0</v>
      </c>
      <c r="AL86" s="338">
        <f t="shared" si="122"/>
        <v>0</v>
      </c>
      <c r="AM86" s="338">
        <f t="shared" si="122"/>
        <v>0</v>
      </c>
    </row>
    <row r="87" spans="1:39" ht="13.95" customHeight="1" thickBot="1">
      <c r="A87" s="311"/>
      <c r="B87" s="340" t="s">
        <v>195</v>
      </c>
      <c r="C87" s="503">
        <f t="shared" ref="C87:D87" si="123">+IFERROR((C43/C$6)*100,0)</f>
        <v>0</v>
      </c>
      <c r="D87" s="503">
        <f t="shared" si="123"/>
        <v>0</v>
      </c>
      <c r="E87" s="503">
        <f t="shared" ref="E87" si="124">+IFERROR((E43/E$6)*100,0)</f>
        <v>0</v>
      </c>
      <c r="F87" s="500"/>
      <c r="G87" s="503">
        <f t="shared" ref="G87:AE87" si="125">+IFERROR((G43/G$6)*100,0)</f>
        <v>0</v>
      </c>
      <c r="H87" s="503">
        <f t="shared" si="125"/>
        <v>0</v>
      </c>
      <c r="I87" s="503">
        <f t="shared" si="125"/>
        <v>0</v>
      </c>
      <c r="J87" s="503">
        <f t="shared" si="125"/>
        <v>0</v>
      </c>
      <c r="K87" s="503">
        <f t="shared" si="125"/>
        <v>0</v>
      </c>
      <c r="L87" s="503">
        <f t="shared" si="125"/>
        <v>0</v>
      </c>
      <c r="M87" s="503">
        <f t="shared" si="125"/>
        <v>0</v>
      </c>
      <c r="N87" s="503">
        <f t="shared" si="125"/>
        <v>0</v>
      </c>
      <c r="O87" s="503">
        <f t="shared" si="125"/>
        <v>0</v>
      </c>
      <c r="P87" s="503">
        <f t="shared" si="125"/>
        <v>0</v>
      </c>
      <c r="Q87" s="503">
        <f t="shared" si="125"/>
        <v>0</v>
      </c>
      <c r="R87" s="503">
        <f t="shared" si="125"/>
        <v>0</v>
      </c>
      <c r="S87" s="503">
        <f t="shared" si="125"/>
        <v>0</v>
      </c>
      <c r="T87" s="503">
        <f t="shared" si="125"/>
        <v>0</v>
      </c>
      <c r="U87" s="503">
        <f t="shared" si="125"/>
        <v>0</v>
      </c>
      <c r="V87" s="503">
        <f t="shared" si="125"/>
        <v>0</v>
      </c>
      <c r="W87" s="503">
        <f t="shared" si="125"/>
        <v>0</v>
      </c>
      <c r="X87" s="503">
        <f t="shared" si="125"/>
        <v>0</v>
      </c>
      <c r="Y87" s="503">
        <f t="shared" si="125"/>
        <v>0</v>
      </c>
      <c r="Z87" s="503">
        <f t="shared" si="125"/>
        <v>0</v>
      </c>
      <c r="AA87" s="503">
        <f t="shared" si="125"/>
        <v>0</v>
      </c>
      <c r="AB87" s="503">
        <f t="shared" si="125"/>
        <v>0</v>
      </c>
      <c r="AC87" s="503">
        <f t="shared" si="125"/>
        <v>0</v>
      </c>
      <c r="AD87" s="503">
        <f t="shared" si="125"/>
        <v>0</v>
      </c>
      <c r="AE87" s="503">
        <f t="shared" si="125"/>
        <v>0</v>
      </c>
      <c r="AF87" s="503">
        <f t="shared" ref="AF87:AM87" si="126">+IFERROR((AF43/AF$6)*100,0)</f>
        <v>0</v>
      </c>
      <c r="AG87" s="503">
        <f t="shared" si="126"/>
        <v>0</v>
      </c>
      <c r="AH87" s="503">
        <f t="shared" si="126"/>
        <v>0</v>
      </c>
      <c r="AI87" s="503">
        <f t="shared" si="126"/>
        <v>0</v>
      </c>
      <c r="AJ87" s="503">
        <f t="shared" si="126"/>
        <v>0</v>
      </c>
      <c r="AK87" s="503">
        <f t="shared" si="126"/>
        <v>0</v>
      </c>
      <c r="AL87" s="503">
        <f t="shared" si="126"/>
        <v>0</v>
      </c>
      <c r="AM87" s="503">
        <f t="shared" si="126"/>
        <v>0</v>
      </c>
    </row>
    <row r="88" spans="1:39" ht="13.95" customHeight="1">
      <c r="B88" s="93" t="s">
        <v>64</v>
      </c>
      <c r="F88" s="334"/>
    </row>
    <row r="89" spans="1:39" ht="13.95" customHeight="1">
      <c r="F89" s="334"/>
    </row>
    <row r="90" spans="1:39" ht="13.95" customHeight="1">
      <c r="F90" s="334"/>
    </row>
    <row r="91" spans="1:39" ht="13.95" customHeight="1">
      <c r="F91" s="334"/>
    </row>
    <row r="92" spans="1:39" ht="13.95" customHeight="1">
      <c r="F92" s="334"/>
    </row>
    <row r="93" spans="1:39" ht="13.95" customHeight="1">
      <c r="F93" s="334"/>
    </row>
    <row r="94" spans="1:39" ht="13.95" customHeight="1">
      <c r="F94" s="334"/>
    </row>
    <row r="95" spans="1:39" ht="13.95" customHeight="1">
      <c r="F95" s="334"/>
    </row>
    <row r="96" spans="1:39" ht="13.95" customHeight="1">
      <c r="F96" s="334"/>
    </row>
    <row r="97" spans="6:6" ht="13.95" customHeight="1">
      <c r="F97" s="334"/>
    </row>
    <row r="98" spans="6:6" ht="13.95" customHeight="1">
      <c r="F98" s="334"/>
    </row>
    <row r="99" spans="6:6" ht="13.95" customHeight="1">
      <c r="F99" s="334"/>
    </row>
    <row r="100" spans="6:6" ht="13.95" customHeight="1">
      <c r="F100" s="334"/>
    </row>
  </sheetData>
  <pageMargins left="0.55118110236220497" right="0.55118110236220497" top="0.39370078740157499" bottom="0.55118110236220497" header="0.31496062992126" footer="0.31496062992126"/>
  <pageSetup scale="39" orientation="landscape" r:id="rId1"/>
  <headerFooter scaleWithDoc="0" alignWithMargins="0">
    <oddHeader>&amp;R&amp;11DRAFT</oddHeader>
    <oddFooter xml:space="preserve">&amp;LPage &amp;P    </oddFooter>
  </headerFooter>
</worksheet>
</file>

<file path=xl/worksheets/sheet11.xml><?xml version="1.0" encoding="utf-8"?>
<worksheet xmlns="http://schemas.openxmlformats.org/spreadsheetml/2006/main" xmlns:r="http://schemas.openxmlformats.org/officeDocument/2006/relationships">
  <sheetPr>
    <pageSetUpPr autoPageBreaks="0" fitToPage="1"/>
  </sheetPr>
  <dimension ref="A1:Y36"/>
  <sheetViews>
    <sheetView showGridLines="0" view="pageBreakPreview" topLeftCell="B1" zoomScaleNormal="100" zoomScaleSheetLayoutView="100" workbookViewId="0">
      <pane ySplit="7" topLeftCell="A15" activePane="bottomLeft" state="frozen"/>
      <selection activeCell="BA10" sqref="BA10"/>
      <selection pane="bottomLeft" activeCell="N29" sqref="N29:P33"/>
    </sheetView>
  </sheetViews>
  <sheetFormatPr defaultColWidth="2.59765625" defaultRowHeight="14.1" customHeight="1" outlineLevelRow="1" outlineLevelCol="1"/>
  <cols>
    <col min="1" max="1" width="17.59765625" style="212" hidden="1" customWidth="1" outlineLevel="1"/>
    <col min="2" max="2" width="24.59765625" style="217" customWidth="1" collapsed="1"/>
    <col min="3" max="3" width="5.19921875" style="215" bestFit="1" customWidth="1"/>
    <col min="4" max="8" width="5.69921875" style="215" customWidth="1"/>
    <col min="9" max="9" width="1.59765625" style="215" customWidth="1"/>
    <col min="10" max="12" width="5.69921875" style="215" customWidth="1"/>
    <col min="13" max="13" width="1.59765625" style="215" customWidth="1"/>
    <col min="14" max="19" width="5.69921875" style="215" customWidth="1"/>
    <col min="20" max="16384" width="2.59765625" style="215"/>
  </cols>
  <sheetData>
    <row r="1" spans="1:19" ht="14.1" customHeight="1">
      <c r="A1" s="311"/>
      <c r="B1" s="83" t="str">
        <f>'Recast Reported'!B1</f>
        <v>OPEN - OPEN, OPEN</v>
      </c>
      <c r="C1" s="213"/>
      <c r="D1" s="213"/>
      <c r="E1" s="214"/>
      <c r="F1" s="214"/>
      <c r="G1" s="214"/>
      <c r="H1" s="214"/>
      <c r="I1" s="213"/>
      <c r="J1" s="213"/>
      <c r="K1" s="213"/>
      <c r="L1" s="214"/>
      <c r="N1" s="213"/>
      <c r="O1" s="213"/>
      <c r="P1" s="214"/>
      <c r="Q1" s="214"/>
      <c r="R1" s="214"/>
      <c r="S1" s="214"/>
    </row>
    <row r="2" spans="1:19" s="213" customFormat="1" ht="14.1" customHeight="1">
      <c r="A2" s="311"/>
      <c r="B2" s="432" t="str">
        <f ca="1">MID(CELL("filename",B1),FIND("]",CELL("filename",B1))+1,255)</f>
        <v>Other Recast</v>
      </c>
    </row>
    <row r="3" spans="1:19" s="507" customFormat="1" ht="14.1" customHeight="1">
      <c r="A3" s="311"/>
      <c r="B3" s="370"/>
      <c r="C3" s="506"/>
    </row>
    <row r="4" spans="1:19" s="220" customFormat="1" ht="14.1" customHeight="1">
      <c r="A4" s="310" t="s">
        <v>99</v>
      </c>
      <c r="B4" s="82" t="s">
        <v>71</v>
      </c>
      <c r="C4" s="219"/>
      <c r="D4" s="219"/>
      <c r="E4" s="219"/>
      <c r="F4" s="219"/>
      <c r="G4" s="219"/>
      <c r="H4" s="219"/>
      <c r="I4" s="219"/>
      <c r="J4" s="219"/>
      <c r="K4" s="219"/>
      <c r="L4" s="219"/>
      <c r="M4" s="219"/>
      <c r="N4" s="219"/>
      <c r="O4" s="219"/>
      <c r="P4" s="219"/>
      <c r="Q4" s="219"/>
      <c r="R4" s="219"/>
      <c r="S4" s="219"/>
    </row>
    <row r="5" spans="1:19" s="376" customFormat="1" ht="14.1" customHeight="1">
      <c r="A5" s="375"/>
      <c r="B5" s="239"/>
      <c r="C5" s="377" t="s">
        <v>202</v>
      </c>
      <c r="D5" s="377"/>
      <c r="E5" s="377"/>
      <c r="F5" s="377"/>
      <c r="G5" s="377"/>
      <c r="H5" s="377"/>
      <c r="J5" s="377" t="s">
        <v>203</v>
      </c>
      <c r="K5" s="377"/>
      <c r="L5" s="377"/>
      <c r="N5" s="377" t="s">
        <v>204</v>
      </c>
      <c r="O5" s="377"/>
      <c r="P5" s="377"/>
      <c r="Q5" s="377"/>
      <c r="R5" s="377"/>
      <c r="S5" s="377"/>
    </row>
    <row r="6" spans="1:19" s="376" customFormat="1" ht="14.1" customHeight="1">
      <c r="A6" s="375"/>
      <c r="B6" s="239"/>
      <c r="C6" s="377" t="s">
        <v>53</v>
      </c>
      <c r="D6" s="377"/>
      <c r="E6" s="377"/>
      <c r="F6" s="508" t="s">
        <v>205</v>
      </c>
      <c r="G6" s="508"/>
      <c r="H6" s="508"/>
      <c r="J6" s="377" t="s">
        <v>53</v>
      </c>
      <c r="K6" s="377"/>
      <c r="L6" s="377"/>
      <c r="N6" s="377" t="s">
        <v>53</v>
      </c>
      <c r="O6" s="377"/>
      <c r="P6" s="377"/>
      <c r="Q6" s="508" t="s">
        <v>205</v>
      </c>
      <c r="R6" s="508"/>
      <c r="S6" s="508"/>
    </row>
    <row r="7" spans="1:19" s="260" customFormat="1" ht="23.1" customHeight="1" thickBot="1">
      <c r="A7" s="311"/>
      <c r="B7" s="261" t="s">
        <v>7</v>
      </c>
      <c r="C7" s="297">
        <v>44926</v>
      </c>
      <c r="D7" s="297">
        <v>45291</v>
      </c>
      <c r="E7" s="296">
        <v>45504</v>
      </c>
      <c r="F7" s="509">
        <v>44926</v>
      </c>
      <c r="G7" s="509">
        <v>45291</v>
      </c>
      <c r="H7" s="510">
        <v>45504</v>
      </c>
      <c r="I7" s="259"/>
      <c r="J7" s="297">
        <v>44926</v>
      </c>
      <c r="K7" s="297">
        <v>45291</v>
      </c>
      <c r="L7" s="296">
        <v>45504</v>
      </c>
      <c r="N7" s="297">
        <v>44926</v>
      </c>
      <c r="O7" s="297">
        <v>45291</v>
      </c>
      <c r="P7" s="296">
        <v>45504</v>
      </c>
      <c r="Q7" s="509">
        <v>44926</v>
      </c>
      <c r="R7" s="509">
        <v>45291</v>
      </c>
      <c r="S7" s="510">
        <v>45504</v>
      </c>
    </row>
    <row r="8" spans="1:19" s="262" customFormat="1" ht="14.1" customHeight="1">
      <c r="A8" s="311" t="s">
        <v>12</v>
      </c>
      <c r="B8" s="344" t="s">
        <v>12</v>
      </c>
      <c r="C8" s="511">
        <f>'Recast Reported'!C50</f>
        <v>0</v>
      </c>
      <c r="D8" s="511">
        <f>'Recast Reported'!D50</f>
        <v>0</v>
      </c>
      <c r="E8" s="512">
        <f>'Recast Reported'!E50</f>
        <v>0</v>
      </c>
      <c r="F8" s="513" t="e">
        <f>C8/C$8*100</f>
        <v>#DIV/0!</v>
      </c>
      <c r="G8" s="513" t="e">
        <f>D8/D$8*100</f>
        <v>#DIV/0!</v>
      </c>
      <c r="H8" s="513" t="e">
        <f>E8/E$8*100</f>
        <v>#DIV/0!</v>
      </c>
      <c r="I8" s="514"/>
      <c r="J8" s="511" t="e">
        <f>#REF!-'Recast Reported'!C6</f>
        <v>#REF!</v>
      </c>
      <c r="K8" s="511" t="e">
        <f>#REF!-'Recast Reported'!D6</f>
        <v>#REF!</v>
      </c>
      <c r="L8" s="511" t="e">
        <f>#REF!-'Recast Reported'!E6</f>
        <v>#REF!</v>
      </c>
      <c r="N8" s="511" t="e">
        <f>SUM(C8,J8)</f>
        <v>#REF!</v>
      </c>
      <c r="O8" s="511" t="e">
        <f>SUM(D8,K8)</f>
        <v>#REF!</v>
      </c>
      <c r="P8" s="515" t="e">
        <f>SUM(E8,L8)</f>
        <v>#REF!</v>
      </c>
      <c r="Q8" s="513" t="e">
        <f>N8/N$8*100</f>
        <v>#REF!</v>
      </c>
      <c r="R8" s="513" t="e">
        <f>O8/O$8*100</f>
        <v>#REF!</v>
      </c>
      <c r="S8" s="513" t="e">
        <f>P8/P$8*100</f>
        <v>#REF!</v>
      </c>
    </row>
    <row r="9" spans="1:19" s="262" customFormat="1" ht="4.3499999999999996" customHeight="1">
      <c r="A9" s="311"/>
      <c r="B9" s="378"/>
      <c r="C9" s="447"/>
      <c r="D9" s="447"/>
      <c r="E9" s="516"/>
      <c r="F9" s="517"/>
      <c r="G9" s="517"/>
      <c r="H9" s="517"/>
      <c r="I9" s="514"/>
      <c r="J9" s="447"/>
      <c r="K9" s="447"/>
      <c r="L9" s="447"/>
      <c r="N9" s="447"/>
      <c r="O9" s="447"/>
      <c r="P9" s="516"/>
      <c r="Q9" s="517"/>
      <c r="R9" s="517"/>
      <c r="S9" s="517"/>
    </row>
    <row r="10" spans="1:19" s="262" customFormat="1" ht="14.1" customHeight="1">
      <c r="A10" s="311"/>
      <c r="B10" s="379" t="s">
        <v>1</v>
      </c>
      <c r="C10" s="447"/>
      <c r="D10" s="447"/>
      <c r="E10" s="516"/>
      <c r="F10" s="517"/>
      <c r="G10" s="517"/>
      <c r="H10" s="517"/>
      <c r="I10" s="514"/>
      <c r="J10" s="447"/>
      <c r="K10" s="447"/>
      <c r="L10" s="447"/>
      <c r="N10" s="447"/>
      <c r="O10" s="447"/>
      <c r="P10" s="516"/>
      <c r="Q10" s="517"/>
      <c r="R10" s="517"/>
      <c r="S10" s="517"/>
    </row>
    <row r="11" spans="1:19" s="522" customFormat="1" ht="14.1" customHeight="1">
      <c r="A11" s="518"/>
      <c r="B11" s="99"/>
      <c r="C11" s="429">
        <v>0</v>
      </c>
      <c r="D11" s="482">
        <v>0</v>
      </c>
      <c r="E11" s="519">
        <v>0</v>
      </c>
      <c r="F11" s="520" t="e">
        <f t="shared" ref="F11:H26" si="0">C11/C$8*100</f>
        <v>#DIV/0!</v>
      </c>
      <c r="G11" s="520" t="e">
        <f t="shared" si="0"/>
        <v>#DIV/0!</v>
      </c>
      <c r="H11" s="520" t="e">
        <f t="shared" si="0"/>
        <v>#DIV/0!</v>
      </c>
      <c r="I11" s="521"/>
      <c r="J11" s="429">
        <v>0</v>
      </c>
      <c r="K11" s="429">
        <v>0</v>
      </c>
      <c r="L11" s="429">
        <v>0</v>
      </c>
      <c r="N11" s="429">
        <f t="shared" ref="N11:P25" si="1">SUM(C11,J11)</f>
        <v>0</v>
      </c>
      <c r="O11" s="429">
        <f t="shared" si="1"/>
        <v>0</v>
      </c>
      <c r="P11" s="519">
        <f t="shared" si="1"/>
        <v>0</v>
      </c>
      <c r="Q11" s="520" t="e">
        <f t="shared" ref="Q11:S26" si="2">N11/N$8*100</f>
        <v>#REF!</v>
      </c>
      <c r="R11" s="520" t="e">
        <f t="shared" si="2"/>
        <v>#REF!</v>
      </c>
      <c r="S11" s="520" t="e">
        <f t="shared" si="2"/>
        <v>#REF!</v>
      </c>
    </row>
    <row r="12" spans="1:19" s="264" customFormat="1" ht="14.1" customHeight="1">
      <c r="A12" s="311"/>
      <c r="B12" s="99"/>
      <c r="C12" s="429">
        <v>0</v>
      </c>
      <c r="D12" s="482">
        <v>0</v>
      </c>
      <c r="E12" s="519">
        <v>0</v>
      </c>
      <c r="F12" s="520" t="e">
        <f t="shared" si="0"/>
        <v>#DIV/0!</v>
      </c>
      <c r="G12" s="520" t="e">
        <f t="shared" si="0"/>
        <v>#DIV/0!</v>
      </c>
      <c r="H12" s="520" t="e">
        <f t="shared" si="0"/>
        <v>#DIV/0!</v>
      </c>
      <c r="I12" s="521"/>
      <c r="J12" s="429">
        <v>0</v>
      </c>
      <c r="K12" s="429">
        <v>0</v>
      </c>
      <c r="L12" s="429">
        <v>0</v>
      </c>
      <c r="M12" s="522"/>
      <c r="N12" s="429">
        <f t="shared" si="1"/>
        <v>0</v>
      </c>
      <c r="O12" s="429">
        <f t="shared" si="1"/>
        <v>0</v>
      </c>
      <c r="P12" s="519">
        <f t="shared" si="1"/>
        <v>0</v>
      </c>
      <c r="Q12" s="520" t="e">
        <f t="shared" si="2"/>
        <v>#REF!</v>
      </c>
      <c r="R12" s="520" t="e">
        <f t="shared" si="2"/>
        <v>#REF!</v>
      </c>
      <c r="S12" s="520" t="e">
        <f t="shared" si="2"/>
        <v>#REF!</v>
      </c>
    </row>
    <row r="13" spans="1:19" s="262" customFormat="1" ht="14.1" customHeight="1">
      <c r="A13" s="311"/>
      <c r="B13" s="99"/>
      <c r="C13" s="429">
        <v>0</v>
      </c>
      <c r="D13" s="482">
        <v>0</v>
      </c>
      <c r="E13" s="519">
        <v>0</v>
      </c>
      <c r="F13" s="520" t="e">
        <f t="shared" si="0"/>
        <v>#DIV/0!</v>
      </c>
      <c r="G13" s="520" t="e">
        <f t="shared" si="0"/>
        <v>#DIV/0!</v>
      </c>
      <c r="H13" s="520" t="e">
        <f t="shared" si="0"/>
        <v>#DIV/0!</v>
      </c>
      <c r="I13" s="521"/>
      <c r="J13" s="482">
        <v>0</v>
      </c>
      <c r="K13" s="482">
        <v>0</v>
      </c>
      <c r="L13" s="482">
        <v>0</v>
      </c>
      <c r="M13" s="522"/>
      <c r="N13" s="429">
        <f t="shared" si="1"/>
        <v>0</v>
      </c>
      <c r="O13" s="429">
        <f t="shared" si="1"/>
        <v>0</v>
      </c>
      <c r="P13" s="519">
        <f t="shared" si="1"/>
        <v>0</v>
      </c>
      <c r="Q13" s="520" t="e">
        <f t="shared" si="2"/>
        <v>#REF!</v>
      </c>
      <c r="R13" s="520" t="e">
        <f t="shared" si="2"/>
        <v>#REF!</v>
      </c>
      <c r="S13" s="520" t="e">
        <f t="shared" si="2"/>
        <v>#REF!</v>
      </c>
    </row>
    <row r="14" spans="1:19" s="262" customFormat="1" ht="14.1" customHeight="1">
      <c r="A14" s="311"/>
      <c r="B14" s="99"/>
      <c r="C14" s="429">
        <v>0</v>
      </c>
      <c r="D14" s="482">
        <v>0</v>
      </c>
      <c r="E14" s="519">
        <v>0</v>
      </c>
      <c r="F14" s="520" t="e">
        <f t="shared" si="0"/>
        <v>#DIV/0!</v>
      </c>
      <c r="G14" s="520" t="e">
        <f t="shared" si="0"/>
        <v>#DIV/0!</v>
      </c>
      <c r="H14" s="520" t="e">
        <f t="shared" si="0"/>
        <v>#DIV/0!</v>
      </c>
      <c r="I14" s="521"/>
      <c r="J14" s="482">
        <v>0</v>
      </c>
      <c r="K14" s="482">
        <v>0</v>
      </c>
      <c r="L14" s="482">
        <v>0</v>
      </c>
      <c r="M14" s="522"/>
      <c r="N14" s="429">
        <f t="shared" si="1"/>
        <v>0</v>
      </c>
      <c r="O14" s="429">
        <f t="shared" si="1"/>
        <v>0</v>
      </c>
      <c r="P14" s="519">
        <f t="shared" si="1"/>
        <v>0</v>
      </c>
      <c r="Q14" s="520" t="e">
        <f t="shared" si="2"/>
        <v>#REF!</v>
      </c>
      <c r="R14" s="520" t="e">
        <f t="shared" si="2"/>
        <v>#REF!</v>
      </c>
      <c r="S14" s="520" t="e">
        <f t="shared" si="2"/>
        <v>#REF!</v>
      </c>
    </row>
    <row r="15" spans="1:19" s="262" customFormat="1" ht="14.1" customHeight="1">
      <c r="A15" s="311"/>
      <c r="B15" s="99"/>
      <c r="C15" s="429">
        <v>0</v>
      </c>
      <c r="D15" s="482">
        <v>0</v>
      </c>
      <c r="E15" s="519">
        <v>0</v>
      </c>
      <c r="F15" s="520" t="e">
        <f t="shared" si="0"/>
        <v>#DIV/0!</v>
      </c>
      <c r="G15" s="520" t="e">
        <f t="shared" si="0"/>
        <v>#DIV/0!</v>
      </c>
      <c r="H15" s="520" t="e">
        <f t="shared" si="0"/>
        <v>#DIV/0!</v>
      </c>
      <c r="I15" s="521"/>
      <c r="J15" s="482">
        <v>0</v>
      </c>
      <c r="K15" s="482">
        <v>0</v>
      </c>
      <c r="L15" s="482">
        <v>0</v>
      </c>
      <c r="M15" s="522"/>
      <c r="N15" s="429">
        <f t="shared" si="1"/>
        <v>0</v>
      </c>
      <c r="O15" s="429">
        <f t="shared" si="1"/>
        <v>0</v>
      </c>
      <c r="P15" s="519">
        <f t="shared" si="1"/>
        <v>0</v>
      </c>
      <c r="Q15" s="520" t="e">
        <f t="shared" si="2"/>
        <v>#REF!</v>
      </c>
      <c r="R15" s="520" t="e">
        <f t="shared" si="2"/>
        <v>#REF!</v>
      </c>
      <c r="S15" s="520" t="e">
        <f t="shared" si="2"/>
        <v>#REF!</v>
      </c>
    </row>
    <row r="16" spans="1:19" s="262" customFormat="1" ht="14.1" customHeight="1">
      <c r="A16" s="311"/>
      <c r="B16" s="99"/>
      <c r="C16" s="429">
        <v>0</v>
      </c>
      <c r="D16" s="482">
        <v>0</v>
      </c>
      <c r="E16" s="519">
        <v>0</v>
      </c>
      <c r="F16" s="520" t="e">
        <f t="shared" si="0"/>
        <v>#DIV/0!</v>
      </c>
      <c r="G16" s="520" t="e">
        <f t="shared" si="0"/>
        <v>#DIV/0!</v>
      </c>
      <c r="H16" s="520" t="e">
        <f t="shared" si="0"/>
        <v>#DIV/0!</v>
      </c>
      <c r="I16" s="521"/>
      <c r="J16" s="482">
        <v>0</v>
      </c>
      <c r="K16" s="482">
        <v>0</v>
      </c>
      <c r="L16" s="482">
        <v>0</v>
      </c>
      <c r="M16" s="522"/>
      <c r="N16" s="429">
        <f t="shared" si="1"/>
        <v>0</v>
      </c>
      <c r="O16" s="429">
        <f t="shared" si="1"/>
        <v>0</v>
      </c>
      <c r="P16" s="519">
        <f t="shared" si="1"/>
        <v>0</v>
      </c>
      <c r="Q16" s="520" t="e">
        <f t="shared" si="2"/>
        <v>#REF!</v>
      </c>
      <c r="R16" s="520" t="e">
        <f t="shared" si="2"/>
        <v>#REF!</v>
      </c>
      <c r="S16" s="520" t="e">
        <f t="shared" si="2"/>
        <v>#REF!</v>
      </c>
    </row>
    <row r="17" spans="1:25" s="262" customFormat="1" ht="14.1" customHeight="1">
      <c r="A17" s="311"/>
      <c r="B17" s="99"/>
      <c r="C17" s="429">
        <v>0</v>
      </c>
      <c r="D17" s="482">
        <v>0</v>
      </c>
      <c r="E17" s="519">
        <v>0</v>
      </c>
      <c r="F17" s="520" t="e">
        <f t="shared" si="0"/>
        <v>#DIV/0!</v>
      </c>
      <c r="G17" s="520" t="e">
        <f t="shared" si="0"/>
        <v>#DIV/0!</v>
      </c>
      <c r="H17" s="520" t="e">
        <f t="shared" si="0"/>
        <v>#DIV/0!</v>
      </c>
      <c r="I17" s="521"/>
      <c r="J17" s="482">
        <v>0</v>
      </c>
      <c r="K17" s="482">
        <v>0</v>
      </c>
      <c r="L17" s="482">
        <v>0</v>
      </c>
      <c r="M17" s="522"/>
      <c r="N17" s="429">
        <f t="shared" si="1"/>
        <v>0</v>
      </c>
      <c r="O17" s="429">
        <f t="shared" si="1"/>
        <v>0</v>
      </c>
      <c r="P17" s="519">
        <f t="shared" si="1"/>
        <v>0</v>
      </c>
      <c r="Q17" s="520" t="e">
        <f t="shared" si="2"/>
        <v>#REF!</v>
      </c>
      <c r="R17" s="520" t="e">
        <f>O17/O$8*100</f>
        <v>#REF!</v>
      </c>
      <c r="S17" s="520" t="e">
        <f>P17/P$8*100</f>
        <v>#REF!</v>
      </c>
    </row>
    <row r="18" spans="1:25" s="262" customFormat="1" ht="14.1" customHeight="1">
      <c r="A18" s="311"/>
      <c r="B18" s="99"/>
      <c r="C18" s="429">
        <v>0</v>
      </c>
      <c r="D18" s="482">
        <v>0</v>
      </c>
      <c r="E18" s="519">
        <v>0</v>
      </c>
      <c r="F18" s="520" t="e">
        <f t="shared" si="0"/>
        <v>#DIV/0!</v>
      </c>
      <c r="G18" s="520" t="e">
        <f t="shared" si="0"/>
        <v>#DIV/0!</v>
      </c>
      <c r="H18" s="520" t="e">
        <f t="shared" si="0"/>
        <v>#DIV/0!</v>
      </c>
      <c r="I18" s="521"/>
      <c r="J18" s="482">
        <v>0</v>
      </c>
      <c r="K18" s="482">
        <v>0</v>
      </c>
      <c r="L18" s="482">
        <v>0</v>
      </c>
      <c r="M18" s="522"/>
      <c r="N18" s="429">
        <f t="shared" si="1"/>
        <v>0</v>
      </c>
      <c r="O18" s="429">
        <f t="shared" si="1"/>
        <v>0</v>
      </c>
      <c r="P18" s="519">
        <f t="shared" si="1"/>
        <v>0</v>
      </c>
      <c r="Q18" s="520" t="e">
        <f t="shared" si="2"/>
        <v>#REF!</v>
      </c>
      <c r="R18" s="520" t="e">
        <f t="shared" si="2"/>
        <v>#REF!</v>
      </c>
      <c r="S18" s="520" t="e">
        <f t="shared" si="2"/>
        <v>#REF!</v>
      </c>
    </row>
    <row r="19" spans="1:25" s="262" customFormat="1" ht="14.1" customHeight="1">
      <c r="A19" s="311"/>
      <c r="B19" s="99"/>
      <c r="C19" s="429">
        <v>0</v>
      </c>
      <c r="D19" s="482">
        <v>0</v>
      </c>
      <c r="E19" s="519">
        <v>0</v>
      </c>
      <c r="F19" s="520" t="e">
        <f t="shared" si="0"/>
        <v>#DIV/0!</v>
      </c>
      <c r="G19" s="520" t="e">
        <f t="shared" si="0"/>
        <v>#DIV/0!</v>
      </c>
      <c r="H19" s="520" t="e">
        <f t="shared" si="0"/>
        <v>#DIV/0!</v>
      </c>
      <c r="I19" s="521"/>
      <c r="J19" s="482">
        <v>0</v>
      </c>
      <c r="K19" s="482">
        <v>0</v>
      </c>
      <c r="L19" s="482">
        <v>0</v>
      </c>
      <c r="M19" s="522"/>
      <c r="N19" s="429">
        <f t="shared" si="1"/>
        <v>0</v>
      </c>
      <c r="O19" s="429">
        <f t="shared" si="1"/>
        <v>0</v>
      </c>
      <c r="P19" s="519">
        <f t="shared" si="1"/>
        <v>0</v>
      </c>
      <c r="Q19" s="520" t="e">
        <f t="shared" si="2"/>
        <v>#REF!</v>
      </c>
      <c r="R19" s="520" t="e">
        <f t="shared" si="2"/>
        <v>#REF!</v>
      </c>
      <c r="S19" s="520" t="e">
        <f t="shared" si="2"/>
        <v>#REF!</v>
      </c>
      <c r="X19" s="201"/>
    </row>
    <row r="20" spans="1:25" s="262" customFormat="1" ht="14.1" customHeight="1">
      <c r="A20" s="311"/>
      <c r="B20" s="99"/>
      <c r="C20" s="429">
        <v>0</v>
      </c>
      <c r="D20" s="482">
        <v>0</v>
      </c>
      <c r="E20" s="519">
        <v>0</v>
      </c>
      <c r="F20" s="520" t="e">
        <f t="shared" si="0"/>
        <v>#DIV/0!</v>
      </c>
      <c r="G20" s="520" t="e">
        <f t="shared" si="0"/>
        <v>#DIV/0!</v>
      </c>
      <c r="H20" s="520" t="e">
        <f t="shared" si="0"/>
        <v>#DIV/0!</v>
      </c>
      <c r="I20" s="521"/>
      <c r="J20" s="482">
        <v>0</v>
      </c>
      <c r="K20" s="482">
        <v>0</v>
      </c>
      <c r="L20" s="482">
        <v>0</v>
      </c>
      <c r="M20" s="522"/>
      <c r="N20" s="429">
        <f t="shared" si="1"/>
        <v>0</v>
      </c>
      <c r="O20" s="429">
        <f t="shared" si="1"/>
        <v>0</v>
      </c>
      <c r="P20" s="519">
        <f t="shared" si="1"/>
        <v>0</v>
      </c>
      <c r="Q20" s="520" t="e">
        <f t="shared" si="2"/>
        <v>#REF!</v>
      </c>
      <c r="R20" s="520" t="e">
        <f t="shared" si="2"/>
        <v>#REF!</v>
      </c>
      <c r="S20" s="520" t="e">
        <f t="shared" si="2"/>
        <v>#REF!</v>
      </c>
      <c r="X20" s="201"/>
    </row>
    <row r="21" spans="1:25" s="262" customFormat="1" ht="14.1" customHeight="1">
      <c r="A21" s="311"/>
      <c r="B21" s="99"/>
      <c r="C21" s="429">
        <v>0</v>
      </c>
      <c r="D21" s="482">
        <v>0</v>
      </c>
      <c r="E21" s="519">
        <v>0</v>
      </c>
      <c r="F21" s="520" t="e">
        <f t="shared" si="0"/>
        <v>#DIV/0!</v>
      </c>
      <c r="G21" s="520" t="e">
        <f t="shared" si="0"/>
        <v>#DIV/0!</v>
      </c>
      <c r="H21" s="520" t="e">
        <f t="shared" si="0"/>
        <v>#DIV/0!</v>
      </c>
      <c r="I21" s="521"/>
      <c r="J21" s="482">
        <v>0</v>
      </c>
      <c r="K21" s="482">
        <v>0</v>
      </c>
      <c r="L21" s="482">
        <v>0</v>
      </c>
      <c r="M21" s="522"/>
      <c r="N21" s="429">
        <f t="shared" si="1"/>
        <v>0</v>
      </c>
      <c r="O21" s="429">
        <f t="shared" si="1"/>
        <v>0</v>
      </c>
      <c r="P21" s="519">
        <f t="shared" si="1"/>
        <v>0</v>
      </c>
      <c r="Q21" s="520" t="e">
        <f t="shared" si="2"/>
        <v>#REF!</v>
      </c>
      <c r="R21" s="520" t="e">
        <f t="shared" si="2"/>
        <v>#REF!</v>
      </c>
      <c r="S21" s="520" t="e">
        <f t="shared" si="2"/>
        <v>#REF!</v>
      </c>
      <c r="X21" s="201"/>
    </row>
    <row r="22" spans="1:25" s="262" customFormat="1" ht="14.1" customHeight="1">
      <c r="A22" s="311"/>
      <c r="B22" s="99"/>
      <c r="C22" s="429">
        <v>0</v>
      </c>
      <c r="D22" s="482">
        <v>0</v>
      </c>
      <c r="E22" s="519">
        <v>0</v>
      </c>
      <c r="F22" s="520" t="e">
        <f t="shared" si="0"/>
        <v>#DIV/0!</v>
      </c>
      <c r="G22" s="520" t="e">
        <f t="shared" si="0"/>
        <v>#DIV/0!</v>
      </c>
      <c r="H22" s="520" t="e">
        <f t="shared" si="0"/>
        <v>#DIV/0!</v>
      </c>
      <c r="I22" s="521"/>
      <c r="J22" s="482">
        <v>0</v>
      </c>
      <c r="K22" s="482">
        <v>0</v>
      </c>
      <c r="L22" s="482">
        <v>0</v>
      </c>
      <c r="M22" s="522"/>
      <c r="N22" s="429">
        <f t="shared" si="1"/>
        <v>0</v>
      </c>
      <c r="O22" s="429">
        <f t="shared" si="1"/>
        <v>0</v>
      </c>
      <c r="P22" s="519">
        <f t="shared" si="1"/>
        <v>0</v>
      </c>
      <c r="Q22" s="520" t="e">
        <f t="shared" si="2"/>
        <v>#REF!</v>
      </c>
      <c r="R22" s="520" t="e">
        <f t="shared" si="2"/>
        <v>#REF!</v>
      </c>
      <c r="S22" s="520" t="e">
        <f t="shared" si="2"/>
        <v>#REF!</v>
      </c>
      <c r="X22" s="201"/>
    </row>
    <row r="23" spans="1:25" s="262" customFormat="1" ht="14.1" customHeight="1">
      <c r="A23" s="311"/>
      <c r="B23" s="99"/>
      <c r="C23" s="429">
        <v>0</v>
      </c>
      <c r="D23" s="482">
        <v>0</v>
      </c>
      <c r="E23" s="519">
        <v>0</v>
      </c>
      <c r="F23" s="520" t="e">
        <f t="shared" si="0"/>
        <v>#DIV/0!</v>
      </c>
      <c r="G23" s="520" t="e">
        <f t="shared" si="0"/>
        <v>#DIV/0!</v>
      </c>
      <c r="H23" s="520" t="e">
        <f t="shared" si="0"/>
        <v>#DIV/0!</v>
      </c>
      <c r="I23" s="521"/>
      <c r="J23" s="482">
        <v>0</v>
      </c>
      <c r="K23" s="482">
        <v>0</v>
      </c>
      <c r="L23" s="482">
        <v>0</v>
      </c>
      <c r="M23" s="522"/>
      <c r="N23" s="429">
        <f t="shared" si="1"/>
        <v>0</v>
      </c>
      <c r="O23" s="429">
        <f t="shared" si="1"/>
        <v>0</v>
      </c>
      <c r="P23" s="519">
        <f t="shared" si="1"/>
        <v>0</v>
      </c>
      <c r="Q23" s="520" t="e">
        <f t="shared" si="2"/>
        <v>#REF!</v>
      </c>
      <c r="R23" s="520" t="e">
        <f t="shared" si="2"/>
        <v>#REF!</v>
      </c>
      <c r="S23" s="520" t="e">
        <f t="shared" si="2"/>
        <v>#REF!</v>
      </c>
      <c r="X23" s="201"/>
    </row>
    <row r="24" spans="1:25" s="262" customFormat="1" ht="14.1" customHeight="1">
      <c r="A24" s="311"/>
      <c r="B24" s="99"/>
      <c r="C24" s="429">
        <v>0</v>
      </c>
      <c r="D24" s="482">
        <v>0</v>
      </c>
      <c r="E24" s="519">
        <v>0</v>
      </c>
      <c r="F24" s="520" t="e">
        <f t="shared" si="0"/>
        <v>#DIV/0!</v>
      </c>
      <c r="G24" s="520" t="e">
        <f t="shared" si="0"/>
        <v>#DIV/0!</v>
      </c>
      <c r="H24" s="520" t="e">
        <f t="shared" si="0"/>
        <v>#DIV/0!</v>
      </c>
      <c r="I24" s="521"/>
      <c r="J24" s="482">
        <v>0</v>
      </c>
      <c r="K24" s="482">
        <v>0</v>
      </c>
      <c r="L24" s="482">
        <v>0</v>
      </c>
      <c r="M24" s="522"/>
      <c r="N24" s="429">
        <f t="shared" si="1"/>
        <v>0</v>
      </c>
      <c r="O24" s="429">
        <f t="shared" si="1"/>
        <v>0</v>
      </c>
      <c r="P24" s="519">
        <f t="shared" si="1"/>
        <v>0</v>
      </c>
      <c r="Q24" s="520" t="e">
        <f t="shared" si="2"/>
        <v>#REF!</v>
      </c>
      <c r="R24" s="520" t="e">
        <f t="shared" si="2"/>
        <v>#REF!</v>
      </c>
      <c r="S24" s="520" t="e">
        <f t="shared" si="2"/>
        <v>#REF!</v>
      </c>
      <c r="X24" s="201"/>
    </row>
    <row r="25" spans="1:25" s="264" customFormat="1" ht="14.1" customHeight="1">
      <c r="A25" s="311"/>
      <c r="B25" s="99"/>
      <c r="C25" s="429">
        <v>0</v>
      </c>
      <c r="D25" s="482">
        <v>0</v>
      </c>
      <c r="E25" s="519">
        <v>0</v>
      </c>
      <c r="F25" s="520" t="e">
        <f t="shared" si="0"/>
        <v>#DIV/0!</v>
      </c>
      <c r="G25" s="520" t="e">
        <f t="shared" si="0"/>
        <v>#DIV/0!</v>
      </c>
      <c r="H25" s="520" t="e">
        <f t="shared" si="0"/>
        <v>#DIV/0!</v>
      </c>
      <c r="I25" s="521"/>
      <c r="J25" s="482">
        <v>0</v>
      </c>
      <c r="K25" s="482">
        <v>0</v>
      </c>
      <c r="L25" s="482">
        <v>0</v>
      </c>
      <c r="M25" s="522"/>
      <c r="N25" s="429">
        <f t="shared" si="1"/>
        <v>0</v>
      </c>
      <c r="O25" s="429">
        <f t="shared" si="1"/>
        <v>0</v>
      </c>
      <c r="P25" s="519">
        <f t="shared" si="1"/>
        <v>0</v>
      </c>
      <c r="Q25" s="520" t="e">
        <f t="shared" si="2"/>
        <v>#REF!</v>
      </c>
      <c r="R25" s="520" t="e">
        <f t="shared" si="2"/>
        <v>#REF!</v>
      </c>
      <c r="S25" s="520" t="e">
        <f t="shared" si="2"/>
        <v>#REF!</v>
      </c>
      <c r="Y25" s="201"/>
    </row>
    <row r="26" spans="1:25" s="262" customFormat="1" ht="14.1" customHeight="1" thickBot="1">
      <c r="A26" s="311"/>
      <c r="B26" s="345" t="s">
        <v>1</v>
      </c>
      <c r="C26" s="437">
        <f>SUM(C11:C25)</f>
        <v>0</v>
      </c>
      <c r="D26" s="437">
        <f>SUM(D11:D25)</f>
        <v>0</v>
      </c>
      <c r="E26" s="523">
        <f>SUM(E11:E25)</f>
        <v>0</v>
      </c>
      <c r="F26" s="524" t="e">
        <f t="shared" si="0"/>
        <v>#DIV/0!</v>
      </c>
      <c r="G26" s="524" t="e">
        <f t="shared" si="0"/>
        <v>#DIV/0!</v>
      </c>
      <c r="H26" s="524" t="e">
        <f t="shared" si="0"/>
        <v>#DIV/0!</v>
      </c>
      <c r="I26" s="521"/>
      <c r="J26" s="437">
        <f>SUM(J11:J25)</f>
        <v>0</v>
      </c>
      <c r="K26" s="437">
        <f>SUM(K11:K25)</f>
        <v>0</v>
      </c>
      <c r="L26" s="437">
        <f>SUM(L11:L25)</f>
        <v>0</v>
      </c>
      <c r="N26" s="437">
        <f>SUM(N11:N25)</f>
        <v>0</v>
      </c>
      <c r="O26" s="437">
        <f>SUM(O11:O25)</f>
        <v>0</v>
      </c>
      <c r="P26" s="523">
        <f>SUM(P11:P25)</f>
        <v>0</v>
      </c>
      <c r="Q26" s="524" t="e">
        <f t="shared" si="2"/>
        <v>#REF!</v>
      </c>
      <c r="R26" s="524" t="e">
        <f t="shared" si="2"/>
        <v>#REF!</v>
      </c>
      <c r="S26" s="524" t="e">
        <f t="shared" si="2"/>
        <v>#REF!</v>
      </c>
      <c r="Y26" s="201"/>
    </row>
    <row r="27" spans="1:25" s="266" customFormat="1" ht="14.1" customHeight="1">
      <c r="A27" s="311"/>
      <c r="B27" s="93" t="s">
        <v>64</v>
      </c>
      <c r="C27" s="263"/>
      <c r="D27" s="263"/>
      <c r="E27" s="263"/>
      <c r="F27" s="263"/>
      <c r="G27" s="263"/>
      <c r="H27" s="263"/>
      <c r="I27" s="263"/>
      <c r="J27" s="263"/>
      <c r="K27" s="263"/>
      <c r="L27" s="263"/>
      <c r="N27" s="263"/>
      <c r="O27" s="263"/>
      <c r="P27" s="263"/>
      <c r="Q27" s="263"/>
      <c r="R27" s="263"/>
      <c r="S27" s="263"/>
      <c r="Y27" s="201"/>
    </row>
    <row r="28" spans="1:25" s="220" customFormat="1" ht="14.1" customHeight="1">
      <c r="A28" s="311"/>
      <c r="B28" s="221"/>
      <c r="C28" s="222"/>
      <c r="D28" s="222"/>
      <c r="E28" s="222"/>
      <c r="F28" s="222"/>
      <c r="G28" s="222"/>
      <c r="H28" s="222"/>
      <c r="I28" s="222"/>
      <c r="J28" s="222"/>
      <c r="K28" s="222"/>
      <c r="L28" s="222"/>
      <c r="N28" s="222"/>
      <c r="O28" s="222"/>
      <c r="P28" s="222"/>
      <c r="Q28" s="222"/>
      <c r="R28" s="222"/>
      <c r="S28" s="222"/>
      <c r="Y28" s="201"/>
    </row>
    <row r="29" spans="1:25" s="221" customFormat="1" ht="14.1" customHeight="1" outlineLevel="1">
      <c r="A29" s="311"/>
      <c r="B29" s="221" t="s">
        <v>45</v>
      </c>
      <c r="C29" s="525">
        <f>'Recast Reported'!C6</f>
        <v>0</v>
      </c>
      <c r="D29" s="525">
        <f>'Recast Reported'!D6</f>
        <v>0</v>
      </c>
      <c r="E29" s="525">
        <f>'Recast Reported'!E6</f>
        <v>0</v>
      </c>
      <c r="F29" s="525"/>
      <c r="G29" s="525"/>
      <c r="H29" s="525"/>
      <c r="I29" s="525"/>
      <c r="J29" s="525"/>
      <c r="K29" s="525"/>
      <c r="L29" s="525"/>
      <c r="M29" s="526"/>
      <c r="N29" s="525"/>
      <c r="O29" s="525"/>
      <c r="P29" s="525"/>
      <c r="Q29" s="525"/>
      <c r="R29" s="525"/>
      <c r="S29" s="525"/>
      <c r="Y29" s="201"/>
    </row>
    <row r="30" spans="1:25" s="221" customFormat="1" ht="14.1" customHeight="1" outlineLevel="1">
      <c r="A30" s="311"/>
      <c r="B30" s="221" t="s">
        <v>2</v>
      </c>
      <c r="C30" s="525">
        <f>C29-C8</f>
        <v>0</v>
      </c>
      <c r="D30" s="525">
        <f>D29-D8</f>
        <v>0</v>
      </c>
      <c r="E30" s="525">
        <f>E29-E8</f>
        <v>0</v>
      </c>
      <c r="F30" s="525"/>
      <c r="G30" s="525"/>
      <c r="H30" s="525"/>
      <c r="I30" s="525"/>
      <c r="J30" s="525"/>
      <c r="K30" s="525"/>
      <c r="L30" s="525"/>
      <c r="M30" s="526"/>
      <c r="N30" s="525"/>
      <c r="O30" s="525"/>
      <c r="P30" s="525"/>
      <c r="Q30" s="525"/>
      <c r="R30" s="525"/>
      <c r="S30" s="525"/>
      <c r="Y30" s="201"/>
    </row>
    <row r="31" spans="1:25" ht="4.3499999999999996" customHeight="1" outlineLevel="1">
      <c r="Y31" s="201"/>
    </row>
    <row r="32" spans="1:25" s="221" customFormat="1" ht="14.1" customHeight="1" outlineLevel="1">
      <c r="A32" s="311"/>
      <c r="B32" s="221" t="s">
        <v>1</v>
      </c>
      <c r="C32" s="525">
        <f>'Recast Reported'!C27</f>
        <v>0</v>
      </c>
      <c r="D32" s="525">
        <f>'Recast Reported'!D27</f>
        <v>0</v>
      </c>
      <c r="E32" s="525">
        <f>'Recast Reported'!E27</f>
        <v>0</v>
      </c>
      <c r="F32" s="525"/>
      <c r="G32" s="525"/>
      <c r="H32" s="525"/>
      <c r="I32" s="215"/>
      <c r="J32" s="215"/>
      <c r="K32" s="215"/>
      <c r="L32" s="215"/>
      <c r="M32" s="526"/>
      <c r="N32" s="525"/>
      <c r="O32" s="525"/>
      <c r="P32" s="525"/>
      <c r="Q32" s="525"/>
      <c r="R32" s="525"/>
      <c r="S32" s="525"/>
      <c r="Y32" s="201"/>
    </row>
    <row r="33" spans="1:25" s="221" customFormat="1" ht="14.1" customHeight="1" outlineLevel="1">
      <c r="A33" s="311"/>
      <c r="B33" s="221" t="s">
        <v>2</v>
      </c>
      <c r="C33" s="525">
        <f>C32-C26</f>
        <v>0</v>
      </c>
      <c r="D33" s="525">
        <f>D32-D26</f>
        <v>0</v>
      </c>
      <c r="E33" s="525">
        <f>E32-E26</f>
        <v>0</v>
      </c>
      <c r="F33" s="525"/>
      <c r="G33" s="525"/>
      <c r="H33" s="525"/>
      <c r="I33" s="215"/>
      <c r="J33" s="215"/>
      <c r="K33" s="215"/>
      <c r="L33" s="215"/>
      <c r="M33" s="526"/>
      <c r="N33" s="527"/>
      <c r="O33" s="527"/>
      <c r="P33" s="527"/>
      <c r="Q33" s="528"/>
      <c r="R33" s="528"/>
      <c r="S33" s="528"/>
      <c r="Y33" s="201"/>
    </row>
    <row r="34" spans="1:25" ht="14.1" customHeight="1">
      <c r="Y34" s="201"/>
    </row>
    <row r="35" spans="1:25" ht="14.1" customHeight="1">
      <c r="Y35" s="201"/>
    </row>
    <row r="36" spans="1:25" ht="14.1" customHeight="1">
      <c r="Y36" s="201"/>
    </row>
  </sheetData>
  <pageMargins left="0.5" right="0.5" top="0.75" bottom="0.5" header="0.3" footer="0.3"/>
  <pageSetup scale="85" orientation="landscape" r:id="rId1"/>
  <headerFooter>
    <oddHeader xml:space="preserve">&amp;C 
</oddHeader>
  </headerFooter>
</worksheet>
</file>

<file path=xl/worksheets/sheet12.xml><?xml version="1.0" encoding="utf-8"?>
<worksheet xmlns="http://schemas.openxmlformats.org/spreadsheetml/2006/main" xmlns:r="http://schemas.openxmlformats.org/officeDocument/2006/relationships">
  <sheetPr codeName="Sheet31">
    <tabColor rgb="FF262261"/>
    <pageSetUpPr fitToPage="1"/>
  </sheetPr>
  <dimension ref="A10:L31"/>
  <sheetViews>
    <sheetView showGridLines="0" view="pageBreakPreview" zoomScaleNormal="100" zoomScaleSheetLayoutView="100" workbookViewId="0"/>
  </sheetViews>
  <sheetFormatPr defaultColWidth="6.19921875" defaultRowHeight="10.199999999999999"/>
  <cols>
    <col min="1" max="1" width="82.59765625" style="6" customWidth="1"/>
    <col min="2" max="16384" width="6.19921875" style="6"/>
  </cols>
  <sheetData>
    <row r="10" spans="1:1" ht="55.2" customHeight="1">
      <c r="A10" s="71" t="str">
        <f ca="1">RIGHT(CELL("filename",A1),LEN(CELL("filename",A1))-FIND("]",CELL("filename",A1)))</f>
        <v>Reconciliations &gt;&gt;&gt;</v>
      </c>
    </row>
    <row r="31" spans="12:12">
      <c r="L31" s="7"/>
    </row>
  </sheetData>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sheetPr codeName="Sheet18">
    <pageSetUpPr autoPageBreaks="0" fitToPage="1"/>
  </sheetPr>
  <dimension ref="A1:AK54"/>
  <sheetViews>
    <sheetView showGridLines="0" view="pageBreakPreview" zoomScaleNormal="100" zoomScaleSheetLayoutView="100" workbookViewId="0">
      <pane xSplit="1" ySplit="5" topLeftCell="B6" activePane="bottomRight" state="frozen"/>
      <selection pane="topRight"/>
      <selection pane="bottomLeft"/>
      <selection pane="bottomRight"/>
    </sheetView>
  </sheetViews>
  <sheetFormatPr defaultColWidth="6.19921875" defaultRowHeight="13.95" customHeight="1" outlineLevelRow="1"/>
  <cols>
    <col min="1" max="1" width="23.59765625" style="10" customWidth="1"/>
    <col min="2" max="13" width="5.59765625" style="8" customWidth="1"/>
    <col min="14" max="14" width="1.59765625" style="9" customWidth="1"/>
    <col min="15" max="15" width="5.59765625" style="8" customWidth="1"/>
    <col min="16" max="37" width="6.19921875" style="9"/>
    <col min="38" max="16384" width="6.19921875" style="8"/>
  </cols>
  <sheetData>
    <row r="1" spans="1:37" s="83" customFormat="1" ht="13.95" customHeight="1">
      <c r="A1" s="83" t="str">
        <f>Project&amp;" - "&amp;City&amp;", "&amp;State</f>
        <v>OPEN - OPEN, OPEN</v>
      </c>
    </row>
    <row r="2" spans="1:37" s="84" customFormat="1" ht="13.95" customHeight="1">
      <c r="A2" s="84" t="str">
        <f ca="1">MID(CELL("filename",A1),FIND("]",CELL("filename",A1))+1,255)</f>
        <v>Proof of Revenue</v>
      </c>
    </row>
    <row r="3" spans="1:37" s="9" customFormat="1" ht="13.95" customHeight="1">
      <c r="A3" s="12"/>
    </row>
    <row r="4" spans="1:37" s="226" customFormat="1" ht="13.95" customHeight="1">
      <c r="A4" s="82" t="s">
        <v>17</v>
      </c>
      <c r="B4" s="82"/>
      <c r="C4" s="82"/>
      <c r="D4" s="82"/>
      <c r="E4" s="82"/>
      <c r="F4" s="82"/>
      <c r="G4" s="82"/>
      <c r="H4" s="82"/>
      <c r="I4" s="82"/>
      <c r="J4" s="82"/>
      <c r="K4" s="82"/>
      <c r="L4" s="82"/>
      <c r="M4" s="82"/>
      <c r="N4" s="82"/>
      <c r="O4" s="82"/>
      <c r="P4" s="227"/>
      <c r="Q4" s="227"/>
      <c r="R4" s="227"/>
      <c r="S4" s="227"/>
      <c r="T4" s="227"/>
      <c r="U4" s="227"/>
      <c r="V4" s="227"/>
      <c r="W4" s="227"/>
      <c r="X4" s="227"/>
      <c r="Y4" s="227"/>
      <c r="Z4" s="227"/>
      <c r="AA4" s="227"/>
      <c r="AB4" s="227"/>
      <c r="AC4" s="227"/>
      <c r="AD4" s="227"/>
      <c r="AE4" s="227"/>
      <c r="AF4" s="227"/>
      <c r="AG4" s="227"/>
      <c r="AH4" s="227"/>
      <c r="AI4" s="227"/>
      <c r="AJ4" s="227"/>
      <c r="AK4" s="227"/>
    </row>
    <row r="5" spans="1:37" s="257" customFormat="1" ht="27" customHeight="1" thickBot="1">
      <c r="A5" s="255" t="s">
        <v>7</v>
      </c>
      <c r="B5" s="256">
        <v>45107</v>
      </c>
      <c r="C5" s="256">
        <f t="shared" ref="C5:G5" si="0">EOMONTH(B5,1)</f>
        <v>45138</v>
      </c>
      <c r="D5" s="256">
        <f t="shared" si="0"/>
        <v>45169</v>
      </c>
      <c r="E5" s="256">
        <f t="shared" si="0"/>
        <v>45199</v>
      </c>
      <c r="F5" s="256">
        <f t="shared" si="0"/>
        <v>45230</v>
      </c>
      <c r="G5" s="256">
        <f t="shared" si="0"/>
        <v>45260</v>
      </c>
      <c r="H5" s="256">
        <f t="shared" ref="H5" si="1">EOMONTH(G5,1)</f>
        <v>45291</v>
      </c>
      <c r="I5" s="256">
        <f t="shared" ref="I5" si="2">EOMONTH(H5,1)</f>
        <v>45322</v>
      </c>
      <c r="J5" s="256">
        <f t="shared" ref="J5" si="3">EOMONTH(I5,1)</f>
        <v>45351</v>
      </c>
      <c r="K5" s="256">
        <f t="shared" ref="K5" si="4">EOMONTH(J5,1)</f>
        <v>45382</v>
      </c>
      <c r="L5" s="256">
        <f t="shared" ref="L5" si="5">EOMONTH(K5,1)</f>
        <v>45412</v>
      </c>
      <c r="M5" s="256">
        <f t="shared" ref="M5" si="6">EOMONTH(L5,1)</f>
        <v>45443</v>
      </c>
      <c r="O5" s="296">
        <f>Stub_Period</f>
        <v>45565</v>
      </c>
    </row>
    <row r="6" spans="1:37" s="420" customFormat="1" ht="13.95" customHeight="1">
      <c r="A6" s="419" t="s">
        <v>206</v>
      </c>
      <c r="B6" s="168"/>
      <c r="C6" s="168"/>
      <c r="D6" s="168"/>
      <c r="E6" s="168"/>
      <c r="F6" s="168"/>
      <c r="G6" s="168"/>
      <c r="H6" s="168"/>
      <c r="I6" s="168"/>
      <c r="J6" s="168"/>
      <c r="K6" s="168"/>
      <c r="L6" s="168"/>
      <c r="M6" s="168"/>
      <c r="O6" s="168"/>
    </row>
    <row r="7" spans="1:37" s="422" customFormat="1" ht="13.95" customHeight="1">
      <c r="A7" s="233" t="s">
        <v>45</v>
      </c>
      <c r="B7" s="316">
        <f>PL!AC15</f>
        <v>0</v>
      </c>
      <c r="C7" s="316">
        <f>PL!AD15</f>
        <v>0</v>
      </c>
      <c r="D7" s="316">
        <f>PL!AE15</f>
        <v>0</v>
      </c>
      <c r="E7" s="316">
        <f>PL!AF15</f>
        <v>0</v>
      </c>
      <c r="F7" s="316">
        <f>PL!AG15</f>
        <v>0</v>
      </c>
      <c r="G7" s="316">
        <f>PL!AH15</f>
        <v>0</v>
      </c>
      <c r="H7" s="316">
        <f>PL!AI15</f>
        <v>0</v>
      </c>
      <c r="I7" s="316">
        <f>PL!AJ15</f>
        <v>0</v>
      </c>
      <c r="J7" s="316">
        <f>PL!AK15</f>
        <v>0</v>
      </c>
      <c r="K7" s="316">
        <f>PL!AL15</f>
        <v>0</v>
      </c>
      <c r="L7" s="316">
        <f>PL!AM15</f>
        <v>0</v>
      </c>
      <c r="M7" s="316">
        <f>PL!AN15</f>
        <v>0</v>
      </c>
      <c r="N7" s="421"/>
      <c r="O7" s="316">
        <f t="shared" ref="O7" si="7">SUM(B7:M7)</f>
        <v>0</v>
      </c>
    </row>
    <row r="8" spans="1:37" s="422" customFormat="1" ht="13.95" customHeight="1">
      <c r="A8" s="258" t="s">
        <v>196</v>
      </c>
      <c r="B8" s="316"/>
      <c r="C8" s="316"/>
      <c r="D8" s="316"/>
      <c r="E8" s="316"/>
      <c r="F8" s="316"/>
      <c r="G8" s="316"/>
      <c r="H8" s="316"/>
      <c r="I8" s="316"/>
      <c r="J8" s="316"/>
      <c r="K8" s="316"/>
      <c r="L8" s="316"/>
      <c r="M8" s="316"/>
      <c r="N8" s="421"/>
      <c r="O8" s="316"/>
    </row>
    <row r="9" spans="1:37" s="422" customFormat="1" ht="13.95" customHeight="1">
      <c r="A9" s="230" t="s">
        <v>207</v>
      </c>
      <c r="B9" s="318">
        <f t="shared" ref="B9:M9" si="8">SUM(B7:B7)</f>
        <v>0</v>
      </c>
      <c r="C9" s="318">
        <f t="shared" si="8"/>
        <v>0</v>
      </c>
      <c r="D9" s="318">
        <f t="shared" si="8"/>
        <v>0</v>
      </c>
      <c r="E9" s="318">
        <f t="shared" si="8"/>
        <v>0</v>
      </c>
      <c r="F9" s="318">
        <f t="shared" si="8"/>
        <v>0</v>
      </c>
      <c r="G9" s="318">
        <f t="shared" si="8"/>
        <v>0</v>
      </c>
      <c r="H9" s="318">
        <f t="shared" si="8"/>
        <v>0</v>
      </c>
      <c r="I9" s="318">
        <f t="shared" si="8"/>
        <v>0</v>
      </c>
      <c r="J9" s="318">
        <f t="shared" si="8"/>
        <v>0</v>
      </c>
      <c r="K9" s="318">
        <f t="shared" si="8"/>
        <v>0</v>
      </c>
      <c r="L9" s="318">
        <f t="shared" si="8"/>
        <v>0</v>
      </c>
      <c r="M9" s="318">
        <f t="shared" si="8"/>
        <v>0</v>
      </c>
      <c r="N9" s="421"/>
      <c r="O9" s="318">
        <f>SUM(O7:O7)</f>
        <v>0</v>
      </c>
    </row>
    <row r="10" spans="1:37" s="229" customFormat="1" ht="13.95" customHeight="1">
      <c r="A10" s="230"/>
      <c r="B10" s="319"/>
      <c r="C10" s="319"/>
      <c r="D10" s="319"/>
      <c r="E10" s="319"/>
      <c r="F10" s="319"/>
      <c r="G10" s="319"/>
      <c r="H10" s="319"/>
      <c r="I10" s="319"/>
      <c r="J10" s="319"/>
      <c r="K10" s="319"/>
      <c r="L10" s="319"/>
      <c r="M10" s="319"/>
      <c r="N10" s="317"/>
      <c r="O10" s="319"/>
    </row>
    <row r="11" spans="1:37" s="229" customFormat="1" ht="13.95" customHeight="1">
      <c r="A11" s="419" t="s">
        <v>228</v>
      </c>
      <c r="B11" s="319"/>
      <c r="C11" s="319"/>
      <c r="D11" s="319"/>
      <c r="E11" s="319"/>
      <c r="F11" s="319"/>
      <c r="G11" s="319"/>
      <c r="H11" s="319"/>
      <c r="I11" s="319"/>
      <c r="J11" s="319"/>
      <c r="K11" s="319"/>
      <c r="L11" s="319"/>
      <c r="M11" s="319"/>
      <c r="N11" s="317"/>
      <c r="O11" s="319"/>
    </row>
    <row r="12" spans="1:37" s="229" customFormat="1" ht="13.95" customHeight="1">
      <c r="A12" s="231" t="s">
        <v>50</v>
      </c>
      <c r="B12" s="319"/>
      <c r="C12" s="319"/>
      <c r="D12" s="319"/>
      <c r="E12" s="319"/>
      <c r="F12" s="319"/>
      <c r="G12" s="319"/>
      <c r="H12" s="319"/>
      <c r="I12" s="319"/>
      <c r="J12" s="319"/>
      <c r="K12" s="319"/>
      <c r="L12" s="319"/>
      <c r="M12" s="319"/>
      <c r="N12" s="317"/>
      <c r="O12" s="316">
        <f t="shared" ref="O12:O13" si="9">SUM(B12:M12)</f>
        <v>0</v>
      </c>
    </row>
    <row r="13" spans="1:37" s="229" customFormat="1" ht="13.95" customHeight="1">
      <c r="A13" s="231" t="s">
        <v>51</v>
      </c>
      <c r="B13" s="320"/>
      <c r="C13" s="320"/>
      <c r="D13" s="320"/>
      <c r="E13" s="320"/>
      <c r="F13" s="320"/>
      <c r="G13" s="320"/>
      <c r="H13" s="320"/>
      <c r="I13" s="320"/>
      <c r="J13" s="320"/>
      <c r="K13" s="320"/>
      <c r="L13" s="320"/>
      <c r="M13" s="320"/>
      <c r="N13" s="317"/>
      <c r="O13" s="321">
        <f t="shared" si="9"/>
        <v>0</v>
      </c>
    </row>
    <row r="14" spans="1:37" s="229" customFormat="1" ht="13.95" customHeight="1">
      <c r="A14" s="232" t="s">
        <v>208</v>
      </c>
      <c r="B14" s="316">
        <f t="shared" ref="B14:M14" si="10">SUM(B12:B13)</f>
        <v>0</v>
      </c>
      <c r="C14" s="316">
        <f t="shared" si="10"/>
        <v>0</v>
      </c>
      <c r="D14" s="316">
        <f t="shared" si="10"/>
        <v>0</v>
      </c>
      <c r="E14" s="316">
        <f t="shared" si="10"/>
        <v>0</v>
      </c>
      <c r="F14" s="316">
        <f t="shared" si="10"/>
        <v>0</v>
      </c>
      <c r="G14" s="316">
        <f t="shared" si="10"/>
        <v>0</v>
      </c>
      <c r="H14" s="316">
        <f t="shared" si="10"/>
        <v>0</v>
      </c>
      <c r="I14" s="316">
        <f t="shared" si="10"/>
        <v>0</v>
      </c>
      <c r="J14" s="316">
        <f t="shared" si="10"/>
        <v>0</v>
      </c>
      <c r="K14" s="316">
        <f t="shared" si="10"/>
        <v>0</v>
      </c>
      <c r="L14" s="316">
        <f t="shared" si="10"/>
        <v>0</v>
      </c>
      <c r="M14" s="316">
        <f t="shared" si="10"/>
        <v>0</v>
      </c>
      <c r="N14" s="317"/>
      <c r="O14" s="316">
        <f>SUM(O12:O13)</f>
        <v>0</v>
      </c>
    </row>
    <row r="15" spans="1:37" s="229" customFormat="1" ht="3.6" customHeight="1">
      <c r="A15" s="423"/>
      <c r="B15" s="316"/>
      <c r="C15" s="316"/>
      <c r="D15" s="316"/>
      <c r="E15" s="316"/>
      <c r="F15" s="316"/>
      <c r="G15" s="316"/>
      <c r="H15" s="316"/>
      <c r="I15" s="316"/>
      <c r="J15" s="316"/>
      <c r="K15" s="316"/>
      <c r="L15" s="316"/>
      <c r="M15" s="316"/>
      <c r="N15" s="317"/>
      <c r="O15" s="316"/>
    </row>
    <row r="16" spans="1:37" s="229" customFormat="1" ht="13.95" customHeight="1">
      <c r="A16" s="419" t="s">
        <v>167</v>
      </c>
      <c r="B16" s="316"/>
      <c r="C16" s="316"/>
      <c r="D16" s="316"/>
      <c r="E16" s="316"/>
      <c r="F16" s="316"/>
      <c r="G16" s="316"/>
      <c r="H16" s="316"/>
      <c r="I16" s="316"/>
      <c r="J16" s="316"/>
      <c r="K16" s="316"/>
      <c r="L16" s="316"/>
      <c r="M16" s="316"/>
      <c r="N16" s="317"/>
      <c r="O16" s="316"/>
    </row>
    <row r="17" spans="1:15" s="229" customFormat="1" ht="13.95" customHeight="1">
      <c r="A17" s="233" t="s">
        <v>52</v>
      </c>
      <c r="B17" s="316"/>
      <c r="C17" s="316"/>
      <c r="D17" s="316"/>
      <c r="E17" s="316"/>
      <c r="F17" s="316"/>
      <c r="G17" s="316"/>
      <c r="H17" s="316"/>
      <c r="I17" s="316"/>
      <c r="J17" s="316"/>
      <c r="K17" s="316"/>
      <c r="L17" s="316"/>
      <c r="M17" s="316"/>
      <c r="N17" s="317"/>
      <c r="O17" s="316">
        <f t="shared" ref="O17:O18" si="11">SUM(B17:M17)</f>
        <v>0</v>
      </c>
    </row>
    <row r="18" spans="1:15" s="229" customFormat="1" ht="13.95" customHeight="1">
      <c r="A18" s="233" t="s">
        <v>52</v>
      </c>
      <c r="B18" s="322"/>
      <c r="C18" s="322"/>
      <c r="D18" s="322"/>
      <c r="E18" s="322"/>
      <c r="F18" s="322"/>
      <c r="G18" s="322"/>
      <c r="H18" s="322"/>
      <c r="I18" s="322"/>
      <c r="J18" s="322"/>
      <c r="K18" s="322"/>
      <c r="L18" s="322"/>
      <c r="M18" s="322"/>
      <c r="N18" s="317"/>
      <c r="O18" s="321">
        <f t="shared" si="11"/>
        <v>0</v>
      </c>
    </row>
    <row r="19" spans="1:15" s="229" customFormat="1" ht="13.95" customHeight="1">
      <c r="A19" s="232" t="s">
        <v>209</v>
      </c>
      <c r="B19" s="316">
        <f t="shared" ref="B19:G19" si="12">SUM(B14:B18)</f>
        <v>0</v>
      </c>
      <c r="C19" s="316">
        <f t="shared" si="12"/>
        <v>0</v>
      </c>
      <c r="D19" s="316">
        <f t="shared" si="12"/>
        <v>0</v>
      </c>
      <c r="E19" s="316">
        <f t="shared" si="12"/>
        <v>0</v>
      </c>
      <c r="F19" s="316">
        <f t="shared" si="12"/>
        <v>0</v>
      </c>
      <c r="G19" s="316">
        <f t="shared" si="12"/>
        <v>0</v>
      </c>
      <c r="H19" s="316">
        <f t="shared" ref="H19:M19" si="13">SUM(H14:H18)</f>
        <v>0</v>
      </c>
      <c r="I19" s="316">
        <f t="shared" si="13"/>
        <v>0</v>
      </c>
      <c r="J19" s="316">
        <f t="shared" si="13"/>
        <v>0</v>
      </c>
      <c r="K19" s="316">
        <f t="shared" si="13"/>
        <v>0</v>
      </c>
      <c r="L19" s="316">
        <f t="shared" si="13"/>
        <v>0</v>
      </c>
      <c r="M19" s="316">
        <f t="shared" si="13"/>
        <v>0</v>
      </c>
      <c r="N19" s="317"/>
      <c r="O19" s="316">
        <f t="shared" ref="O19" si="14">SUM(O14:O18)</f>
        <v>0</v>
      </c>
    </row>
    <row r="20" spans="1:15" s="229" customFormat="1" ht="13.95" customHeight="1">
      <c r="A20" s="230"/>
      <c r="B20" s="319"/>
      <c r="C20" s="319"/>
      <c r="D20" s="319"/>
      <c r="E20" s="319"/>
      <c r="F20" s="319"/>
      <c r="G20" s="319"/>
      <c r="H20" s="319"/>
      <c r="I20" s="319"/>
      <c r="J20" s="319"/>
      <c r="K20" s="319"/>
      <c r="L20" s="319"/>
      <c r="M20" s="319"/>
      <c r="N20" s="317"/>
      <c r="O20" s="319"/>
    </row>
    <row r="21" spans="1:15" s="229" customFormat="1" ht="13.95" customHeight="1" thickBot="1">
      <c r="A21" s="333" t="s">
        <v>166</v>
      </c>
      <c r="B21" s="332">
        <f t="shared" ref="B21:O21" si="15">B9-B19</f>
        <v>0</v>
      </c>
      <c r="C21" s="332">
        <f t="shared" si="15"/>
        <v>0</v>
      </c>
      <c r="D21" s="332">
        <f t="shared" si="15"/>
        <v>0</v>
      </c>
      <c r="E21" s="332">
        <f t="shared" si="15"/>
        <v>0</v>
      </c>
      <c r="F21" s="332">
        <f t="shared" si="15"/>
        <v>0</v>
      </c>
      <c r="G21" s="332">
        <f t="shared" si="15"/>
        <v>0</v>
      </c>
      <c r="H21" s="332">
        <f t="shared" ref="H21:M21" si="16">H9-H19</f>
        <v>0</v>
      </c>
      <c r="I21" s="332">
        <f t="shared" si="16"/>
        <v>0</v>
      </c>
      <c r="J21" s="332">
        <f t="shared" si="16"/>
        <v>0</v>
      </c>
      <c r="K21" s="332">
        <f t="shared" si="16"/>
        <v>0</v>
      </c>
      <c r="L21" s="332">
        <f t="shared" si="16"/>
        <v>0</v>
      </c>
      <c r="M21" s="332">
        <f t="shared" si="16"/>
        <v>0</v>
      </c>
      <c r="N21" s="317"/>
      <c r="O21" s="332">
        <f t="shared" si="15"/>
        <v>0</v>
      </c>
    </row>
    <row r="22" spans="1:15" s="229" customFormat="1" ht="13.95" customHeight="1">
      <c r="A22" s="167" t="s">
        <v>15</v>
      </c>
      <c r="B22" s="328"/>
      <c r="C22" s="328"/>
      <c r="D22" s="328"/>
      <c r="E22" s="328"/>
      <c r="F22" s="328"/>
      <c r="G22" s="328"/>
      <c r="H22" s="328"/>
      <c r="I22" s="328"/>
      <c r="J22" s="328"/>
      <c r="K22" s="328"/>
      <c r="L22" s="328"/>
      <c r="M22" s="328"/>
      <c r="N22" s="228"/>
      <c r="O22" s="331">
        <f>IF(ISERROR((+O21/O9*100)),0,(+O21/O9*100))</f>
        <v>0</v>
      </c>
    </row>
    <row r="23" spans="1:15" s="229" customFormat="1" ht="13.95" customHeight="1">
      <c r="A23" s="167"/>
      <c r="B23" s="328"/>
      <c r="C23" s="328"/>
      <c r="D23" s="328"/>
      <c r="E23" s="328"/>
      <c r="F23" s="328"/>
      <c r="G23" s="328"/>
      <c r="H23" s="328"/>
      <c r="I23" s="328"/>
      <c r="J23" s="328"/>
      <c r="K23" s="328"/>
      <c r="L23" s="328"/>
      <c r="M23" s="328"/>
      <c r="N23" s="228"/>
      <c r="O23" s="331"/>
    </row>
    <row r="24" spans="1:15" s="229" customFormat="1" ht="13.95" customHeight="1">
      <c r="A24" s="438" t="s">
        <v>182</v>
      </c>
      <c r="B24" s="328"/>
      <c r="C24" s="328"/>
      <c r="D24" s="328"/>
      <c r="E24" s="328"/>
      <c r="F24" s="328"/>
      <c r="G24" s="328"/>
      <c r="H24" s="328"/>
      <c r="I24" s="328"/>
      <c r="J24" s="328"/>
      <c r="K24" s="328"/>
      <c r="L24" s="328"/>
      <c r="M24" s="328"/>
      <c r="N24" s="228"/>
      <c r="O24" s="331"/>
    </row>
    <row r="25" spans="1:15" s="229" customFormat="1" ht="13.95" customHeight="1">
      <c r="A25" s="439" t="s">
        <v>183</v>
      </c>
      <c r="B25" s="362"/>
      <c r="C25" s="362"/>
      <c r="D25" s="362"/>
      <c r="E25" s="362"/>
      <c r="F25" s="362"/>
      <c r="G25" s="362"/>
      <c r="H25" s="362"/>
      <c r="I25" s="362"/>
      <c r="J25" s="362"/>
      <c r="K25" s="362"/>
      <c r="L25" s="362"/>
      <c r="M25" s="362"/>
      <c r="N25" s="228"/>
      <c r="O25" s="331"/>
    </row>
    <row r="26" spans="1:15" s="229" customFormat="1" ht="13.95" customHeight="1">
      <c r="A26" s="440" t="s">
        <v>184</v>
      </c>
      <c r="B26" s="498"/>
      <c r="C26" s="498"/>
      <c r="D26" s="498"/>
      <c r="E26" s="498"/>
      <c r="F26" s="498"/>
      <c r="G26" s="498"/>
      <c r="H26" s="498"/>
      <c r="I26" s="498"/>
      <c r="J26" s="498"/>
      <c r="K26" s="498"/>
      <c r="L26" s="498"/>
      <c r="M26" s="498"/>
      <c r="N26" s="228"/>
      <c r="O26" s="331"/>
    </row>
    <row r="27" spans="1:15" s="229" customFormat="1" ht="13.95" customHeight="1">
      <c r="A27" s="441" t="s">
        <v>16</v>
      </c>
      <c r="B27" s="327">
        <f t="shared" ref="B27:G27" si="17">B25-B26</f>
        <v>0</v>
      </c>
      <c r="C27" s="327">
        <f t="shared" si="17"/>
        <v>0</v>
      </c>
      <c r="D27" s="327">
        <f t="shared" si="17"/>
        <v>0</v>
      </c>
      <c r="E27" s="327">
        <f t="shared" si="17"/>
        <v>0</v>
      </c>
      <c r="F27" s="327">
        <f t="shared" si="17"/>
        <v>0</v>
      </c>
      <c r="G27" s="327">
        <f t="shared" si="17"/>
        <v>0</v>
      </c>
      <c r="H27" s="327">
        <f t="shared" ref="H27:M27" si="18">H25-H26</f>
        <v>0</v>
      </c>
      <c r="I27" s="327">
        <f t="shared" si="18"/>
        <v>0</v>
      </c>
      <c r="J27" s="327">
        <f t="shared" si="18"/>
        <v>0</v>
      </c>
      <c r="K27" s="327">
        <f t="shared" si="18"/>
        <v>0</v>
      </c>
      <c r="L27" s="327">
        <f t="shared" si="18"/>
        <v>0</v>
      </c>
      <c r="M27" s="327">
        <f t="shared" si="18"/>
        <v>0</v>
      </c>
      <c r="N27" s="228"/>
      <c r="O27" s="331"/>
    </row>
    <row r="28" spans="1:15" s="229" customFormat="1" ht="13.95" customHeight="1">
      <c r="A28" s="41"/>
      <c r="B28" s="362"/>
      <c r="C28" s="362"/>
      <c r="D28" s="362"/>
      <c r="E28" s="362"/>
      <c r="F28" s="362"/>
      <c r="G28" s="362"/>
      <c r="H28" s="362"/>
      <c r="I28" s="362"/>
      <c r="J28" s="362"/>
      <c r="K28" s="362"/>
      <c r="L28" s="362"/>
      <c r="M28" s="362"/>
      <c r="N28" s="228"/>
      <c r="O28" s="331"/>
    </row>
    <row r="29" spans="1:15" s="229" customFormat="1" ht="13.95" customHeight="1">
      <c r="A29" s="438" t="s">
        <v>185</v>
      </c>
      <c r="B29" s="362"/>
      <c r="C29" s="362"/>
      <c r="D29" s="362"/>
      <c r="E29" s="362"/>
      <c r="F29" s="362"/>
      <c r="G29" s="362"/>
      <c r="H29" s="362"/>
      <c r="I29" s="362"/>
      <c r="J29" s="362"/>
      <c r="K29" s="362"/>
      <c r="L29" s="362"/>
      <c r="M29" s="362"/>
      <c r="N29" s="228"/>
      <c r="O29" s="331"/>
    </row>
    <row r="30" spans="1:15" s="229" customFormat="1" ht="13.95" customHeight="1">
      <c r="A30" s="439" t="s">
        <v>183</v>
      </c>
      <c r="B30" s="362"/>
      <c r="C30" s="362"/>
      <c r="D30" s="362"/>
      <c r="E30" s="362"/>
      <c r="F30" s="362"/>
      <c r="G30" s="362"/>
      <c r="H30" s="362"/>
      <c r="I30" s="362"/>
      <c r="J30" s="362"/>
      <c r="K30" s="362"/>
      <c r="L30" s="362"/>
      <c r="M30" s="362"/>
      <c r="N30" s="228"/>
      <c r="O30" s="331"/>
    </row>
    <row r="31" spans="1:15" s="229" customFormat="1" ht="13.95" customHeight="1">
      <c r="A31" s="440" t="s">
        <v>184</v>
      </c>
      <c r="B31" s="498"/>
      <c r="C31" s="498"/>
      <c r="D31" s="498"/>
      <c r="E31" s="498"/>
      <c r="F31" s="498"/>
      <c r="G31" s="498"/>
      <c r="H31" s="498"/>
      <c r="I31" s="498"/>
      <c r="J31" s="498"/>
      <c r="K31" s="498"/>
      <c r="L31" s="498"/>
      <c r="M31" s="498"/>
      <c r="N31" s="228"/>
      <c r="O31" s="331"/>
    </row>
    <row r="32" spans="1:15" s="330" customFormat="1" ht="13.95" customHeight="1">
      <c r="A32" s="441" t="s">
        <v>16</v>
      </c>
      <c r="B32" s="327">
        <f t="shared" ref="B32:F32" si="19">B30-B31</f>
        <v>0</v>
      </c>
      <c r="C32" s="327">
        <f t="shared" si="19"/>
        <v>0</v>
      </c>
      <c r="D32" s="327">
        <f t="shared" si="19"/>
        <v>0</v>
      </c>
      <c r="E32" s="327">
        <f t="shared" si="19"/>
        <v>0</v>
      </c>
      <c r="F32" s="327">
        <f t="shared" si="19"/>
        <v>0</v>
      </c>
      <c r="G32" s="327">
        <f t="shared" ref="G32:M32" si="20">G30-G31</f>
        <v>0</v>
      </c>
      <c r="H32" s="327">
        <f t="shared" si="20"/>
        <v>0</v>
      </c>
      <c r="I32" s="327">
        <f t="shared" si="20"/>
        <v>0</v>
      </c>
      <c r="J32" s="327">
        <f t="shared" si="20"/>
        <v>0</v>
      </c>
      <c r="K32" s="327">
        <f t="shared" si="20"/>
        <v>0</v>
      </c>
      <c r="L32" s="327">
        <f t="shared" si="20"/>
        <v>0</v>
      </c>
      <c r="M32" s="327">
        <f t="shared" si="20"/>
        <v>0</v>
      </c>
      <c r="O32" s="329"/>
    </row>
    <row r="33" spans="1:15" s="9" customFormat="1" ht="13.95" customHeight="1">
      <c r="A33" s="41"/>
      <c r="B33" s="42"/>
      <c r="C33" s="42"/>
      <c r="D33" s="42"/>
      <c r="E33" s="42"/>
      <c r="F33" s="42"/>
      <c r="G33" s="42"/>
      <c r="H33" s="42"/>
      <c r="I33" s="42"/>
      <c r="J33" s="42"/>
      <c r="K33" s="42"/>
      <c r="L33" s="42"/>
      <c r="M33" s="42"/>
      <c r="O33" s="42"/>
    </row>
    <row r="34" spans="1:15" s="9" customFormat="1" ht="13.95" hidden="1" customHeight="1" outlineLevel="1">
      <c r="A34" s="324" t="s">
        <v>78</v>
      </c>
      <c r="B34" s="325">
        <f>PL!AA15</f>
        <v>0</v>
      </c>
      <c r="C34" s="325">
        <f>PL!AB15</f>
        <v>0</v>
      </c>
      <c r="D34" s="325">
        <f>PL!AC15</f>
        <v>0</v>
      </c>
      <c r="E34" s="325">
        <f>PL!AD15</f>
        <v>0</v>
      </c>
      <c r="F34" s="325">
        <f>PL!AE15</f>
        <v>0</v>
      </c>
      <c r="G34" s="325">
        <f>PL!AF15</f>
        <v>0</v>
      </c>
      <c r="H34" s="325">
        <f>PL!AG15</f>
        <v>0</v>
      </c>
      <c r="I34" s="325">
        <f>PL!AH15</f>
        <v>0</v>
      </c>
      <c r="J34" s="325">
        <f>PL!AI15</f>
        <v>0</v>
      </c>
      <c r="K34" s="325">
        <f>PL!AJ15</f>
        <v>0</v>
      </c>
      <c r="L34" s="325">
        <f>PL!AK15</f>
        <v>0</v>
      </c>
      <c r="M34" s="325">
        <f>PL!AL15</f>
        <v>0</v>
      </c>
      <c r="N34" s="326"/>
      <c r="O34" s="325">
        <f t="shared" ref="O34" si="21">SUM(B34:M34)</f>
        <v>0</v>
      </c>
    </row>
    <row r="35" spans="1:15" s="9" customFormat="1" ht="13.95" hidden="1" customHeight="1" outlineLevel="1">
      <c r="A35" s="324" t="s">
        <v>2</v>
      </c>
      <c r="B35" s="325">
        <f t="shared" ref="B35:O35" si="22">B34-B9</f>
        <v>0</v>
      </c>
      <c r="C35" s="325">
        <f t="shared" si="22"/>
        <v>0</v>
      </c>
      <c r="D35" s="325">
        <f t="shared" si="22"/>
        <v>0</v>
      </c>
      <c r="E35" s="325">
        <f t="shared" si="22"/>
        <v>0</v>
      </c>
      <c r="F35" s="325">
        <f t="shared" si="22"/>
        <v>0</v>
      </c>
      <c r="G35" s="325">
        <f t="shared" si="22"/>
        <v>0</v>
      </c>
      <c r="H35" s="325">
        <f t="shared" ref="H35:M35" si="23">H34-H9</f>
        <v>0</v>
      </c>
      <c r="I35" s="325">
        <f t="shared" si="23"/>
        <v>0</v>
      </c>
      <c r="J35" s="325">
        <f t="shared" si="23"/>
        <v>0</v>
      </c>
      <c r="K35" s="325">
        <f t="shared" si="23"/>
        <v>0</v>
      </c>
      <c r="L35" s="325">
        <f t="shared" si="23"/>
        <v>0</v>
      </c>
      <c r="M35" s="325">
        <f t="shared" si="23"/>
        <v>0</v>
      </c>
      <c r="N35" s="326"/>
      <c r="O35" s="325">
        <f t="shared" si="22"/>
        <v>0</v>
      </c>
    </row>
    <row r="36" spans="1:15" s="9" customFormat="1" ht="13.95" customHeight="1" collapsed="1">
      <c r="A36" s="234" t="s">
        <v>14</v>
      </c>
    </row>
    <row r="37" spans="1:15" s="9" customFormat="1" ht="13.95" customHeight="1">
      <c r="A37" s="11"/>
    </row>
    <row r="38" spans="1:15" s="9" customFormat="1" ht="13.95" customHeight="1">
      <c r="A38" s="11"/>
    </row>
    <row r="39" spans="1:15" s="9" customFormat="1" ht="13.95" customHeight="1">
      <c r="A39" s="11"/>
    </row>
    <row r="40" spans="1:15" s="9" customFormat="1" ht="13.95" customHeight="1">
      <c r="A40" s="11"/>
    </row>
    <row r="41" spans="1:15" s="9" customFormat="1" ht="13.95" customHeight="1">
      <c r="A41" s="11"/>
    </row>
    <row r="42" spans="1:15" s="9" customFormat="1" ht="13.95" customHeight="1">
      <c r="A42" s="11"/>
    </row>
    <row r="43" spans="1:15" s="9" customFormat="1" ht="13.95" customHeight="1">
      <c r="A43" s="11"/>
    </row>
    <row r="44" spans="1:15" s="9" customFormat="1" ht="13.95" customHeight="1">
      <c r="A44" s="11"/>
    </row>
    <row r="45" spans="1:15" s="9" customFormat="1" ht="13.95" customHeight="1">
      <c r="A45" s="11"/>
    </row>
    <row r="46" spans="1:15" s="9" customFormat="1" ht="13.95" customHeight="1">
      <c r="A46" s="11"/>
    </row>
    <row r="47" spans="1:15" s="9" customFormat="1" ht="13.95" customHeight="1">
      <c r="A47" s="11"/>
    </row>
    <row r="48" spans="1:15" s="9" customFormat="1" ht="13.95" customHeight="1">
      <c r="A48" s="11"/>
    </row>
    <row r="49" spans="1:1" s="9" customFormat="1" ht="13.95" customHeight="1">
      <c r="A49" s="11"/>
    </row>
    <row r="50" spans="1:1" s="9" customFormat="1" ht="13.95" customHeight="1">
      <c r="A50" s="11"/>
    </row>
    <row r="51" spans="1:1" s="9" customFormat="1" ht="13.95" customHeight="1">
      <c r="A51" s="11"/>
    </row>
    <row r="52" spans="1:1" s="9" customFormat="1" ht="13.95" customHeight="1">
      <c r="A52" s="11"/>
    </row>
    <row r="53" spans="1:1" s="9" customFormat="1" ht="13.95" customHeight="1">
      <c r="A53" s="11"/>
    </row>
    <row r="54" spans="1:1" s="9" customFormat="1" ht="13.95" customHeight="1">
      <c r="A54" s="11"/>
    </row>
  </sheetData>
  <pageMargins left="0.55118110236220497" right="0.55118110236220497" top="0.39370078740157499" bottom="0.55118110236220497" header="0.31496062992126" footer="0.31496062992126"/>
  <pageSetup orientation="landscape" r:id="rId1"/>
  <headerFooter scaleWithDoc="0" alignWithMargins="0">
    <oddHeader>&amp;R&amp;11DRAFT</oddHeader>
    <oddFooter xml:space="preserve">&amp;LPage &amp;P    </oddFooter>
  </headerFooter>
</worksheet>
</file>

<file path=xl/worksheets/sheet14.xml><?xml version="1.0" encoding="utf-8"?>
<worksheet xmlns="http://schemas.openxmlformats.org/spreadsheetml/2006/main" xmlns:r="http://schemas.openxmlformats.org/officeDocument/2006/relationships">
  <sheetPr codeName="Sheet25">
    <tabColor rgb="FF262261"/>
  </sheetPr>
  <dimension ref="A10"/>
  <sheetViews>
    <sheetView showGridLines="0" view="pageBreakPreview" zoomScaleNormal="100" zoomScaleSheetLayoutView="100" workbookViewId="0"/>
  </sheetViews>
  <sheetFormatPr defaultColWidth="7" defaultRowHeight="10.199999999999999"/>
  <cols>
    <col min="1" max="1" width="88.19921875" style="6" customWidth="1"/>
    <col min="2" max="16384" width="7" style="6"/>
  </cols>
  <sheetData>
    <row r="10" spans="1:1" ht="55.2" customHeight="1">
      <c r="A10" s="71" t="str">
        <f ca="1">RIGHT(CELL("filename",A1),LEN(CELL("filename",A1))-FIND("]",CELL("filename",A1)))</f>
        <v>Profit and Loss &gt;&gt;&gt;</v>
      </c>
    </row>
  </sheetData>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sheetPr codeName="Sheet26">
    <pageSetUpPr autoPageBreaks="0"/>
  </sheetPr>
  <dimension ref="A1:R27"/>
  <sheetViews>
    <sheetView showGridLines="0" view="pageBreakPreview" zoomScaleNormal="100" zoomScaleSheetLayoutView="100" workbookViewId="0">
      <selection activeCell="J24" sqref="J24"/>
    </sheetView>
  </sheetViews>
  <sheetFormatPr defaultColWidth="6.59765625" defaultRowHeight="13.95" customHeight="1" outlineLevelRow="1"/>
  <cols>
    <col min="1" max="1" width="24.59765625" style="210" customWidth="1"/>
    <col min="2" max="5" width="5.69921875" style="56" customWidth="1"/>
    <col min="6" max="7" width="5.69921875" style="14" customWidth="1"/>
    <col min="8" max="14" width="6.59765625" style="14"/>
    <col min="15" max="15" width="6.59765625" style="15"/>
    <col min="16" max="16384" width="6.59765625" style="14"/>
  </cols>
  <sheetData>
    <row r="1" spans="1:18" s="83" customFormat="1" ht="13.95" customHeight="1">
      <c r="A1" s="83" t="str">
        <f>Project&amp;" - "&amp;City&amp;", "&amp;State</f>
        <v>OPEN - OPEN, OPEN</v>
      </c>
    </row>
    <row r="2" spans="1:18" s="84" customFormat="1" ht="13.95" customHeight="1">
      <c r="A2" s="84" t="str">
        <f ca="1">MID(CELL("filename",A1),FIND("]",CELL("filename",A1))+1,255)</f>
        <v>Lead PL</v>
      </c>
    </row>
    <row r="3" spans="1:18" ht="13.95" customHeight="1">
      <c r="A3" s="18"/>
      <c r="B3" s="16"/>
      <c r="C3" s="16"/>
      <c r="D3" s="16"/>
      <c r="E3" s="16"/>
      <c r="F3" s="16"/>
      <c r="G3" s="16"/>
      <c r="H3" s="16"/>
      <c r="I3" s="16"/>
      <c r="J3" s="16"/>
      <c r="K3" s="16"/>
      <c r="L3" s="16"/>
      <c r="M3" s="16"/>
      <c r="N3" s="16"/>
      <c r="O3" s="17"/>
      <c r="P3" s="16"/>
      <c r="Q3" s="16"/>
      <c r="R3" s="16"/>
    </row>
    <row r="4" spans="1:18" ht="13.95" customHeight="1">
      <c r="A4" s="82" t="s">
        <v>31</v>
      </c>
      <c r="B4" s="82"/>
      <c r="C4" s="82"/>
      <c r="D4" s="82"/>
      <c r="E4" s="82"/>
      <c r="F4" s="82"/>
      <c r="G4" s="82"/>
      <c r="H4" s="16"/>
      <c r="I4" s="16"/>
      <c r="J4" s="16"/>
      <c r="K4" s="16"/>
      <c r="L4" s="16"/>
      <c r="M4" s="16"/>
      <c r="N4" s="16"/>
      <c r="O4" s="17"/>
      <c r="P4" s="16"/>
      <c r="Q4" s="16"/>
      <c r="R4" s="16"/>
    </row>
    <row r="5" spans="1:18" s="247" customFormat="1" ht="13.95" customHeight="1" thickBot="1">
      <c r="A5" s="349" t="s">
        <v>7</v>
      </c>
      <c r="B5" s="347" t="s">
        <v>105</v>
      </c>
      <c r="C5" s="347" t="s">
        <v>173</v>
      </c>
      <c r="D5" s="347" t="s">
        <v>198</v>
      </c>
      <c r="E5" s="347" t="s">
        <v>227</v>
      </c>
      <c r="F5" s="347" t="s">
        <v>229</v>
      </c>
      <c r="G5" s="348">
        <f>Stub_Period</f>
        <v>45565</v>
      </c>
      <c r="O5" s="248"/>
    </row>
    <row r="6" spans="1:18" s="56" customFormat="1" ht="13.95" customHeight="1">
      <c r="A6" s="360" t="s">
        <v>30</v>
      </c>
      <c r="B6" s="304">
        <f>PL!D15</f>
        <v>0</v>
      </c>
      <c r="C6" s="304"/>
      <c r="D6" s="304"/>
      <c r="E6" s="304"/>
      <c r="F6" s="304">
        <f>PL!E15</f>
        <v>0</v>
      </c>
      <c r="G6" s="304">
        <f>PL!F15</f>
        <v>0</v>
      </c>
      <c r="I6" s="171"/>
      <c r="M6" s="86"/>
      <c r="O6" s="57"/>
    </row>
    <row r="7" spans="1:18" s="56" customFormat="1" ht="13.95" customHeight="1">
      <c r="A7" s="172" t="s">
        <v>29</v>
      </c>
      <c r="B7" s="350">
        <f>PL!D23</f>
        <v>0</v>
      </c>
      <c r="C7" s="350"/>
      <c r="D7" s="350"/>
      <c r="E7" s="350"/>
      <c r="F7" s="350">
        <f>PL!E23</f>
        <v>0</v>
      </c>
      <c r="G7" s="350">
        <f>PL!F23</f>
        <v>0</v>
      </c>
      <c r="I7" s="171"/>
      <c r="O7" s="57"/>
    </row>
    <row r="8" spans="1:18" s="56" customFormat="1" ht="13.95" customHeight="1" thickBot="1">
      <c r="A8" s="353" t="s">
        <v>11</v>
      </c>
      <c r="B8" s="380">
        <f>B6-B7</f>
        <v>0</v>
      </c>
      <c r="C8" s="380"/>
      <c r="D8" s="380"/>
      <c r="E8" s="380"/>
      <c r="F8" s="380">
        <f t="shared" ref="F8:G8" si="0">F6-F7</f>
        <v>0</v>
      </c>
      <c r="G8" s="380">
        <f t="shared" si="0"/>
        <v>0</v>
      </c>
      <c r="I8" s="171"/>
      <c r="O8" s="57"/>
    </row>
    <row r="9" spans="1:18" s="56" customFormat="1" ht="4.3499999999999996" customHeight="1">
      <c r="A9" s="55"/>
      <c r="B9" s="351"/>
      <c r="C9" s="351"/>
      <c r="D9" s="351"/>
      <c r="E9" s="351"/>
      <c r="F9" s="351"/>
      <c r="G9" s="351"/>
      <c r="I9" s="171"/>
      <c r="O9" s="57"/>
    </row>
    <row r="10" spans="1:18" s="56" customFormat="1" ht="13.95" customHeight="1">
      <c r="A10" s="60" t="s">
        <v>28</v>
      </c>
      <c r="B10" s="323">
        <f>PL!D66</f>
        <v>0</v>
      </c>
      <c r="C10" s="323"/>
      <c r="D10" s="323"/>
      <c r="E10" s="323"/>
      <c r="F10" s="323">
        <f>PL!E66</f>
        <v>0</v>
      </c>
      <c r="G10" s="323">
        <f>PL!F66</f>
        <v>0</v>
      </c>
      <c r="I10" s="171"/>
      <c r="O10" s="57"/>
      <c r="P10" s="173"/>
    </row>
    <row r="11" spans="1:18" s="56" customFormat="1" ht="13.95" customHeight="1">
      <c r="A11" s="172" t="s">
        <v>104</v>
      </c>
      <c r="B11" s="350">
        <f>PL!D72</f>
        <v>0</v>
      </c>
      <c r="C11" s="350"/>
      <c r="D11" s="350"/>
      <c r="E11" s="350"/>
      <c r="F11" s="350">
        <f>PL!E72</f>
        <v>0</v>
      </c>
      <c r="G11" s="350">
        <f>PL!F72</f>
        <v>0</v>
      </c>
      <c r="I11" s="171"/>
      <c r="O11" s="57"/>
    </row>
    <row r="12" spans="1:18" s="56" customFormat="1" ht="13.95" customHeight="1" thickBot="1">
      <c r="A12" s="353" t="s">
        <v>27</v>
      </c>
      <c r="B12" s="380">
        <f>B8-B10-B11</f>
        <v>0</v>
      </c>
      <c r="C12" s="380"/>
      <c r="D12" s="380"/>
      <c r="E12" s="380"/>
      <c r="F12" s="380">
        <f t="shared" ref="F12:G12" si="1">F8-F10-F11</f>
        <v>0</v>
      </c>
      <c r="G12" s="380">
        <f t="shared" si="1"/>
        <v>0</v>
      </c>
      <c r="I12" s="171"/>
      <c r="O12" s="57"/>
    </row>
    <row r="13" spans="1:18" s="56" customFormat="1" ht="4.3499999999999996" customHeight="1">
      <c r="A13" s="55"/>
      <c r="B13" s="351"/>
      <c r="C13" s="351"/>
      <c r="D13" s="351"/>
      <c r="E13" s="351"/>
      <c r="F13" s="351"/>
      <c r="G13" s="351"/>
      <c r="I13" s="171"/>
      <c r="O13" s="57"/>
    </row>
    <row r="14" spans="1:18" s="56" customFormat="1" ht="13.95" customHeight="1">
      <c r="A14" s="169" t="s">
        <v>26</v>
      </c>
      <c r="B14" s="323">
        <f>PL!D75</f>
        <v>0</v>
      </c>
      <c r="C14" s="323"/>
      <c r="D14" s="323"/>
      <c r="E14" s="323"/>
      <c r="F14" s="323">
        <f>PL!E75</f>
        <v>0</v>
      </c>
      <c r="G14" s="323">
        <f>PL!F75</f>
        <v>0</v>
      </c>
      <c r="I14" s="171"/>
      <c r="O14" s="57"/>
    </row>
    <row r="15" spans="1:18" s="56" customFormat="1" ht="13.95" customHeight="1">
      <c r="A15" s="169" t="s">
        <v>25</v>
      </c>
      <c r="B15" s="323">
        <f>PL!D76</f>
        <v>0</v>
      </c>
      <c r="C15" s="323"/>
      <c r="D15" s="323"/>
      <c r="E15" s="323"/>
      <c r="F15" s="323">
        <f>PL!E76</f>
        <v>0</v>
      </c>
      <c r="G15" s="323">
        <f>PL!F76</f>
        <v>0</v>
      </c>
      <c r="I15" s="171"/>
      <c r="O15" s="57"/>
    </row>
    <row r="16" spans="1:18" s="56" customFormat="1" ht="13.95" customHeight="1">
      <c r="A16" s="169" t="s">
        <v>24</v>
      </c>
      <c r="B16" s="323">
        <f>PL!D77</f>
        <v>0</v>
      </c>
      <c r="C16" s="323"/>
      <c r="D16" s="323"/>
      <c r="E16" s="323"/>
      <c r="F16" s="323">
        <f>PL!E77</f>
        <v>0</v>
      </c>
      <c r="G16" s="323">
        <f>PL!F77</f>
        <v>0</v>
      </c>
      <c r="I16" s="171"/>
      <c r="O16" s="57"/>
    </row>
    <row r="17" spans="1:18" s="56" customFormat="1" ht="13.95" customHeight="1" thickBot="1">
      <c r="A17" s="345" t="s">
        <v>23</v>
      </c>
      <c r="B17" s="346">
        <f>SUM(B12:B16)</f>
        <v>0</v>
      </c>
      <c r="C17" s="346"/>
      <c r="D17" s="346"/>
      <c r="E17" s="346"/>
      <c r="F17" s="346">
        <f t="shared" ref="F17:G17" si="2">SUM(F12:F16)</f>
        <v>0</v>
      </c>
      <c r="G17" s="346">
        <f t="shared" si="2"/>
        <v>0</v>
      </c>
      <c r="I17" s="171"/>
      <c r="O17" s="57"/>
    </row>
    <row r="18" spans="1:18" s="56" customFormat="1" ht="4.3499999999999996" customHeight="1">
      <c r="A18" s="169"/>
      <c r="B18" s="174"/>
      <c r="C18" s="174"/>
      <c r="D18" s="174"/>
      <c r="E18" s="174"/>
      <c r="F18" s="174"/>
      <c r="G18" s="174"/>
      <c r="O18" s="57"/>
    </row>
    <row r="19" spans="1:18" s="56" customFormat="1" ht="13.95" customHeight="1">
      <c r="A19" s="175" t="s">
        <v>22</v>
      </c>
      <c r="B19" s="176" t="s">
        <v>21</v>
      </c>
      <c r="C19" s="176"/>
      <c r="D19" s="176"/>
      <c r="E19" s="176"/>
      <c r="F19" s="176" t="str">
        <f>IF(B6=0,"n/a",SIGN(B6)*(F6-B6)/B6*100)</f>
        <v>n/a</v>
      </c>
      <c r="G19" s="176" t="str">
        <f t="shared" ref="G19" si="3">IF(F6=0,"n/a",SIGN(F6)*(G6-F6)/F6*100)</f>
        <v>n/a</v>
      </c>
      <c r="O19" s="57"/>
    </row>
    <row r="20" spans="1:18" s="56" customFormat="1" ht="13.95" customHeight="1">
      <c r="A20" s="177" t="s">
        <v>44</v>
      </c>
      <c r="B20" s="178" t="str">
        <f t="shared" ref="B20:G20" si="4">IF(B6=0,"n/a",SIGN(B6)*B8/B6*100)</f>
        <v>n/a</v>
      </c>
      <c r="C20" s="178"/>
      <c r="D20" s="178"/>
      <c r="E20" s="178"/>
      <c r="F20" s="178" t="str">
        <f t="shared" si="4"/>
        <v>n/a</v>
      </c>
      <c r="G20" s="178" t="str">
        <f t="shared" si="4"/>
        <v>n/a</v>
      </c>
      <c r="O20" s="57"/>
    </row>
    <row r="21" spans="1:18" s="56" customFormat="1" ht="13.95" customHeight="1">
      <c r="A21" s="177" t="s">
        <v>20</v>
      </c>
      <c r="B21" s="178" t="str">
        <f>IF(B6=0,"n/a",SIGN(B6)*B10/B6*100)</f>
        <v>n/a</v>
      </c>
      <c r="C21" s="178"/>
      <c r="D21" s="178"/>
      <c r="E21" s="178"/>
      <c r="F21" s="178" t="str">
        <f t="shared" ref="F21:G21" si="5">IF(F6=0,"n/a",SIGN(F6)*F10/F6*100)</f>
        <v>n/a</v>
      </c>
      <c r="G21" s="178" t="str">
        <f t="shared" si="5"/>
        <v>n/a</v>
      </c>
      <c r="O21" s="57"/>
    </row>
    <row r="22" spans="1:18" s="56" customFormat="1" ht="13.95" customHeight="1">
      <c r="A22" s="179" t="s">
        <v>19</v>
      </c>
      <c r="B22" s="180" t="str">
        <f>IF(B6=0,"n/a",SIGN(B6)*B17/B6*100)</f>
        <v>n/a</v>
      </c>
      <c r="C22" s="180"/>
      <c r="D22" s="180"/>
      <c r="E22" s="180"/>
      <c r="F22" s="180" t="str">
        <f t="shared" ref="F22:G22" si="6">IF(F6=0,"n/a",SIGN(F6)*F17/F6*100)</f>
        <v>n/a</v>
      </c>
      <c r="G22" s="180" t="str">
        <f t="shared" si="6"/>
        <v>n/a</v>
      </c>
      <c r="O22" s="57"/>
    </row>
    <row r="23" spans="1:18" s="56" customFormat="1" ht="13.95" customHeight="1">
      <c r="A23" s="181" t="s">
        <v>32</v>
      </c>
      <c r="B23" s="182"/>
      <c r="C23" s="182"/>
      <c r="D23" s="182"/>
      <c r="E23" s="182"/>
      <c r="F23" s="182"/>
      <c r="G23" s="182"/>
      <c r="O23" s="57"/>
    </row>
    <row r="24" spans="1:18" s="52" customFormat="1" ht="13.95" customHeight="1">
      <c r="A24" s="53"/>
      <c r="B24" s="54"/>
      <c r="C24" s="54"/>
      <c r="D24" s="54"/>
      <c r="E24" s="54"/>
      <c r="F24" s="54"/>
      <c r="G24" s="54"/>
      <c r="H24" s="50"/>
      <c r="I24" s="50"/>
      <c r="J24" s="50"/>
      <c r="K24" s="50"/>
      <c r="L24" s="50"/>
      <c r="M24" s="50"/>
      <c r="N24" s="50"/>
      <c r="O24" s="51"/>
      <c r="P24" s="50"/>
      <c r="Q24" s="50"/>
      <c r="R24" s="50"/>
    </row>
    <row r="25" spans="1:18" s="46" customFormat="1" ht="13.95" customHeight="1" outlineLevel="1">
      <c r="A25" s="496" t="s">
        <v>18</v>
      </c>
      <c r="B25" s="496">
        <f>PL!D78-B17</f>
        <v>0</v>
      </c>
      <c r="C25" s="496"/>
      <c r="D25" s="496"/>
      <c r="E25" s="496"/>
      <c r="F25" s="496">
        <f>PL!E78-F17</f>
        <v>0</v>
      </c>
      <c r="G25" s="496">
        <f>PL!F78-G17</f>
        <v>0</v>
      </c>
      <c r="H25" s="44"/>
      <c r="I25" s="44"/>
      <c r="J25" s="44"/>
      <c r="K25" s="44"/>
      <c r="L25" s="44"/>
      <c r="M25" s="44"/>
      <c r="N25" s="44"/>
      <c r="O25" s="44"/>
      <c r="P25" s="44"/>
      <c r="Q25" s="44"/>
      <c r="R25" s="44"/>
    </row>
    <row r="26" spans="1:18" s="45" customFormat="1" ht="13.95" customHeight="1">
      <c r="A26" s="382"/>
      <c r="B26" s="383"/>
      <c r="C26" s="383"/>
      <c r="D26" s="383"/>
      <c r="E26" s="383"/>
      <c r="F26" s="43"/>
      <c r="G26" s="43"/>
      <c r="H26" s="43"/>
      <c r="I26" s="43"/>
      <c r="J26" s="43"/>
      <c r="K26" s="43"/>
      <c r="L26" s="43"/>
      <c r="M26" s="43"/>
      <c r="N26" s="43"/>
      <c r="O26" s="44"/>
      <c r="P26" s="43"/>
      <c r="Q26" s="43"/>
      <c r="R26" s="43"/>
    </row>
    <row r="27" spans="1:18" ht="13.95" customHeight="1">
      <c r="F27" s="16"/>
      <c r="G27" s="16"/>
      <c r="H27" s="16"/>
      <c r="I27" s="16"/>
      <c r="J27" s="16"/>
      <c r="K27" s="16"/>
      <c r="L27" s="16"/>
      <c r="M27" s="16"/>
      <c r="N27" s="16"/>
      <c r="O27" s="17"/>
      <c r="P27" s="16"/>
      <c r="Q27" s="16"/>
      <c r="R27" s="16"/>
    </row>
  </sheetData>
  <pageMargins left="0.55118100000000003" right="0.55118100000000003" top="0.39370100000000002" bottom="0.55118100000000003" header="0.31496099999999999" footer="0.31496099999999999"/>
  <pageSetup fitToHeight="0" orientation="landscape" r:id="rId1"/>
  <headerFooter scaleWithDoc="0" alignWithMargins="0">
    <oddHeader>&amp;R&amp;11DRAFT</oddHeader>
    <oddFooter xml:space="preserve">&amp;LPage &amp;P    </oddFooter>
  </headerFooter>
</worksheet>
</file>

<file path=xl/worksheets/sheet16.xml><?xml version="1.0" encoding="utf-8"?>
<worksheet xmlns="http://schemas.openxmlformats.org/spreadsheetml/2006/main" xmlns:r="http://schemas.openxmlformats.org/officeDocument/2006/relationships">
  <sheetPr>
    <pageSetUpPr autoPageBreaks="0" fitToPage="1"/>
  </sheetPr>
  <dimension ref="A1:BK104"/>
  <sheetViews>
    <sheetView showGridLines="0" view="pageBreakPreview" zoomScaleNormal="100" zoomScaleSheetLayoutView="100" workbookViewId="0">
      <pane xSplit="10" ySplit="6" topLeftCell="K15" activePane="bottomRight" state="frozen"/>
      <selection activeCell="C1" sqref="C1"/>
      <selection pane="topRight" activeCell="O1" sqref="O1"/>
      <selection pane="bottomLeft" activeCell="C7" sqref="C7"/>
      <selection pane="bottomRight" activeCell="L29" sqref="L29"/>
    </sheetView>
  </sheetViews>
  <sheetFormatPr defaultColWidth="3" defaultRowHeight="13.95" customHeight="1" outlineLevelRow="2" outlineLevelCol="1"/>
  <cols>
    <col min="1" max="2" width="22" style="27" customWidth="1" outlineLevel="1"/>
    <col min="3" max="3" width="17.59765625" style="26" customWidth="1"/>
    <col min="4" max="7" width="5.69921875" style="22" customWidth="1"/>
    <col min="8" max="8" width="5.69921875" style="38" customWidth="1"/>
    <col min="9" max="9" width="5.69921875" style="22" customWidth="1"/>
    <col min="10" max="10" width="5.69921875" style="38" customWidth="1"/>
    <col min="11" max="11" width="1.59765625" style="25" customWidth="1" outlineLevel="1"/>
    <col min="12" max="44" width="5.69921875" style="24" customWidth="1" outlineLevel="1"/>
    <col min="45" max="63" width="3.19921875" style="22" bestFit="1" customWidth="1"/>
    <col min="64" max="16384" width="3" style="22"/>
  </cols>
  <sheetData>
    <row r="1" spans="1:45" s="83" customFormat="1" ht="13.95" customHeight="1">
      <c r="C1" s="83" t="str">
        <f>Project&amp;" - "&amp;City&amp;", "&amp;State</f>
        <v>OPEN - OPEN, OPEN</v>
      </c>
      <c r="H1" s="271"/>
      <c r="J1" s="271"/>
    </row>
    <row r="2" spans="1:45" s="84" customFormat="1" ht="13.95" customHeight="1">
      <c r="A2" s="432"/>
      <c r="C2" s="84" t="str">
        <f ca="1">MID(CELL("filename",C1),FIND("]",CELL("filename",C1))+1,255)</f>
        <v>PL</v>
      </c>
      <c r="H2" s="272"/>
      <c r="J2" s="272"/>
    </row>
    <row r="3" spans="1:45" s="21" customFormat="1" ht="13.95" customHeight="1">
      <c r="A3" s="27"/>
      <c r="B3" s="27"/>
      <c r="C3" s="18"/>
      <c r="H3" s="69"/>
      <c r="J3" s="69"/>
      <c r="K3" s="23"/>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row>
    <row r="4" spans="1:45" s="184" customFormat="1" ht="13.95" customHeight="1">
      <c r="A4" s="183"/>
      <c r="B4" s="183"/>
      <c r="C4" s="82" t="str">
        <f ca="1">C2</f>
        <v>PL</v>
      </c>
      <c r="D4" s="82"/>
      <c r="E4" s="82"/>
      <c r="F4" s="82"/>
      <c r="G4" s="82"/>
      <c r="H4" s="225"/>
      <c r="I4" s="82"/>
      <c r="J4" s="225"/>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row>
    <row r="5" spans="1:45" s="189" customFormat="1" ht="13.95" customHeight="1">
      <c r="A5" s="185"/>
      <c r="B5" s="185"/>
      <c r="C5" s="186"/>
      <c r="D5" s="187"/>
      <c r="E5" s="187"/>
      <c r="F5" s="187"/>
      <c r="G5" s="352" t="s">
        <v>199</v>
      </c>
      <c r="H5" s="273"/>
      <c r="I5" s="352" t="s">
        <v>200</v>
      </c>
      <c r="J5" s="273"/>
      <c r="K5" s="23"/>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row>
    <row r="6" spans="1:45" s="270" customFormat="1" ht="13.95" customHeight="1" thickBot="1">
      <c r="A6" s="393" t="s">
        <v>43</v>
      </c>
      <c r="B6" s="393" t="s">
        <v>13</v>
      </c>
      <c r="C6" s="267" t="s">
        <v>7</v>
      </c>
      <c r="D6" s="297">
        <f>First_Reporting_Year</f>
        <v>44926</v>
      </c>
      <c r="E6" s="297">
        <f>Second_Reporting_Year</f>
        <v>45291</v>
      </c>
      <c r="F6" s="296">
        <f>Stub_Period</f>
        <v>45565</v>
      </c>
      <c r="G6" s="268" t="s">
        <v>42</v>
      </c>
      <c r="H6" s="274" t="s">
        <v>6</v>
      </c>
      <c r="I6" s="268" t="s">
        <v>42</v>
      </c>
      <c r="J6" s="274" t="s">
        <v>6</v>
      </c>
      <c r="K6" s="269"/>
      <c r="L6" s="249">
        <v>44592</v>
      </c>
      <c r="M6" s="249">
        <f t="shared" ref="M6:AK6" si="0">EOMONTH(L6,1)</f>
        <v>44620</v>
      </c>
      <c r="N6" s="249">
        <f t="shared" si="0"/>
        <v>44651</v>
      </c>
      <c r="O6" s="249">
        <f t="shared" si="0"/>
        <v>44681</v>
      </c>
      <c r="P6" s="249">
        <f t="shared" si="0"/>
        <v>44712</v>
      </c>
      <c r="Q6" s="249">
        <f t="shared" si="0"/>
        <v>44742</v>
      </c>
      <c r="R6" s="249">
        <f t="shared" si="0"/>
        <v>44773</v>
      </c>
      <c r="S6" s="249">
        <f t="shared" si="0"/>
        <v>44804</v>
      </c>
      <c r="T6" s="249">
        <f t="shared" si="0"/>
        <v>44834</v>
      </c>
      <c r="U6" s="249">
        <f t="shared" si="0"/>
        <v>44865</v>
      </c>
      <c r="V6" s="249">
        <f t="shared" si="0"/>
        <v>44895</v>
      </c>
      <c r="W6" s="249">
        <f t="shared" si="0"/>
        <v>44926</v>
      </c>
      <c r="X6" s="249">
        <f t="shared" si="0"/>
        <v>44957</v>
      </c>
      <c r="Y6" s="249">
        <f t="shared" si="0"/>
        <v>44985</v>
      </c>
      <c r="Z6" s="249">
        <f t="shared" si="0"/>
        <v>45016</v>
      </c>
      <c r="AA6" s="249">
        <f t="shared" si="0"/>
        <v>45046</v>
      </c>
      <c r="AB6" s="249">
        <f t="shared" si="0"/>
        <v>45077</v>
      </c>
      <c r="AC6" s="249">
        <f t="shared" si="0"/>
        <v>45107</v>
      </c>
      <c r="AD6" s="249">
        <f t="shared" si="0"/>
        <v>45138</v>
      </c>
      <c r="AE6" s="249">
        <f t="shared" si="0"/>
        <v>45169</v>
      </c>
      <c r="AF6" s="249">
        <f t="shared" si="0"/>
        <v>45199</v>
      </c>
      <c r="AG6" s="249">
        <f t="shared" si="0"/>
        <v>45230</v>
      </c>
      <c r="AH6" s="249">
        <f t="shared" si="0"/>
        <v>45260</v>
      </c>
      <c r="AI6" s="249">
        <f t="shared" si="0"/>
        <v>45291</v>
      </c>
      <c r="AJ6" s="249">
        <f t="shared" si="0"/>
        <v>45322</v>
      </c>
      <c r="AK6" s="249">
        <f t="shared" si="0"/>
        <v>45351</v>
      </c>
      <c r="AL6" s="249">
        <f t="shared" ref="AL6" si="1">EOMONTH(AK6,1)</f>
        <v>45382</v>
      </c>
      <c r="AM6" s="249">
        <f t="shared" ref="AM6" si="2">EOMONTH(AL6,1)</f>
        <v>45412</v>
      </c>
      <c r="AN6" s="249">
        <f t="shared" ref="AN6" si="3">EOMONTH(AM6,1)</f>
        <v>45443</v>
      </c>
      <c r="AO6" s="249">
        <f t="shared" ref="AO6" si="4">EOMONTH(AN6,1)</f>
        <v>45473</v>
      </c>
      <c r="AP6" s="249">
        <f t="shared" ref="AP6" si="5">EOMONTH(AO6,1)</f>
        <v>45504</v>
      </c>
      <c r="AQ6" s="249">
        <f t="shared" ref="AQ6" si="6">EOMONTH(AP6,1)</f>
        <v>45535</v>
      </c>
      <c r="AR6" s="249">
        <f t="shared" ref="AR6" si="7">EOMONTH(AQ6,1)</f>
        <v>45565</v>
      </c>
    </row>
    <row r="7" spans="1:45" s="189" customFormat="1" ht="13.95" hidden="1" customHeight="1" outlineLevel="1">
      <c r="A7" s="394"/>
      <c r="B7" s="394"/>
      <c r="C7" s="190" t="str">
        <f>C15</f>
        <v>Net revenue</v>
      </c>
      <c r="D7" s="187"/>
      <c r="E7" s="187"/>
      <c r="F7" s="187"/>
      <c r="G7" s="354"/>
      <c r="H7" s="355"/>
      <c r="I7" s="354"/>
      <c r="J7" s="356"/>
      <c r="K7" s="187"/>
      <c r="L7" s="188"/>
      <c r="M7" s="188"/>
      <c r="N7" s="188"/>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row>
    <row r="8" spans="1:45" s="193" customFormat="1" ht="13.95" hidden="1" customHeight="1" outlineLevel="1">
      <c r="A8" s="361"/>
      <c r="B8" s="395"/>
      <c r="C8" s="191" t="s">
        <v>52</v>
      </c>
      <c r="D8" s="429">
        <f>SUMIFS($L8:$AN8,$L$6:$AN$6,"&gt;"&amp;EOMONTH(D$6,-12),$L$6:$AN$6,"&lt;="&amp;D$6)</f>
        <v>0</v>
      </c>
      <c r="E8" s="429">
        <f>SUMIFS($L8:$AN8,$L$6:$AN$6,"&gt;"&amp;EOMONTH(E$6,-12),$L$6:$AN$6,"&lt;="&amp;E$6)</f>
        <v>0</v>
      </c>
      <c r="F8" s="429">
        <f>SUMIFS($L8:$AN8,$L$6:$AN$6,"&gt;"&amp;EOMONTH(F$6,-12),$L$6:$AN$6,"&lt;="&amp;F$6)</f>
        <v>0</v>
      </c>
      <c r="G8" s="455">
        <f t="shared" ref="G8:G15" si="8">+E8-D8</f>
        <v>0</v>
      </c>
      <c r="H8" s="456">
        <f t="shared" ref="H8:H15" si="9">IFERROR(IF(ABS(G8/D8)&gt;500%,"n/m",(G8/D8)*100),0)</f>
        <v>0</v>
      </c>
      <c r="I8" s="455">
        <f t="shared" ref="I8:I15" si="10">+F8-E8</f>
        <v>0</v>
      </c>
      <c r="J8" s="456">
        <f t="shared" ref="J8:J15" si="11">IFERROR(IF(ABS(I8/E8)&gt;500%,"n/m",(I8/E8)*100),0)</f>
        <v>0</v>
      </c>
      <c r="K8" s="192"/>
      <c r="L8" s="429"/>
      <c r="M8" s="429"/>
      <c r="N8" s="429"/>
      <c r="O8" s="429"/>
      <c r="P8" s="429"/>
      <c r="Q8" s="429"/>
      <c r="R8" s="429"/>
      <c r="S8" s="429"/>
      <c r="T8" s="429"/>
      <c r="U8" s="429"/>
      <c r="V8" s="429"/>
      <c r="W8" s="429"/>
      <c r="X8" s="429"/>
      <c r="Y8" s="429"/>
      <c r="Z8" s="429"/>
      <c r="AA8" s="429"/>
      <c r="AB8" s="429"/>
      <c r="AC8" s="429"/>
      <c r="AD8" s="429"/>
      <c r="AE8" s="429"/>
      <c r="AF8" s="429"/>
      <c r="AG8" s="429"/>
      <c r="AH8" s="429"/>
      <c r="AI8" s="429"/>
      <c r="AJ8" s="429"/>
      <c r="AK8" s="429"/>
      <c r="AL8" s="429"/>
      <c r="AM8" s="429"/>
      <c r="AN8" s="429"/>
      <c r="AO8" s="429"/>
      <c r="AP8" s="429"/>
      <c r="AQ8" s="429"/>
      <c r="AR8" s="429"/>
    </row>
    <row r="9" spans="1:45" s="193" customFormat="1" ht="13.95" hidden="1" customHeight="1" outlineLevel="1">
      <c r="A9" s="361"/>
      <c r="B9" s="395"/>
      <c r="C9" s="191" t="s">
        <v>52</v>
      </c>
      <c r="D9" s="429">
        <f t="shared" ref="D9:F14" si="12">SUMIFS($L9:$AN9,$L$6:$AN$6,"&gt;"&amp;EOMONTH(D$6,-12),$L$6:$AN$6,"&lt;="&amp;D$6)</f>
        <v>0</v>
      </c>
      <c r="E9" s="429">
        <f t="shared" si="12"/>
        <v>0</v>
      </c>
      <c r="F9" s="429">
        <f t="shared" si="12"/>
        <v>0</v>
      </c>
      <c r="G9" s="455">
        <f t="shared" si="8"/>
        <v>0</v>
      </c>
      <c r="H9" s="456">
        <f t="shared" si="9"/>
        <v>0</v>
      </c>
      <c r="I9" s="455">
        <f t="shared" si="10"/>
        <v>0</v>
      </c>
      <c r="J9" s="456">
        <f t="shared" si="11"/>
        <v>0</v>
      </c>
      <c r="K9" s="192"/>
      <c r="M9" s="429"/>
      <c r="N9" s="429"/>
      <c r="O9" s="429"/>
      <c r="P9" s="429"/>
      <c r="Q9" s="429"/>
      <c r="R9" s="429"/>
      <c r="S9" s="429"/>
      <c r="T9" s="429"/>
      <c r="U9" s="429"/>
      <c r="V9" s="429"/>
      <c r="AA9" s="429"/>
      <c r="AB9" s="429"/>
      <c r="AC9" s="429"/>
      <c r="AD9" s="429"/>
      <c r="AE9" s="429"/>
      <c r="AF9" s="429"/>
      <c r="AG9" s="429"/>
      <c r="AH9" s="429"/>
      <c r="AI9" s="429"/>
      <c r="AJ9" s="429"/>
      <c r="AK9" s="429"/>
      <c r="AL9" s="429"/>
      <c r="AM9" s="429"/>
      <c r="AN9" s="429"/>
      <c r="AO9" s="429"/>
      <c r="AP9" s="429"/>
      <c r="AQ9" s="429"/>
      <c r="AR9" s="429"/>
    </row>
    <row r="10" spans="1:45" s="193" customFormat="1" ht="13.95" hidden="1" customHeight="1" outlineLevel="1">
      <c r="A10" s="361"/>
      <c r="B10" s="395"/>
      <c r="C10" s="191" t="s">
        <v>52</v>
      </c>
      <c r="D10" s="429">
        <f t="shared" si="12"/>
        <v>0</v>
      </c>
      <c r="E10" s="429">
        <f t="shared" si="12"/>
        <v>0</v>
      </c>
      <c r="F10" s="429">
        <f t="shared" si="12"/>
        <v>0</v>
      </c>
      <c r="G10" s="455">
        <f t="shared" si="8"/>
        <v>0</v>
      </c>
      <c r="H10" s="456">
        <f t="shared" si="9"/>
        <v>0</v>
      </c>
      <c r="I10" s="455">
        <f t="shared" si="10"/>
        <v>0</v>
      </c>
      <c r="J10" s="456">
        <f t="shared" si="11"/>
        <v>0</v>
      </c>
      <c r="K10" s="192"/>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row>
    <row r="11" spans="1:45" s="193" customFormat="1" ht="13.95" hidden="1" customHeight="1" outlineLevel="1">
      <c r="A11" s="361"/>
      <c r="B11" s="395"/>
      <c r="C11" s="191" t="s">
        <v>52</v>
      </c>
      <c r="D11" s="429">
        <f t="shared" si="12"/>
        <v>0</v>
      </c>
      <c r="E11" s="429">
        <f t="shared" si="12"/>
        <v>0</v>
      </c>
      <c r="F11" s="429">
        <f t="shared" si="12"/>
        <v>0</v>
      </c>
      <c r="G11" s="455">
        <f t="shared" si="8"/>
        <v>0</v>
      </c>
      <c r="H11" s="456">
        <f t="shared" si="9"/>
        <v>0</v>
      </c>
      <c r="I11" s="455">
        <f t="shared" si="10"/>
        <v>0</v>
      </c>
      <c r="J11" s="456">
        <f t="shared" si="11"/>
        <v>0</v>
      </c>
      <c r="K11" s="192"/>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row>
    <row r="12" spans="1:45" s="193" customFormat="1" ht="13.95" hidden="1" customHeight="1" outlineLevel="1">
      <c r="A12" s="361"/>
      <c r="B12" s="395"/>
      <c r="C12" s="191" t="s">
        <v>52</v>
      </c>
      <c r="D12" s="429">
        <f t="shared" si="12"/>
        <v>0</v>
      </c>
      <c r="E12" s="429">
        <f t="shared" si="12"/>
        <v>0</v>
      </c>
      <c r="F12" s="429">
        <f t="shared" si="12"/>
        <v>0</v>
      </c>
      <c r="G12" s="455">
        <f t="shared" si="8"/>
        <v>0</v>
      </c>
      <c r="H12" s="456">
        <f t="shared" si="9"/>
        <v>0</v>
      </c>
      <c r="I12" s="455">
        <f t="shared" si="10"/>
        <v>0</v>
      </c>
      <c r="J12" s="456">
        <f t="shared" si="11"/>
        <v>0</v>
      </c>
      <c r="K12" s="192"/>
      <c r="L12" s="429"/>
      <c r="M12" s="429"/>
      <c r="N12" s="429"/>
      <c r="O12" s="429"/>
      <c r="P12" s="429"/>
      <c r="Q12" s="429"/>
      <c r="R12" s="429"/>
      <c r="S12" s="429"/>
      <c r="T12" s="429"/>
      <c r="U12" s="429"/>
      <c r="V12" s="429"/>
      <c r="W12" s="429"/>
      <c r="X12" s="429"/>
      <c r="Y12" s="429"/>
      <c r="Z12" s="429"/>
      <c r="AA12" s="429"/>
      <c r="AB12" s="429"/>
      <c r="AC12" s="429"/>
      <c r="AD12" s="429"/>
      <c r="AE12" s="429"/>
      <c r="AF12" s="429"/>
      <c r="AG12" s="429"/>
      <c r="AH12" s="429"/>
      <c r="AI12" s="429"/>
      <c r="AJ12" s="429"/>
      <c r="AK12" s="429"/>
      <c r="AL12" s="429"/>
      <c r="AM12" s="429"/>
      <c r="AN12" s="429"/>
      <c r="AO12" s="429"/>
      <c r="AP12" s="429"/>
      <c r="AQ12" s="429"/>
      <c r="AR12" s="429"/>
    </row>
    <row r="13" spans="1:45" s="193" customFormat="1" ht="13.95" hidden="1" customHeight="1" outlineLevel="1">
      <c r="A13" s="361"/>
      <c r="B13" s="395"/>
      <c r="C13" s="191" t="s">
        <v>52</v>
      </c>
      <c r="D13" s="429">
        <f t="shared" si="12"/>
        <v>0</v>
      </c>
      <c r="E13" s="429">
        <f t="shared" si="12"/>
        <v>0</v>
      </c>
      <c r="F13" s="429">
        <f t="shared" si="12"/>
        <v>0</v>
      </c>
      <c r="G13" s="455">
        <f t="shared" si="8"/>
        <v>0</v>
      </c>
      <c r="H13" s="456">
        <f t="shared" si="9"/>
        <v>0</v>
      </c>
      <c r="I13" s="455">
        <f t="shared" si="10"/>
        <v>0</v>
      </c>
      <c r="J13" s="456">
        <f t="shared" si="11"/>
        <v>0</v>
      </c>
      <c r="K13" s="192"/>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row>
    <row r="14" spans="1:45" s="193" customFormat="1" ht="13.95" hidden="1" customHeight="1" outlineLevel="1">
      <c r="A14" s="361"/>
      <c r="B14" s="395"/>
      <c r="C14" s="235" t="s">
        <v>52</v>
      </c>
      <c r="D14" s="457">
        <f t="shared" si="12"/>
        <v>0</v>
      </c>
      <c r="E14" s="457">
        <f t="shared" si="12"/>
        <v>0</v>
      </c>
      <c r="F14" s="457">
        <f t="shared" si="12"/>
        <v>0</v>
      </c>
      <c r="G14" s="458">
        <f t="shared" si="8"/>
        <v>0</v>
      </c>
      <c r="H14" s="459">
        <f t="shared" si="9"/>
        <v>0</v>
      </c>
      <c r="I14" s="458">
        <f t="shared" si="10"/>
        <v>0</v>
      </c>
      <c r="J14" s="459">
        <f t="shared" si="11"/>
        <v>0</v>
      </c>
      <c r="K14" s="192"/>
      <c r="L14" s="457"/>
      <c r="M14" s="457"/>
      <c r="N14" s="457"/>
      <c r="O14" s="457"/>
      <c r="P14" s="457"/>
      <c r="Q14" s="457"/>
      <c r="R14" s="457"/>
      <c r="S14" s="457"/>
      <c r="T14" s="457"/>
      <c r="U14" s="457"/>
      <c r="V14" s="457"/>
      <c r="W14" s="457"/>
      <c r="X14" s="457"/>
      <c r="Y14" s="457"/>
      <c r="Z14" s="457"/>
      <c r="AA14" s="457"/>
      <c r="AB14" s="457"/>
      <c r="AC14" s="457"/>
      <c r="AD14" s="457"/>
      <c r="AE14" s="457"/>
      <c r="AF14" s="457"/>
      <c r="AG14" s="457"/>
      <c r="AH14" s="457"/>
      <c r="AI14" s="457"/>
      <c r="AJ14" s="457"/>
      <c r="AK14" s="457"/>
      <c r="AL14" s="457"/>
      <c r="AM14" s="457"/>
      <c r="AN14" s="457"/>
      <c r="AO14" s="457"/>
      <c r="AP14" s="457"/>
      <c r="AQ14" s="457"/>
      <c r="AR14" s="457"/>
    </row>
    <row r="15" spans="1:45" s="196" customFormat="1" ht="13.95" customHeight="1" collapsed="1">
      <c r="A15" s="361" t="s">
        <v>12</v>
      </c>
      <c r="B15" s="361"/>
      <c r="C15" s="357" t="s">
        <v>30</v>
      </c>
      <c r="D15" s="460">
        <f>SUBTOTAL(9,D7:D14)</f>
        <v>0</v>
      </c>
      <c r="E15" s="460">
        <f t="shared" ref="E15:F15" si="13">SUBTOTAL(9,E7:E14)</f>
        <v>0</v>
      </c>
      <c r="F15" s="460">
        <f t="shared" si="13"/>
        <v>0</v>
      </c>
      <c r="G15" s="461">
        <f t="shared" si="8"/>
        <v>0</v>
      </c>
      <c r="H15" s="462">
        <f t="shared" si="9"/>
        <v>0</v>
      </c>
      <c r="I15" s="461">
        <f t="shared" si="10"/>
        <v>0</v>
      </c>
      <c r="J15" s="462">
        <f t="shared" si="11"/>
        <v>0</v>
      </c>
      <c r="K15" s="358"/>
      <c r="L15" s="460">
        <f t="shared" ref="L15:AK15" si="14">SUBTOTAL(9,L7:L14)</f>
        <v>0</v>
      </c>
      <c r="M15" s="460">
        <f t="shared" si="14"/>
        <v>0</v>
      </c>
      <c r="N15" s="460">
        <f t="shared" si="14"/>
        <v>0</v>
      </c>
      <c r="O15" s="460">
        <f t="shared" si="14"/>
        <v>0</v>
      </c>
      <c r="P15" s="460">
        <f t="shared" si="14"/>
        <v>0</v>
      </c>
      <c r="Q15" s="460">
        <f t="shared" si="14"/>
        <v>0</v>
      </c>
      <c r="R15" s="460">
        <f t="shared" si="14"/>
        <v>0</v>
      </c>
      <c r="S15" s="460">
        <f t="shared" si="14"/>
        <v>0</v>
      </c>
      <c r="T15" s="460">
        <f t="shared" si="14"/>
        <v>0</v>
      </c>
      <c r="U15" s="460">
        <f t="shared" si="14"/>
        <v>0</v>
      </c>
      <c r="V15" s="460">
        <f t="shared" si="14"/>
        <v>0</v>
      </c>
      <c r="W15" s="460">
        <f t="shared" si="14"/>
        <v>0</v>
      </c>
      <c r="X15" s="460">
        <f t="shared" si="14"/>
        <v>0</v>
      </c>
      <c r="Y15" s="460">
        <f t="shared" si="14"/>
        <v>0</v>
      </c>
      <c r="Z15" s="460">
        <f t="shared" si="14"/>
        <v>0</v>
      </c>
      <c r="AA15" s="460">
        <f t="shared" si="14"/>
        <v>0</v>
      </c>
      <c r="AB15" s="460">
        <f t="shared" si="14"/>
        <v>0</v>
      </c>
      <c r="AC15" s="460">
        <f t="shared" si="14"/>
        <v>0</v>
      </c>
      <c r="AD15" s="460">
        <f t="shared" si="14"/>
        <v>0</v>
      </c>
      <c r="AE15" s="460">
        <f t="shared" si="14"/>
        <v>0</v>
      </c>
      <c r="AF15" s="460">
        <f t="shared" si="14"/>
        <v>0</v>
      </c>
      <c r="AG15" s="460">
        <f t="shared" si="14"/>
        <v>0</v>
      </c>
      <c r="AH15" s="460">
        <f t="shared" si="14"/>
        <v>0</v>
      </c>
      <c r="AI15" s="460">
        <f t="shared" si="14"/>
        <v>0</v>
      </c>
      <c r="AJ15" s="460">
        <f t="shared" si="14"/>
        <v>0</v>
      </c>
      <c r="AK15" s="460">
        <f t="shared" si="14"/>
        <v>0</v>
      </c>
      <c r="AL15" s="460">
        <f t="shared" ref="AL15:AR15" si="15">SUBTOTAL(9,AL7:AL14)</f>
        <v>0</v>
      </c>
      <c r="AM15" s="460">
        <f t="shared" si="15"/>
        <v>0</v>
      </c>
      <c r="AN15" s="460">
        <f t="shared" si="15"/>
        <v>0</v>
      </c>
      <c r="AO15" s="460">
        <f t="shared" si="15"/>
        <v>0</v>
      </c>
      <c r="AP15" s="460">
        <f t="shared" si="15"/>
        <v>0</v>
      </c>
      <c r="AQ15" s="460">
        <f t="shared" si="15"/>
        <v>0</v>
      </c>
      <c r="AR15" s="460">
        <f t="shared" si="15"/>
        <v>0</v>
      </c>
      <c r="AS15" s="359"/>
    </row>
    <row r="16" spans="1:45" s="196" customFormat="1" ht="13.95" customHeight="1">
      <c r="A16" s="361"/>
      <c r="B16" s="361"/>
      <c r="C16" s="363" t="s">
        <v>101</v>
      </c>
      <c r="D16" s="463" t="s">
        <v>21</v>
      </c>
      <c r="E16" s="495" t="e">
        <f>(E15/D15-1)*100</f>
        <v>#DIV/0!</v>
      </c>
      <c r="F16" s="495" t="e">
        <f t="shared" ref="F16" si="16">(F15/E15-1)*100</f>
        <v>#DIV/0!</v>
      </c>
      <c r="G16" s="455"/>
      <c r="H16" s="456"/>
      <c r="I16" s="455"/>
      <c r="J16" s="456"/>
      <c r="K16" s="195"/>
      <c r="L16" s="463" t="s">
        <v>21</v>
      </c>
      <c r="M16" s="495" t="e">
        <f t="shared" ref="M16:AK16" si="17">(M15/L15-1)*100</f>
        <v>#DIV/0!</v>
      </c>
      <c r="N16" s="495" t="e">
        <f t="shared" si="17"/>
        <v>#DIV/0!</v>
      </c>
      <c r="O16" s="495" t="e">
        <f t="shared" si="17"/>
        <v>#DIV/0!</v>
      </c>
      <c r="P16" s="495" t="e">
        <f t="shared" si="17"/>
        <v>#DIV/0!</v>
      </c>
      <c r="Q16" s="495" t="e">
        <f t="shared" si="17"/>
        <v>#DIV/0!</v>
      </c>
      <c r="R16" s="495" t="e">
        <f t="shared" si="17"/>
        <v>#DIV/0!</v>
      </c>
      <c r="S16" s="495" t="e">
        <f t="shared" si="17"/>
        <v>#DIV/0!</v>
      </c>
      <c r="T16" s="495" t="e">
        <f t="shared" si="17"/>
        <v>#DIV/0!</v>
      </c>
      <c r="U16" s="495" t="e">
        <f t="shared" si="17"/>
        <v>#DIV/0!</v>
      </c>
      <c r="V16" s="495" t="e">
        <f t="shared" si="17"/>
        <v>#DIV/0!</v>
      </c>
      <c r="W16" s="495" t="e">
        <f t="shared" si="17"/>
        <v>#DIV/0!</v>
      </c>
      <c r="X16" s="495" t="e">
        <f t="shared" si="17"/>
        <v>#DIV/0!</v>
      </c>
      <c r="Y16" s="495" t="e">
        <f t="shared" si="17"/>
        <v>#DIV/0!</v>
      </c>
      <c r="Z16" s="495" t="e">
        <f t="shared" si="17"/>
        <v>#DIV/0!</v>
      </c>
      <c r="AA16" s="495" t="e">
        <f t="shared" si="17"/>
        <v>#DIV/0!</v>
      </c>
      <c r="AB16" s="495" t="e">
        <f t="shared" si="17"/>
        <v>#DIV/0!</v>
      </c>
      <c r="AC16" s="495" t="e">
        <f t="shared" si="17"/>
        <v>#DIV/0!</v>
      </c>
      <c r="AD16" s="495" t="e">
        <f t="shared" si="17"/>
        <v>#DIV/0!</v>
      </c>
      <c r="AE16" s="495" t="e">
        <f t="shared" si="17"/>
        <v>#DIV/0!</v>
      </c>
      <c r="AF16" s="495" t="e">
        <f t="shared" si="17"/>
        <v>#DIV/0!</v>
      </c>
      <c r="AG16" s="495" t="e">
        <f t="shared" si="17"/>
        <v>#DIV/0!</v>
      </c>
      <c r="AH16" s="495" t="e">
        <f t="shared" si="17"/>
        <v>#DIV/0!</v>
      </c>
      <c r="AI16" s="495" t="e">
        <f t="shared" si="17"/>
        <v>#DIV/0!</v>
      </c>
      <c r="AJ16" s="495" t="e">
        <f t="shared" si="17"/>
        <v>#DIV/0!</v>
      </c>
      <c r="AK16" s="495" t="e">
        <f t="shared" si="17"/>
        <v>#DIV/0!</v>
      </c>
      <c r="AL16" s="495" t="e">
        <f t="shared" ref="AL16" si="18">(AL15/AK15-1)*100</f>
        <v>#DIV/0!</v>
      </c>
      <c r="AM16" s="495" t="e">
        <f t="shared" ref="AM16" si="19">(AM15/AL15-1)*100</f>
        <v>#DIV/0!</v>
      </c>
      <c r="AN16" s="495" t="e">
        <f t="shared" ref="AN16" si="20">(AN15/AM15-1)*100</f>
        <v>#DIV/0!</v>
      </c>
      <c r="AO16" s="495" t="e">
        <f t="shared" ref="AO16" si="21">(AO15/AN15-1)*100</f>
        <v>#DIV/0!</v>
      </c>
      <c r="AP16" s="495" t="e">
        <f t="shared" ref="AP16" si="22">(AP15/AO15-1)*100</f>
        <v>#DIV/0!</v>
      </c>
      <c r="AQ16" s="495" t="e">
        <f t="shared" ref="AQ16" si="23">(AQ15/AP15-1)*100</f>
        <v>#DIV/0!</v>
      </c>
      <c r="AR16" s="495" t="e">
        <f t="shared" ref="AR16" si="24">(AR15/AQ15-1)*100</f>
        <v>#DIV/0!</v>
      </c>
    </row>
    <row r="17" spans="1:63" s="196" customFormat="1" ht="4.3499999999999996" customHeight="1">
      <c r="A17" s="361"/>
      <c r="B17" s="361"/>
      <c r="C17" s="194"/>
      <c r="D17" s="429"/>
      <c r="E17" s="429"/>
      <c r="F17" s="429"/>
      <c r="G17" s="455"/>
      <c r="H17" s="456"/>
      <c r="I17" s="455"/>
      <c r="J17" s="456"/>
      <c r="K17" s="195"/>
      <c r="L17" s="429"/>
      <c r="M17" s="429"/>
      <c r="N17" s="429"/>
      <c r="O17" s="429"/>
      <c r="P17" s="429"/>
      <c r="Q17" s="429"/>
      <c r="R17" s="429"/>
      <c r="S17" s="429"/>
      <c r="T17" s="429"/>
      <c r="U17" s="429"/>
      <c r="V17" s="429"/>
      <c r="W17" s="429"/>
      <c r="X17" s="429"/>
      <c r="Y17" s="429"/>
      <c r="Z17" s="429"/>
      <c r="AA17" s="429"/>
      <c r="AB17" s="429"/>
      <c r="AC17" s="429"/>
      <c r="AD17" s="429"/>
      <c r="AE17" s="429"/>
      <c r="AF17" s="429"/>
      <c r="AG17" s="429"/>
      <c r="AH17" s="429"/>
      <c r="AI17" s="429"/>
      <c r="AJ17" s="429"/>
      <c r="AK17" s="429"/>
      <c r="AL17" s="429"/>
      <c r="AM17" s="429"/>
      <c r="AN17" s="429"/>
      <c r="AO17" s="429"/>
      <c r="AP17" s="429"/>
      <c r="AQ17" s="429"/>
      <c r="AR17" s="429"/>
    </row>
    <row r="18" spans="1:63" s="196" customFormat="1" ht="13.95" hidden="1" customHeight="1" outlineLevel="1">
      <c r="A18" s="361"/>
      <c r="B18" s="361"/>
      <c r="C18" s="190" t="s">
        <v>29</v>
      </c>
      <c r="D18" s="429"/>
      <c r="E18" s="429"/>
      <c r="F18" s="429"/>
      <c r="G18" s="464"/>
      <c r="H18" s="465"/>
      <c r="I18" s="464"/>
      <c r="J18" s="465"/>
      <c r="K18" s="195"/>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row>
    <row r="19" spans="1:63" s="193" customFormat="1" ht="13.95" hidden="1" customHeight="1" outlineLevel="1">
      <c r="A19" s="361" t="s">
        <v>41</v>
      </c>
      <c r="B19" s="395"/>
      <c r="C19" s="191" t="s">
        <v>52</v>
      </c>
      <c r="D19" s="429">
        <f t="shared" ref="D19:F22" si="25">SUMIFS($L19:$AN19,$L$6:$AN$6,"&gt;"&amp;EOMONTH(D$6,-12),$L$6:$AN$6,"&lt;="&amp;D$6)</f>
        <v>0</v>
      </c>
      <c r="E19" s="429">
        <f t="shared" si="25"/>
        <v>0</v>
      </c>
      <c r="F19" s="429">
        <f t="shared" si="25"/>
        <v>0</v>
      </c>
      <c r="G19" s="455">
        <f>+E19-D19</f>
        <v>0</v>
      </c>
      <c r="H19" s="456">
        <f t="shared" ref="H19:H24" si="26">IFERROR(IF(ABS(G19/D19)&gt;500%,"n/m",(G19/D19)*100),0)</f>
        <v>0</v>
      </c>
      <c r="I19" s="455">
        <f>+F19-E19</f>
        <v>0</v>
      </c>
      <c r="J19" s="456">
        <f t="shared" ref="J19:J24" si="27">IFERROR(IF(ABS(I19/E19)&gt;500%,"n/m",(I19/E19)*100),0)</f>
        <v>0</v>
      </c>
      <c r="K19" s="192"/>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row>
    <row r="20" spans="1:63" s="193" customFormat="1" ht="13.95" hidden="1" customHeight="1" outlineLevel="1">
      <c r="A20" s="361" t="s">
        <v>41</v>
      </c>
      <c r="B20" s="395"/>
      <c r="C20" s="191" t="s">
        <v>52</v>
      </c>
      <c r="D20" s="429">
        <f t="shared" si="25"/>
        <v>0</v>
      </c>
      <c r="E20" s="429">
        <f t="shared" si="25"/>
        <v>0</v>
      </c>
      <c r="F20" s="429">
        <f t="shared" si="25"/>
        <v>0</v>
      </c>
      <c r="G20" s="455">
        <f>+E20-D20</f>
        <v>0</v>
      </c>
      <c r="H20" s="456">
        <f t="shared" si="26"/>
        <v>0</v>
      </c>
      <c r="I20" s="455">
        <f>+F20-E20</f>
        <v>0</v>
      </c>
      <c r="J20" s="456">
        <f t="shared" si="27"/>
        <v>0</v>
      </c>
      <c r="K20" s="192"/>
      <c r="L20" s="429"/>
      <c r="M20" s="429"/>
      <c r="N20" s="429"/>
      <c r="O20" s="429"/>
      <c r="P20" s="429"/>
      <c r="Q20" s="429"/>
      <c r="R20" s="429"/>
      <c r="S20" s="429"/>
      <c r="T20" s="429"/>
      <c r="U20" s="429"/>
      <c r="V20" s="429"/>
      <c r="W20" s="429"/>
      <c r="X20" s="429"/>
      <c r="Y20" s="429"/>
      <c r="Z20" s="429"/>
      <c r="AA20" s="429"/>
      <c r="AB20" s="429"/>
      <c r="AC20" s="429"/>
      <c r="AD20" s="429"/>
      <c r="AE20" s="429"/>
      <c r="AF20" s="429"/>
      <c r="AG20" s="429"/>
      <c r="AH20" s="429"/>
      <c r="AI20" s="429"/>
      <c r="AJ20" s="429"/>
      <c r="AK20" s="429"/>
      <c r="AL20" s="429"/>
      <c r="AM20" s="429"/>
      <c r="AN20" s="429"/>
      <c r="AO20" s="429"/>
      <c r="AP20" s="429"/>
      <c r="AQ20" s="429"/>
      <c r="AR20" s="429"/>
    </row>
    <row r="21" spans="1:63" s="193" customFormat="1" ht="13.95" hidden="1" customHeight="1" outlineLevel="1">
      <c r="A21" s="361" t="s">
        <v>41</v>
      </c>
      <c r="B21" s="395"/>
      <c r="C21" s="191" t="s">
        <v>52</v>
      </c>
      <c r="D21" s="429">
        <f t="shared" si="25"/>
        <v>0</v>
      </c>
      <c r="E21" s="429">
        <f t="shared" si="25"/>
        <v>0</v>
      </c>
      <c r="F21" s="429">
        <f t="shared" si="25"/>
        <v>0</v>
      </c>
      <c r="G21" s="455">
        <f>+E21-D21</f>
        <v>0</v>
      </c>
      <c r="H21" s="456">
        <f t="shared" si="26"/>
        <v>0</v>
      </c>
      <c r="I21" s="455">
        <f>+F21-E21</f>
        <v>0</v>
      </c>
      <c r="J21" s="456">
        <f t="shared" si="27"/>
        <v>0</v>
      </c>
      <c r="K21" s="192"/>
      <c r="L21" s="429"/>
      <c r="M21" s="429"/>
      <c r="N21" s="429"/>
      <c r="O21" s="429"/>
      <c r="P21" s="429"/>
      <c r="Q21" s="429"/>
      <c r="R21" s="429"/>
      <c r="S21" s="429"/>
      <c r="T21" s="429"/>
      <c r="U21" s="429"/>
      <c r="V21" s="429"/>
      <c r="W21" s="429"/>
      <c r="X21" s="429"/>
      <c r="Y21" s="429"/>
      <c r="Z21" s="429"/>
      <c r="AA21" s="429"/>
      <c r="AB21" s="429"/>
      <c r="AC21" s="429"/>
      <c r="AD21" s="429"/>
      <c r="AE21" s="429"/>
      <c r="AF21" s="429"/>
      <c r="AG21" s="429"/>
      <c r="AH21" s="429"/>
      <c r="AI21" s="429"/>
      <c r="AJ21" s="429"/>
      <c r="AK21" s="429"/>
      <c r="AL21" s="429"/>
      <c r="AM21" s="429"/>
      <c r="AN21" s="429"/>
      <c r="AO21" s="429"/>
      <c r="AP21" s="429"/>
      <c r="AQ21" s="429"/>
      <c r="AR21" s="429"/>
    </row>
    <row r="22" spans="1:63" s="189" customFormat="1" ht="13.95" hidden="1" customHeight="1" outlineLevel="1">
      <c r="A22" s="361" t="s">
        <v>41</v>
      </c>
      <c r="B22" s="395"/>
      <c r="C22" s="235" t="s">
        <v>52</v>
      </c>
      <c r="D22" s="457">
        <f t="shared" si="25"/>
        <v>0</v>
      </c>
      <c r="E22" s="457">
        <f t="shared" si="25"/>
        <v>0</v>
      </c>
      <c r="F22" s="457">
        <f t="shared" si="25"/>
        <v>0</v>
      </c>
      <c r="G22" s="458">
        <f>+E22-D22</f>
        <v>0</v>
      </c>
      <c r="H22" s="459">
        <f t="shared" si="26"/>
        <v>0</v>
      </c>
      <c r="I22" s="458">
        <f>+F22-E22</f>
        <v>0</v>
      </c>
      <c r="J22" s="459">
        <f t="shared" si="27"/>
        <v>0</v>
      </c>
      <c r="K22" s="192"/>
      <c r="L22" s="457"/>
      <c r="M22" s="457"/>
      <c r="N22" s="457"/>
      <c r="O22" s="457"/>
      <c r="P22" s="457"/>
      <c r="Q22" s="457"/>
      <c r="R22" s="457"/>
      <c r="S22" s="457"/>
      <c r="T22" s="457"/>
      <c r="U22" s="457"/>
      <c r="V22" s="457"/>
      <c r="W22" s="457"/>
      <c r="X22" s="457"/>
      <c r="Y22" s="457"/>
      <c r="Z22" s="457"/>
      <c r="AA22" s="457"/>
      <c r="AB22" s="457"/>
      <c r="AC22" s="457"/>
      <c r="AD22" s="457"/>
      <c r="AE22" s="457"/>
      <c r="AF22" s="457"/>
      <c r="AG22" s="457"/>
      <c r="AH22" s="457"/>
      <c r="AI22" s="457"/>
      <c r="AJ22" s="457"/>
      <c r="AK22" s="457"/>
      <c r="AL22" s="457"/>
      <c r="AM22" s="457"/>
      <c r="AN22" s="457"/>
      <c r="AO22" s="457"/>
      <c r="AP22" s="457"/>
      <c r="AQ22" s="457"/>
      <c r="AR22" s="457"/>
    </row>
    <row r="23" spans="1:63" s="189" customFormat="1" ht="13.95" customHeight="1" collapsed="1">
      <c r="A23" s="361"/>
      <c r="B23" s="395"/>
      <c r="C23" s="194" t="s">
        <v>29</v>
      </c>
      <c r="D23" s="429">
        <f>SUBTOTAL(9,D19:D22)</f>
        <v>0</v>
      </c>
      <c r="E23" s="429">
        <f t="shared" ref="E23:F23" si="28">SUBTOTAL(9,E19:E22)</f>
        <v>0</v>
      </c>
      <c r="F23" s="429">
        <f t="shared" si="28"/>
        <v>0</v>
      </c>
      <c r="G23" s="455">
        <f>SUBTOTAL(9,G19:G22)</f>
        <v>0</v>
      </c>
      <c r="H23" s="456">
        <f t="shared" si="26"/>
        <v>0</v>
      </c>
      <c r="I23" s="455">
        <f>SUBTOTAL(9,I19:I22)</f>
        <v>0</v>
      </c>
      <c r="J23" s="456">
        <f t="shared" si="27"/>
        <v>0</v>
      </c>
      <c r="K23" s="192"/>
      <c r="L23" s="429">
        <f t="shared" ref="L23:AK23" si="29">SUBTOTAL(9,L19:L22)</f>
        <v>0</v>
      </c>
      <c r="M23" s="429">
        <f t="shared" si="29"/>
        <v>0</v>
      </c>
      <c r="N23" s="429">
        <f t="shared" si="29"/>
        <v>0</v>
      </c>
      <c r="O23" s="429">
        <f t="shared" si="29"/>
        <v>0</v>
      </c>
      <c r="P23" s="429">
        <f t="shared" si="29"/>
        <v>0</v>
      </c>
      <c r="Q23" s="429">
        <f t="shared" si="29"/>
        <v>0</v>
      </c>
      <c r="R23" s="429">
        <f t="shared" si="29"/>
        <v>0</v>
      </c>
      <c r="S23" s="429">
        <f t="shared" si="29"/>
        <v>0</v>
      </c>
      <c r="T23" s="429">
        <f t="shared" si="29"/>
        <v>0</v>
      </c>
      <c r="U23" s="429">
        <f t="shared" si="29"/>
        <v>0</v>
      </c>
      <c r="V23" s="429">
        <f t="shared" si="29"/>
        <v>0</v>
      </c>
      <c r="W23" s="429">
        <f t="shared" si="29"/>
        <v>0</v>
      </c>
      <c r="X23" s="429">
        <f t="shared" si="29"/>
        <v>0</v>
      </c>
      <c r="Y23" s="429">
        <f t="shared" si="29"/>
        <v>0</v>
      </c>
      <c r="Z23" s="429">
        <f t="shared" si="29"/>
        <v>0</v>
      </c>
      <c r="AA23" s="429">
        <f t="shared" si="29"/>
        <v>0</v>
      </c>
      <c r="AB23" s="429">
        <f t="shared" si="29"/>
        <v>0</v>
      </c>
      <c r="AC23" s="429">
        <f t="shared" si="29"/>
        <v>0</v>
      </c>
      <c r="AD23" s="429">
        <f t="shared" si="29"/>
        <v>0</v>
      </c>
      <c r="AE23" s="429">
        <f t="shared" si="29"/>
        <v>0</v>
      </c>
      <c r="AF23" s="429">
        <f t="shared" si="29"/>
        <v>0</v>
      </c>
      <c r="AG23" s="429">
        <f t="shared" si="29"/>
        <v>0</v>
      </c>
      <c r="AH23" s="429">
        <f t="shared" si="29"/>
        <v>0</v>
      </c>
      <c r="AI23" s="429">
        <f t="shared" si="29"/>
        <v>0</v>
      </c>
      <c r="AJ23" s="429">
        <f t="shared" si="29"/>
        <v>0</v>
      </c>
      <c r="AK23" s="429">
        <f t="shared" si="29"/>
        <v>0</v>
      </c>
      <c r="AL23" s="429">
        <f t="shared" ref="AL23:AR23" si="30">SUBTOTAL(9,AL19:AL22)</f>
        <v>0</v>
      </c>
      <c r="AM23" s="429">
        <f t="shared" si="30"/>
        <v>0</v>
      </c>
      <c r="AN23" s="429">
        <f t="shared" si="30"/>
        <v>0</v>
      </c>
      <c r="AO23" s="429">
        <f t="shared" si="30"/>
        <v>0</v>
      </c>
      <c r="AP23" s="429">
        <f t="shared" si="30"/>
        <v>0</v>
      </c>
      <c r="AQ23" s="429">
        <f t="shared" si="30"/>
        <v>0</v>
      </c>
      <c r="AR23" s="429">
        <f t="shared" si="30"/>
        <v>0</v>
      </c>
    </row>
    <row r="24" spans="1:63" s="199" customFormat="1" ht="13.95" customHeight="1" thickBot="1">
      <c r="A24" s="396"/>
      <c r="B24" s="396"/>
      <c r="C24" s="353" t="s">
        <v>11</v>
      </c>
      <c r="D24" s="466">
        <f>D15-D23</f>
        <v>0</v>
      </c>
      <c r="E24" s="466">
        <f>E15-E23</f>
        <v>0</v>
      </c>
      <c r="F24" s="466">
        <f>F15-F23</f>
        <v>0</v>
      </c>
      <c r="G24" s="467">
        <f>+E24-D24</f>
        <v>0</v>
      </c>
      <c r="H24" s="468">
        <f t="shared" si="26"/>
        <v>0</v>
      </c>
      <c r="I24" s="467">
        <f>+F24-E24</f>
        <v>0</v>
      </c>
      <c r="J24" s="468">
        <f t="shared" si="27"/>
        <v>0</v>
      </c>
      <c r="K24" s="197"/>
      <c r="L24" s="466">
        <f t="shared" ref="L24:AK24" si="31">L15-L23</f>
        <v>0</v>
      </c>
      <c r="M24" s="466">
        <f t="shared" si="31"/>
        <v>0</v>
      </c>
      <c r="N24" s="466">
        <f t="shared" si="31"/>
        <v>0</v>
      </c>
      <c r="O24" s="466">
        <f t="shared" si="31"/>
        <v>0</v>
      </c>
      <c r="P24" s="466">
        <f t="shared" si="31"/>
        <v>0</v>
      </c>
      <c r="Q24" s="466">
        <f t="shared" si="31"/>
        <v>0</v>
      </c>
      <c r="R24" s="466">
        <f t="shared" si="31"/>
        <v>0</v>
      </c>
      <c r="S24" s="466">
        <f t="shared" si="31"/>
        <v>0</v>
      </c>
      <c r="T24" s="466">
        <f t="shared" si="31"/>
        <v>0</v>
      </c>
      <c r="U24" s="466">
        <f t="shared" si="31"/>
        <v>0</v>
      </c>
      <c r="V24" s="466">
        <f t="shared" si="31"/>
        <v>0</v>
      </c>
      <c r="W24" s="466">
        <f t="shared" si="31"/>
        <v>0</v>
      </c>
      <c r="X24" s="466">
        <f t="shared" si="31"/>
        <v>0</v>
      </c>
      <c r="Y24" s="466">
        <f t="shared" si="31"/>
        <v>0</v>
      </c>
      <c r="Z24" s="466">
        <f t="shared" si="31"/>
        <v>0</v>
      </c>
      <c r="AA24" s="466">
        <f t="shared" si="31"/>
        <v>0</v>
      </c>
      <c r="AB24" s="466">
        <f t="shared" si="31"/>
        <v>0</v>
      </c>
      <c r="AC24" s="466">
        <f t="shared" si="31"/>
        <v>0</v>
      </c>
      <c r="AD24" s="466">
        <f t="shared" si="31"/>
        <v>0</v>
      </c>
      <c r="AE24" s="466">
        <f t="shared" si="31"/>
        <v>0</v>
      </c>
      <c r="AF24" s="466">
        <f t="shared" si="31"/>
        <v>0</v>
      </c>
      <c r="AG24" s="466">
        <f t="shared" si="31"/>
        <v>0</v>
      </c>
      <c r="AH24" s="466">
        <f t="shared" si="31"/>
        <v>0</v>
      </c>
      <c r="AI24" s="466">
        <f t="shared" si="31"/>
        <v>0</v>
      </c>
      <c r="AJ24" s="466">
        <f t="shared" si="31"/>
        <v>0</v>
      </c>
      <c r="AK24" s="466">
        <f t="shared" si="31"/>
        <v>0</v>
      </c>
      <c r="AL24" s="466">
        <f t="shared" ref="AL24:AR24" si="32">AL15-AL23</f>
        <v>0</v>
      </c>
      <c r="AM24" s="466">
        <f t="shared" si="32"/>
        <v>0</v>
      </c>
      <c r="AN24" s="466">
        <f t="shared" si="32"/>
        <v>0</v>
      </c>
      <c r="AO24" s="466">
        <f t="shared" si="32"/>
        <v>0</v>
      </c>
      <c r="AP24" s="466">
        <f t="shared" si="32"/>
        <v>0</v>
      </c>
      <c r="AQ24" s="466">
        <f t="shared" si="32"/>
        <v>0</v>
      </c>
      <c r="AR24" s="466">
        <f t="shared" si="32"/>
        <v>0</v>
      </c>
      <c r="AS24" s="198"/>
      <c r="AT24" s="198"/>
      <c r="AU24" s="198"/>
      <c r="AV24" s="198"/>
      <c r="AW24" s="198"/>
      <c r="AX24" s="198"/>
      <c r="AY24" s="198"/>
      <c r="AZ24" s="198"/>
      <c r="BA24" s="198"/>
      <c r="BB24" s="198"/>
      <c r="BC24" s="198"/>
      <c r="BD24" s="198"/>
      <c r="BE24" s="198"/>
      <c r="BF24" s="198"/>
      <c r="BG24" s="198"/>
      <c r="BH24" s="198"/>
      <c r="BI24" s="198"/>
      <c r="BJ24" s="198"/>
      <c r="BK24" s="198"/>
    </row>
    <row r="25" spans="1:63" s="193" customFormat="1" ht="13.95" customHeight="1">
      <c r="A25" s="361"/>
      <c r="B25" s="361"/>
      <c r="C25" s="281" t="s">
        <v>102</v>
      </c>
      <c r="D25" s="338" t="e">
        <f>D24/D$16*100</f>
        <v>#VALUE!</v>
      </c>
      <c r="E25" s="338" t="e">
        <f>E24/E$16*100</f>
        <v>#DIV/0!</v>
      </c>
      <c r="F25" s="338" t="e">
        <f>F24/F$16*100</f>
        <v>#DIV/0!</v>
      </c>
      <c r="G25" s="455"/>
      <c r="H25" s="456"/>
      <c r="I25" s="455"/>
      <c r="J25" s="456"/>
      <c r="K25" s="58"/>
      <c r="L25" s="338" t="e">
        <f t="shared" ref="L25:AK25" si="33">L24/L$16*100</f>
        <v>#VALUE!</v>
      </c>
      <c r="M25" s="338" t="e">
        <f t="shared" si="33"/>
        <v>#DIV/0!</v>
      </c>
      <c r="N25" s="338" t="e">
        <f t="shared" si="33"/>
        <v>#DIV/0!</v>
      </c>
      <c r="O25" s="338" t="e">
        <f t="shared" si="33"/>
        <v>#DIV/0!</v>
      </c>
      <c r="P25" s="338" t="e">
        <f t="shared" si="33"/>
        <v>#DIV/0!</v>
      </c>
      <c r="Q25" s="338" t="e">
        <f t="shared" si="33"/>
        <v>#DIV/0!</v>
      </c>
      <c r="R25" s="338" t="e">
        <f t="shared" si="33"/>
        <v>#DIV/0!</v>
      </c>
      <c r="S25" s="338" t="e">
        <f t="shared" si="33"/>
        <v>#DIV/0!</v>
      </c>
      <c r="T25" s="338" t="e">
        <f t="shared" si="33"/>
        <v>#DIV/0!</v>
      </c>
      <c r="U25" s="338" t="e">
        <f t="shared" si="33"/>
        <v>#DIV/0!</v>
      </c>
      <c r="V25" s="338" t="e">
        <f t="shared" si="33"/>
        <v>#DIV/0!</v>
      </c>
      <c r="W25" s="338" t="e">
        <f t="shared" si="33"/>
        <v>#DIV/0!</v>
      </c>
      <c r="X25" s="338" t="e">
        <f t="shared" si="33"/>
        <v>#DIV/0!</v>
      </c>
      <c r="Y25" s="338" t="e">
        <f t="shared" si="33"/>
        <v>#DIV/0!</v>
      </c>
      <c r="Z25" s="338" t="e">
        <f t="shared" si="33"/>
        <v>#DIV/0!</v>
      </c>
      <c r="AA25" s="338" t="e">
        <f t="shared" si="33"/>
        <v>#DIV/0!</v>
      </c>
      <c r="AB25" s="338" t="e">
        <f t="shared" si="33"/>
        <v>#DIV/0!</v>
      </c>
      <c r="AC25" s="338" t="e">
        <f t="shared" si="33"/>
        <v>#DIV/0!</v>
      </c>
      <c r="AD25" s="338" t="e">
        <f t="shared" si="33"/>
        <v>#DIV/0!</v>
      </c>
      <c r="AE25" s="338" t="e">
        <f t="shared" si="33"/>
        <v>#DIV/0!</v>
      </c>
      <c r="AF25" s="338" t="e">
        <f t="shared" si="33"/>
        <v>#DIV/0!</v>
      </c>
      <c r="AG25" s="338" t="e">
        <f t="shared" si="33"/>
        <v>#DIV/0!</v>
      </c>
      <c r="AH25" s="338" t="e">
        <f t="shared" si="33"/>
        <v>#DIV/0!</v>
      </c>
      <c r="AI25" s="338" t="e">
        <f t="shared" si="33"/>
        <v>#DIV/0!</v>
      </c>
      <c r="AJ25" s="338" t="e">
        <f t="shared" si="33"/>
        <v>#DIV/0!</v>
      </c>
      <c r="AK25" s="338" t="e">
        <f t="shared" si="33"/>
        <v>#DIV/0!</v>
      </c>
      <c r="AL25" s="338" t="e">
        <f t="shared" ref="AL25:AR25" si="34">AL24/AL$16*100</f>
        <v>#DIV/0!</v>
      </c>
      <c r="AM25" s="338" t="e">
        <f t="shared" si="34"/>
        <v>#DIV/0!</v>
      </c>
      <c r="AN25" s="338" t="e">
        <f t="shared" si="34"/>
        <v>#DIV/0!</v>
      </c>
      <c r="AO25" s="338" t="e">
        <f t="shared" si="34"/>
        <v>#DIV/0!</v>
      </c>
      <c r="AP25" s="338" t="e">
        <f t="shared" si="34"/>
        <v>#DIV/0!</v>
      </c>
      <c r="AQ25" s="338" t="e">
        <f t="shared" si="34"/>
        <v>#DIV/0!</v>
      </c>
      <c r="AR25" s="338" t="e">
        <f t="shared" si="34"/>
        <v>#DIV/0!</v>
      </c>
    </row>
    <row r="26" spans="1:63" s="199" customFormat="1" ht="4.3499999999999996" customHeight="1">
      <c r="A26" s="396"/>
      <c r="B26" s="396"/>
      <c r="C26" s="200"/>
      <c r="D26" s="469"/>
      <c r="E26" s="469"/>
      <c r="F26" s="469"/>
      <c r="G26" s="455"/>
      <c r="H26" s="470"/>
      <c r="I26" s="455"/>
      <c r="J26" s="470"/>
      <c r="K26" s="197"/>
      <c r="L26" s="469"/>
      <c r="M26" s="469"/>
      <c r="N26" s="469"/>
      <c r="O26" s="469"/>
      <c r="P26" s="469"/>
      <c r="Q26" s="469"/>
      <c r="R26" s="469"/>
      <c r="S26" s="469"/>
      <c r="T26" s="469"/>
      <c r="U26" s="469"/>
      <c r="V26" s="469"/>
      <c r="W26" s="469"/>
      <c r="X26" s="469"/>
      <c r="Y26" s="469"/>
      <c r="Z26" s="469"/>
      <c r="AA26" s="469"/>
      <c r="AB26" s="469"/>
      <c r="AC26" s="469"/>
      <c r="AD26" s="469"/>
      <c r="AE26" s="469"/>
      <c r="AF26" s="469"/>
      <c r="AG26" s="469"/>
      <c r="AH26" s="469"/>
      <c r="AI26" s="469"/>
      <c r="AJ26" s="469"/>
      <c r="AK26" s="469"/>
      <c r="AL26" s="469"/>
      <c r="AM26" s="469"/>
      <c r="AN26" s="469"/>
      <c r="AO26" s="469"/>
      <c r="AP26" s="469"/>
      <c r="AQ26" s="469"/>
      <c r="AR26" s="469"/>
      <c r="AS26" s="198"/>
      <c r="AT26" s="198"/>
      <c r="AU26" s="198"/>
      <c r="AV26" s="198"/>
      <c r="AW26" s="198"/>
      <c r="AX26" s="198"/>
      <c r="AY26" s="198"/>
      <c r="AZ26" s="198"/>
      <c r="BA26" s="198"/>
      <c r="BB26" s="198"/>
      <c r="BC26" s="198"/>
      <c r="BD26" s="198"/>
      <c r="BE26" s="198"/>
      <c r="BF26" s="198"/>
      <c r="BG26" s="198"/>
      <c r="BH26" s="198"/>
      <c r="BI26" s="198"/>
      <c r="BJ26" s="198"/>
      <c r="BK26" s="198"/>
    </row>
    <row r="27" spans="1:63" s="199" customFormat="1" ht="13.95" customHeight="1" outlineLevel="1">
      <c r="A27" s="396"/>
      <c r="B27" s="395"/>
      <c r="C27" s="200" t="s">
        <v>40</v>
      </c>
      <c r="D27" s="429"/>
      <c r="E27" s="429"/>
      <c r="F27" s="429"/>
      <c r="G27" s="471"/>
      <c r="H27" s="470"/>
      <c r="I27" s="471"/>
      <c r="J27" s="470"/>
      <c r="K27" s="197"/>
      <c r="L27" s="429"/>
      <c r="M27" s="429"/>
      <c r="N27" s="429"/>
      <c r="O27" s="429"/>
      <c r="P27" s="429"/>
      <c r="Q27" s="429"/>
      <c r="R27" s="429"/>
      <c r="S27" s="429"/>
      <c r="T27" s="429"/>
      <c r="U27" s="429"/>
      <c r="V27" s="429"/>
      <c r="W27" s="429"/>
      <c r="X27" s="429"/>
      <c r="Y27" s="429"/>
      <c r="Z27" s="429"/>
      <c r="AA27" s="429"/>
      <c r="AB27" s="429"/>
      <c r="AC27" s="429"/>
      <c r="AD27" s="429"/>
      <c r="AE27" s="429"/>
      <c r="AF27" s="429"/>
      <c r="AG27" s="429"/>
      <c r="AH27" s="429"/>
      <c r="AI27" s="429"/>
      <c r="AJ27" s="429"/>
      <c r="AK27" s="429"/>
      <c r="AL27" s="429"/>
      <c r="AM27" s="429"/>
      <c r="AN27" s="429"/>
      <c r="AO27" s="429"/>
      <c r="AP27" s="429"/>
      <c r="AQ27" s="429"/>
      <c r="AR27" s="429"/>
    </row>
    <row r="28" spans="1:63" s="199" customFormat="1" ht="13.95" customHeight="1" outlineLevel="2">
      <c r="A28" s="396"/>
      <c r="B28" s="396"/>
      <c r="C28" s="472" t="s">
        <v>187</v>
      </c>
      <c r="D28" s="469"/>
      <c r="E28" s="469"/>
      <c r="F28" s="469"/>
      <c r="G28" s="471"/>
      <c r="H28" s="470"/>
      <c r="I28" s="471"/>
      <c r="J28" s="470"/>
      <c r="K28" s="197"/>
      <c r="L28" s="469"/>
      <c r="M28" s="469"/>
      <c r="N28" s="469"/>
      <c r="O28" s="469"/>
      <c r="P28" s="469"/>
      <c r="Q28" s="469"/>
      <c r="R28" s="469"/>
      <c r="S28" s="469"/>
      <c r="T28" s="469"/>
      <c r="U28" s="469"/>
      <c r="V28" s="469"/>
      <c r="W28" s="469"/>
      <c r="X28" s="469"/>
      <c r="Y28" s="469"/>
      <c r="Z28" s="469"/>
      <c r="AA28" s="469"/>
      <c r="AB28" s="469"/>
      <c r="AC28" s="469"/>
      <c r="AD28" s="469"/>
      <c r="AE28" s="469"/>
      <c r="AF28" s="469"/>
      <c r="AG28" s="469"/>
      <c r="AH28" s="469"/>
      <c r="AI28" s="469"/>
      <c r="AJ28" s="469"/>
      <c r="AK28" s="469"/>
      <c r="AL28" s="469"/>
      <c r="AM28" s="469"/>
      <c r="AN28" s="469"/>
      <c r="AO28" s="469"/>
      <c r="AP28" s="469"/>
      <c r="AQ28" s="469"/>
      <c r="AR28" s="469"/>
    </row>
    <row r="29" spans="1:63" s="199" customFormat="1" ht="13.95" customHeight="1" outlineLevel="2">
      <c r="A29" s="361"/>
      <c r="B29" s="395"/>
      <c r="C29" s="473" t="s">
        <v>52</v>
      </c>
      <c r="D29" s="429">
        <f t="shared" ref="D29:F30" si="35">SUMIFS($L29:$AN29,$L$6:$AN$6,"&gt;"&amp;EOMONTH(D$6,-12),$L$6:$AN$6,"&lt;="&amp;D$6)</f>
        <v>0</v>
      </c>
      <c r="E29" s="429">
        <f t="shared" si="35"/>
        <v>0</v>
      </c>
      <c r="F29" s="429">
        <f t="shared" si="35"/>
        <v>0</v>
      </c>
      <c r="G29" s="455">
        <f>+E29-D29</f>
        <v>0</v>
      </c>
      <c r="H29" s="456">
        <f>IFERROR(IF(ABS(G29/D29)&gt;500%,"n/m",(G29/D29)*100),0)</f>
        <v>0</v>
      </c>
      <c r="I29" s="455">
        <f>+F29-E29</f>
        <v>0</v>
      </c>
      <c r="J29" s="456">
        <f>IFERROR(IF(ABS(I29/E29)&gt;500%,"n/m",(I29/E29)*100),0)</f>
        <v>0</v>
      </c>
      <c r="K29" s="197"/>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429"/>
      <c r="AO29" s="429"/>
      <c r="AP29" s="429"/>
      <c r="AQ29" s="429"/>
      <c r="AR29" s="429"/>
    </row>
    <row r="30" spans="1:63" s="199" customFormat="1" ht="13.95" customHeight="1" outlineLevel="2">
      <c r="A30" s="361"/>
      <c r="B30" s="395"/>
      <c r="C30" s="474" t="s">
        <v>52</v>
      </c>
      <c r="D30" s="457">
        <f t="shared" si="35"/>
        <v>0</v>
      </c>
      <c r="E30" s="457">
        <f t="shared" si="35"/>
        <v>0</v>
      </c>
      <c r="F30" s="457">
        <f t="shared" si="35"/>
        <v>0</v>
      </c>
      <c r="G30" s="458">
        <f>+E30-D30</f>
        <v>0</v>
      </c>
      <c r="H30" s="459">
        <f>IFERROR(IF(ABS(G30/D30)&gt;500%,"n/m",(G30/D30)*100),0)</f>
        <v>0</v>
      </c>
      <c r="I30" s="458">
        <f>+F30-E30</f>
        <v>0</v>
      </c>
      <c r="J30" s="459">
        <f>IFERROR(IF(ABS(I30/E30)&gt;500%,"n/m",(I30/E30)*100),0)</f>
        <v>0</v>
      </c>
      <c r="K30" s="197"/>
      <c r="L30" s="457"/>
      <c r="M30" s="457"/>
      <c r="N30" s="457"/>
      <c r="O30" s="457"/>
      <c r="P30" s="457"/>
      <c r="Q30" s="457"/>
      <c r="R30" s="457"/>
      <c r="S30" s="457"/>
      <c r="T30" s="457"/>
      <c r="U30" s="457"/>
      <c r="V30" s="457"/>
      <c r="W30" s="457"/>
      <c r="X30" s="457"/>
      <c r="Y30" s="457"/>
      <c r="Z30" s="457"/>
      <c r="AA30" s="457"/>
      <c r="AB30" s="457"/>
      <c r="AC30" s="457"/>
      <c r="AD30" s="457"/>
      <c r="AE30" s="457"/>
      <c r="AF30" s="457"/>
      <c r="AG30" s="457"/>
      <c r="AH30" s="457"/>
      <c r="AI30" s="457"/>
      <c r="AJ30" s="457"/>
      <c r="AK30" s="457"/>
      <c r="AL30" s="457"/>
      <c r="AM30" s="457"/>
      <c r="AN30" s="457"/>
      <c r="AO30" s="457"/>
      <c r="AP30" s="457"/>
      <c r="AQ30" s="457"/>
      <c r="AR30" s="457"/>
    </row>
    <row r="31" spans="1:63" s="199" customFormat="1" ht="13.95" customHeight="1" outlineLevel="1">
      <c r="A31" s="361"/>
      <c r="B31" s="396"/>
      <c r="C31" s="201" t="s">
        <v>187</v>
      </c>
      <c r="D31" s="475">
        <f>SUBTOTAL(9,D29:D30)</f>
        <v>0</v>
      </c>
      <c r="E31" s="475">
        <f t="shared" ref="E31:F31" si="36">SUBTOTAL(9,E29:E30)</f>
        <v>0</v>
      </c>
      <c r="F31" s="475">
        <f t="shared" si="36"/>
        <v>0</v>
      </c>
      <c r="G31" s="455">
        <f>+E31-D31</f>
        <v>0</v>
      </c>
      <c r="H31" s="456">
        <f>IFERROR(IF(ABS(G31/D31)&gt;500%,"n/m",(G31/D31)*100),0)</f>
        <v>0</v>
      </c>
      <c r="I31" s="455">
        <f>+F31-E31</f>
        <v>0</v>
      </c>
      <c r="J31" s="456">
        <f>IFERROR(IF(ABS(I31/E31)&gt;500%,"n/m",(I31/E31)*100),0)</f>
        <v>0</v>
      </c>
      <c r="K31" s="197"/>
      <c r="L31" s="475">
        <f t="shared" ref="L31:AK31" si="37">SUBTOTAL(9,L29:L30)</f>
        <v>0</v>
      </c>
      <c r="M31" s="475">
        <f t="shared" si="37"/>
        <v>0</v>
      </c>
      <c r="N31" s="475">
        <f t="shared" si="37"/>
        <v>0</v>
      </c>
      <c r="O31" s="475">
        <f t="shared" si="37"/>
        <v>0</v>
      </c>
      <c r="P31" s="475">
        <f t="shared" si="37"/>
        <v>0</v>
      </c>
      <c r="Q31" s="475">
        <f t="shared" si="37"/>
        <v>0</v>
      </c>
      <c r="R31" s="475">
        <f t="shared" si="37"/>
        <v>0</v>
      </c>
      <c r="S31" s="475">
        <f t="shared" si="37"/>
        <v>0</v>
      </c>
      <c r="T31" s="475">
        <f t="shared" si="37"/>
        <v>0</v>
      </c>
      <c r="U31" s="475">
        <f t="shared" si="37"/>
        <v>0</v>
      </c>
      <c r="V31" s="475">
        <f t="shared" si="37"/>
        <v>0</v>
      </c>
      <c r="W31" s="475">
        <f t="shared" si="37"/>
        <v>0</v>
      </c>
      <c r="X31" s="475">
        <f t="shared" si="37"/>
        <v>0</v>
      </c>
      <c r="Y31" s="475">
        <f t="shared" si="37"/>
        <v>0</v>
      </c>
      <c r="Z31" s="475">
        <f t="shared" si="37"/>
        <v>0</v>
      </c>
      <c r="AA31" s="475">
        <f t="shared" si="37"/>
        <v>0</v>
      </c>
      <c r="AB31" s="475">
        <f t="shared" si="37"/>
        <v>0</v>
      </c>
      <c r="AC31" s="475">
        <f t="shared" si="37"/>
        <v>0</v>
      </c>
      <c r="AD31" s="475">
        <f t="shared" si="37"/>
        <v>0</v>
      </c>
      <c r="AE31" s="475">
        <f t="shared" si="37"/>
        <v>0</v>
      </c>
      <c r="AF31" s="475">
        <f t="shared" si="37"/>
        <v>0</v>
      </c>
      <c r="AG31" s="475">
        <f t="shared" si="37"/>
        <v>0</v>
      </c>
      <c r="AH31" s="475">
        <f t="shared" si="37"/>
        <v>0</v>
      </c>
      <c r="AI31" s="475">
        <f t="shared" si="37"/>
        <v>0</v>
      </c>
      <c r="AJ31" s="475">
        <f t="shared" si="37"/>
        <v>0</v>
      </c>
      <c r="AK31" s="475">
        <f t="shared" si="37"/>
        <v>0</v>
      </c>
      <c r="AL31" s="475">
        <f t="shared" ref="AL31:AR31" si="38">SUBTOTAL(9,AL29:AL30)</f>
        <v>0</v>
      </c>
      <c r="AM31" s="475">
        <f t="shared" si="38"/>
        <v>0</v>
      </c>
      <c r="AN31" s="475">
        <f t="shared" si="38"/>
        <v>0</v>
      </c>
      <c r="AO31" s="475">
        <f t="shared" si="38"/>
        <v>0</v>
      </c>
      <c r="AP31" s="475">
        <f t="shared" si="38"/>
        <v>0</v>
      </c>
      <c r="AQ31" s="475">
        <f t="shared" si="38"/>
        <v>0</v>
      </c>
      <c r="AR31" s="475">
        <f t="shared" si="38"/>
        <v>0</v>
      </c>
    </row>
    <row r="32" spans="1:63" s="193" customFormat="1" ht="13.95" customHeight="1" outlineLevel="2">
      <c r="A32" s="361"/>
      <c r="B32" s="361"/>
      <c r="C32" s="476" t="s">
        <v>188</v>
      </c>
      <c r="D32" s="429"/>
      <c r="E32" s="429"/>
      <c r="F32" s="429"/>
      <c r="G32" s="455"/>
      <c r="H32" s="456"/>
      <c r="I32" s="455"/>
      <c r="J32" s="456"/>
      <c r="K32" s="192"/>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429"/>
      <c r="AO32" s="429"/>
      <c r="AP32" s="429"/>
      <c r="AQ32" s="429"/>
      <c r="AR32" s="429"/>
    </row>
    <row r="33" spans="1:44" s="193" customFormat="1" ht="13.95" customHeight="1" outlineLevel="2">
      <c r="A33" s="361"/>
      <c r="B33" s="395"/>
      <c r="C33" s="473" t="s">
        <v>52</v>
      </c>
      <c r="D33" s="429">
        <f t="shared" ref="D33:F34" si="39">SUMIFS($L33:$AN33,$L$6:$AN$6,"&gt;"&amp;EOMONTH(D$6,-12),$L$6:$AN$6,"&lt;="&amp;D$6)</f>
        <v>0</v>
      </c>
      <c r="E33" s="429">
        <f t="shared" si="39"/>
        <v>0</v>
      </c>
      <c r="F33" s="429">
        <f t="shared" si="39"/>
        <v>0</v>
      </c>
      <c r="G33" s="455">
        <f>+E33-D33</f>
        <v>0</v>
      </c>
      <c r="H33" s="456">
        <f>IFERROR(IF(ABS(G33/D33)&gt;500%,"n/m",(G33/D33)*100),0)</f>
        <v>0</v>
      </c>
      <c r="I33" s="455">
        <f>+F33-E33</f>
        <v>0</v>
      </c>
      <c r="J33" s="456">
        <f>IFERROR(IF(ABS(I33/E33)&gt;500%,"n/m",(I33/E33)*100),0)</f>
        <v>0</v>
      </c>
      <c r="K33" s="192"/>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429"/>
      <c r="AO33" s="429"/>
      <c r="AP33" s="429"/>
      <c r="AQ33" s="429"/>
      <c r="AR33" s="429"/>
    </row>
    <row r="34" spans="1:44" s="193" customFormat="1" ht="13.95" customHeight="1" outlineLevel="2">
      <c r="A34" s="361"/>
      <c r="B34" s="395"/>
      <c r="C34" s="474" t="s">
        <v>52</v>
      </c>
      <c r="D34" s="457">
        <f t="shared" si="39"/>
        <v>0</v>
      </c>
      <c r="E34" s="457">
        <f t="shared" si="39"/>
        <v>0</v>
      </c>
      <c r="F34" s="457">
        <f t="shared" si="39"/>
        <v>0</v>
      </c>
      <c r="G34" s="458">
        <f>+E34-D34</f>
        <v>0</v>
      </c>
      <c r="H34" s="459">
        <f>IFERROR(IF(ABS(G34/D34)&gt;500%,"n/m",(G34/D34)*100),0)</f>
        <v>0</v>
      </c>
      <c r="I34" s="458">
        <f>+F34-E34</f>
        <v>0</v>
      </c>
      <c r="J34" s="459">
        <f>IFERROR(IF(ABS(I34/E34)&gt;500%,"n/m",(I34/E34)*100),0)</f>
        <v>0</v>
      </c>
      <c r="K34" s="192"/>
      <c r="L34" s="457"/>
      <c r="M34" s="457"/>
      <c r="N34" s="457"/>
      <c r="O34" s="457"/>
      <c r="P34" s="457"/>
      <c r="Q34" s="457"/>
      <c r="R34" s="457"/>
      <c r="S34" s="457"/>
      <c r="T34" s="457"/>
      <c r="U34" s="457"/>
      <c r="V34" s="457"/>
      <c r="W34" s="457"/>
      <c r="X34" s="457"/>
      <c r="Y34" s="457"/>
      <c r="Z34" s="457"/>
      <c r="AA34" s="457"/>
      <c r="AB34" s="457"/>
      <c r="AC34" s="457"/>
      <c r="AD34" s="457"/>
      <c r="AE34" s="457"/>
      <c r="AF34" s="457"/>
      <c r="AG34" s="457"/>
      <c r="AH34" s="457"/>
      <c r="AI34" s="457"/>
      <c r="AJ34" s="457"/>
      <c r="AK34" s="457"/>
      <c r="AL34" s="457"/>
      <c r="AM34" s="457"/>
      <c r="AN34" s="457"/>
      <c r="AO34" s="457"/>
      <c r="AP34" s="457"/>
      <c r="AQ34" s="457"/>
      <c r="AR34" s="457"/>
    </row>
    <row r="35" spans="1:44" s="193" customFormat="1" ht="13.95" customHeight="1" outlineLevel="1">
      <c r="A35" s="361"/>
      <c r="B35" s="361"/>
      <c r="C35" s="191" t="s">
        <v>189</v>
      </c>
      <c r="D35" s="429">
        <f>SUBTOTAL(9,D33:D34)</f>
        <v>0</v>
      </c>
      <c r="E35" s="429">
        <f t="shared" ref="E35:F35" si="40">SUBTOTAL(9,E33:E34)</f>
        <v>0</v>
      </c>
      <c r="F35" s="429">
        <f t="shared" si="40"/>
        <v>0</v>
      </c>
      <c r="G35" s="455">
        <f>+E35-D35</f>
        <v>0</v>
      </c>
      <c r="H35" s="456">
        <f>IFERROR(IF(ABS(G35/D35)&gt;500%,"n/m",(G35/D35)*100),0)</f>
        <v>0</v>
      </c>
      <c r="I35" s="455">
        <f>+F35-E35</f>
        <v>0</v>
      </c>
      <c r="J35" s="456">
        <f>IFERROR(IF(ABS(I35/E35)&gt;500%,"n/m",(I35/E35)*100),0)</f>
        <v>0</v>
      </c>
      <c r="K35" s="192"/>
      <c r="L35" s="429">
        <f t="shared" ref="L35:AK35" si="41">SUBTOTAL(9,L33:L34)</f>
        <v>0</v>
      </c>
      <c r="M35" s="429">
        <f t="shared" si="41"/>
        <v>0</v>
      </c>
      <c r="N35" s="429">
        <f t="shared" si="41"/>
        <v>0</v>
      </c>
      <c r="O35" s="429">
        <f t="shared" si="41"/>
        <v>0</v>
      </c>
      <c r="P35" s="429">
        <f t="shared" si="41"/>
        <v>0</v>
      </c>
      <c r="Q35" s="429">
        <f t="shared" si="41"/>
        <v>0</v>
      </c>
      <c r="R35" s="429">
        <f t="shared" si="41"/>
        <v>0</v>
      </c>
      <c r="S35" s="429">
        <f t="shared" si="41"/>
        <v>0</v>
      </c>
      <c r="T35" s="429">
        <f t="shared" si="41"/>
        <v>0</v>
      </c>
      <c r="U35" s="429">
        <f t="shared" si="41"/>
        <v>0</v>
      </c>
      <c r="V35" s="429">
        <f t="shared" si="41"/>
        <v>0</v>
      </c>
      <c r="W35" s="429">
        <f t="shared" si="41"/>
        <v>0</v>
      </c>
      <c r="X35" s="429">
        <f t="shared" si="41"/>
        <v>0</v>
      </c>
      <c r="Y35" s="429">
        <f t="shared" si="41"/>
        <v>0</v>
      </c>
      <c r="Z35" s="429">
        <f t="shared" si="41"/>
        <v>0</v>
      </c>
      <c r="AA35" s="429">
        <f t="shared" si="41"/>
        <v>0</v>
      </c>
      <c r="AB35" s="429">
        <f t="shared" si="41"/>
        <v>0</v>
      </c>
      <c r="AC35" s="429">
        <f t="shared" si="41"/>
        <v>0</v>
      </c>
      <c r="AD35" s="429">
        <f t="shared" si="41"/>
        <v>0</v>
      </c>
      <c r="AE35" s="429">
        <f t="shared" si="41"/>
        <v>0</v>
      </c>
      <c r="AF35" s="429">
        <f t="shared" si="41"/>
        <v>0</v>
      </c>
      <c r="AG35" s="429">
        <f t="shared" si="41"/>
        <v>0</v>
      </c>
      <c r="AH35" s="429">
        <f t="shared" si="41"/>
        <v>0</v>
      </c>
      <c r="AI35" s="429">
        <f t="shared" si="41"/>
        <v>0</v>
      </c>
      <c r="AJ35" s="429">
        <f t="shared" si="41"/>
        <v>0</v>
      </c>
      <c r="AK35" s="429">
        <f t="shared" si="41"/>
        <v>0</v>
      </c>
      <c r="AL35" s="429">
        <f t="shared" ref="AL35:AR35" si="42">SUBTOTAL(9,AL33:AL34)</f>
        <v>0</v>
      </c>
      <c r="AM35" s="429">
        <f t="shared" si="42"/>
        <v>0</v>
      </c>
      <c r="AN35" s="429">
        <f t="shared" si="42"/>
        <v>0</v>
      </c>
      <c r="AO35" s="429">
        <f t="shared" si="42"/>
        <v>0</v>
      </c>
      <c r="AP35" s="429">
        <f t="shared" si="42"/>
        <v>0</v>
      </c>
      <c r="AQ35" s="429">
        <f t="shared" si="42"/>
        <v>0</v>
      </c>
      <c r="AR35" s="429">
        <f t="shared" si="42"/>
        <v>0</v>
      </c>
    </row>
    <row r="36" spans="1:44" s="193" customFormat="1" ht="13.95" customHeight="1" outlineLevel="2">
      <c r="A36" s="361"/>
      <c r="B36" s="361"/>
      <c r="C36" s="476" t="s">
        <v>190</v>
      </c>
      <c r="D36" s="429"/>
      <c r="E36" s="429"/>
      <c r="F36" s="429"/>
      <c r="G36" s="455"/>
      <c r="H36" s="456"/>
      <c r="I36" s="455"/>
      <c r="J36" s="456"/>
      <c r="K36" s="192"/>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429"/>
      <c r="AO36" s="429"/>
      <c r="AP36" s="429"/>
      <c r="AQ36" s="429"/>
      <c r="AR36" s="429"/>
    </row>
    <row r="37" spans="1:44" s="193" customFormat="1" ht="13.95" customHeight="1" outlineLevel="2">
      <c r="A37" s="361"/>
      <c r="B37" s="395"/>
      <c r="C37" s="473" t="s">
        <v>52</v>
      </c>
      <c r="D37" s="429">
        <f t="shared" ref="D37:F40" si="43">SUMIFS($L37:$AN37,$L$6:$AN$6,"&gt;"&amp;EOMONTH(D$6,-12),$L$6:$AN$6,"&lt;="&amp;D$6)</f>
        <v>0</v>
      </c>
      <c r="E37" s="429">
        <f t="shared" si="43"/>
        <v>0</v>
      </c>
      <c r="F37" s="429">
        <f t="shared" si="43"/>
        <v>0</v>
      </c>
      <c r="G37" s="455">
        <f>+E37-D37</f>
        <v>0</v>
      </c>
      <c r="H37" s="456">
        <f>IFERROR(IF(ABS(G37/D37)&gt;500%,"n/m",(G37/D37)*100),0)</f>
        <v>0</v>
      </c>
      <c r="I37" s="455">
        <f>+F37-E37</f>
        <v>0</v>
      </c>
      <c r="J37" s="456">
        <f>IFERROR(IF(ABS(I37/E37)&gt;500%,"n/m",(I37/E37)*100),0)</f>
        <v>0</v>
      </c>
      <c r="K37" s="192"/>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429"/>
      <c r="AO37" s="429"/>
      <c r="AP37" s="429"/>
      <c r="AQ37" s="429"/>
      <c r="AR37" s="429"/>
    </row>
    <row r="38" spans="1:44" s="193" customFormat="1" ht="13.95" customHeight="1" outlineLevel="2">
      <c r="A38" s="361"/>
      <c r="B38" s="395"/>
      <c r="C38" s="473" t="s">
        <v>52</v>
      </c>
      <c r="D38" s="429">
        <f t="shared" si="43"/>
        <v>0</v>
      </c>
      <c r="E38" s="429">
        <f t="shared" si="43"/>
        <v>0</v>
      </c>
      <c r="F38" s="429">
        <f t="shared" si="43"/>
        <v>0</v>
      </c>
      <c r="G38" s="455">
        <f>+E38-D38</f>
        <v>0</v>
      </c>
      <c r="H38" s="456">
        <f>IFERROR(IF(ABS(G38/D38)&gt;500%,"n/m",(G38/D38)*100),0)</f>
        <v>0</v>
      </c>
      <c r="I38" s="455">
        <f>+F38-E38</f>
        <v>0</v>
      </c>
      <c r="J38" s="456">
        <f>IFERROR(IF(ABS(I38/E38)&gt;500%,"n/m",(I38/E38)*100),0)</f>
        <v>0</v>
      </c>
      <c r="K38" s="192"/>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row>
    <row r="39" spans="1:44" s="193" customFormat="1" ht="13.95" customHeight="1" outlineLevel="2">
      <c r="A39" s="361"/>
      <c r="B39" s="395"/>
      <c r="C39" s="473" t="s">
        <v>52</v>
      </c>
      <c r="D39" s="429">
        <f t="shared" si="43"/>
        <v>0</v>
      </c>
      <c r="E39" s="429">
        <f t="shared" si="43"/>
        <v>0</v>
      </c>
      <c r="F39" s="429">
        <f t="shared" si="43"/>
        <v>0</v>
      </c>
      <c r="G39" s="455">
        <f>+E39-D39</f>
        <v>0</v>
      </c>
      <c r="H39" s="456">
        <f>IFERROR(IF(ABS(G39/D39)&gt;500%,"n/m",(G39/D39)*100),0)</f>
        <v>0</v>
      </c>
      <c r="I39" s="455">
        <f>+F39-E39</f>
        <v>0</v>
      </c>
      <c r="J39" s="456">
        <f>IFERROR(IF(ABS(I39/E39)&gt;500%,"n/m",(I39/E39)*100),0)</f>
        <v>0</v>
      </c>
      <c r="K39" s="192"/>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429"/>
      <c r="AO39" s="429"/>
      <c r="AP39" s="429"/>
      <c r="AQ39" s="429"/>
      <c r="AR39" s="429"/>
    </row>
    <row r="40" spans="1:44" s="193" customFormat="1" ht="13.95" customHeight="1" outlineLevel="2">
      <c r="A40" s="361"/>
      <c r="B40" s="395"/>
      <c r="C40" s="474" t="s">
        <v>52</v>
      </c>
      <c r="D40" s="457">
        <f t="shared" si="43"/>
        <v>0</v>
      </c>
      <c r="E40" s="457">
        <f t="shared" si="43"/>
        <v>0</v>
      </c>
      <c r="F40" s="457">
        <f t="shared" si="43"/>
        <v>0</v>
      </c>
      <c r="G40" s="458">
        <f>+E40-D40</f>
        <v>0</v>
      </c>
      <c r="H40" s="459">
        <f>IFERROR(IF(ABS(G40/D40)&gt;500%,"n/m",(G40/D40)*100),0)</f>
        <v>0</v>
      </c>
      <c r="I40" s="458">
        <f>+F40-E40</f>
        <v>0</v>
      </c>
      <c r="J40" s="459">
        <f>IFERROR(IF(ABS(I40/E40)&gt;500%,"n/m",(I40/E40)*100),0)</f>
        <v>0</v>
      </c>
      <c r="K40" s="192"/>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row>
    <row r="41" spans="1:44" s="193" customFormat="1" ht="13.95" customHeight="1" outlineLevel="1">
      <c r="A41" s="361"/>
      <c r="B41" s="361"/>
      <c r="C41" s="201" t="s">
        <v>190</v>
      </c>
      <c r="D41" s="429">
        <f>SUBTOTAL(9,D37:D40)</f>
        <v>0</v>
      </c>
      <c r="E41" s="429">
        <f t="shared" ref="E41:F41" si="44">SUBTOTAL(9,E37:E40)</f>
        <v>0</v>
      </c>
      <c r="F41" s="429">
        <f t="shared" si="44"/>
        <v>0</v>
      </c>
      <c r="G41" s="455">
        <f>+E41-D41</f>
        <v>0</v>
      </c>
      <c r="H41" s="456">
        <f>IFERROR(IF(ABS(G41/D41)&gt;500%,"n/m",(G41/D41)*100),0)</f>
        <v>0</v>
      </c>
      <c r="I41" s="455">
        <f>+F41-E41</f>
        <v>0</v>
      </c>
      <c r="J41" s="456">
        <f>IFERROR(IF(ABS(I41/E41)&gt;500%,"n/m",(I41/E41)*100),0)</f>
        <v>0</v>
      </c>
      <c r="K41" s="192"/>
      <c r="L41" s="429">
        <f t="shared" ref="L41:AK41" si="45">SUBTOTAL(9,L37:L40)</f>
        <v>0</v>
      </c>
      <c r="M41" s="429">
        <f t="shared" si="45"/>
        <v>0</v>
      </c>
      <c r="N41" s="429">
        <f t="shared" si="45"/>
        <v>0</v>
      </c>
      <c r="O41" s="429">
        <f t="shared" si="45"/>
        <v>0</v>
      </c>
      <c r="P41" s="429">
        <f t="shared" si="45"/>
        <v>0</v>
      </c>
      <c r="Q41" s="429">
        <f t="shared" si="45"/>
        <v>0</v>
      </c>
      <c r="R41" s="429">
        <f t="shared" si="45"/>
        <v>0</v>
      </c>
      <c r="S41" s="429">
        <f t="shared" si="45"/>
        <v>0</v>
      </c>
      <c r="T41" s="429">
        <f t="shared" si="45"/>
        <v>0</v>
      </c>
      <c r="U41" s="429">
        <f t="shared" si="45"/>
        <v>0</v>
      </c>
      <c r="V41" s="429">
        <f t="shared" si="45"/>
        <v>0</v>
      </c>
      <c r="W41" s="429">
        <f t="shared" si="45"/>
        <v>0</v>
      </c>
      <c r="X41" s="429">
        <f t="shared" si="45"/>
        <v>0</v>
      </c>
      <c r="Y41" s="429">
        <f t="shared" si="45"/>
        <v>0</v>
      </c>
      <c r="Z41" s="429">
        <f t="shared" si="45"/>
        <v>0</v>
      </c>
      <c r="AA41" s="429">
        <f t="shared" si="45"/>
        <v>0</v>
      </c>
      <c r="AB41" s="429">
        <f t="shared" si="45"/>
        <v>0</v>
      </c>
      <c r="AC41" s="429">
        <f t="shared" si="45"/>
        <v>0</v>
      </c>
      <c r="AD41" s="429">
        <f t="shared" si="45"/>
        <v>0</v>
      </c>
      <c r="AE41" s="429">
        <f t="shared" si="45"/>
        <v>0</v>
      </c>
      <c r="AF41" s="429">
        <f t="shared" si="45"/>
        <v>0</v>
      </c>
      <c r="AG41" s="429">
        <f t="shared" si="45"/>
        <v>0</v>
      </c>
      <c r="AH41" s="429">
        <f t="shared" si="45"/>
        <v>0</v>
      </c>
      <c r="AI41" s="429">
        <f t="shared" si="45"/>
        <v>0</v>
      </c>
      <c r="AJ41" s="429">
        <f t="shared" si="45"/>
        <v>0</v>
      </c>
      <c r="AK41" s="429">
        <f t="shared" si="45"/>
        <v>0</v>
      </c>
      <c r="AL41" s="429">
        <f t="shared" ref="AL41:AR41" si="46">SUBTOTAL(9,AL37:AL40)</f>
        <v>0</v>
      </c>
      <c r="AM41" s="429">
        <f t="shared" si="46"/>
        <v>0</v>
      </c>
      <c r="AN41" s="429">
        <f t="shared" si="46"/>
        <v>0</v>
      </c>
      <c r="AO41" s="429">
        <f t="shared" si="46"/>
        <v>0</v>
      </c>
      <c r="AP41" s="429">
        <f t="shared" si="46"/>
        <v>0</v>
      </c>
      <c r="AQ41" s="429">
        <f t="shared" si="46"/>
        <v>0</v>
      </c>
      <c r="AR41" s="429">
        <f t="shared" si="46"/>
        <v>0</v>
      </c>
    </row>
    <row r="42" spans="1:44" s="193" customFormat="1" ht="13.95" customHeight="1" outlineLevel="2">
      <c r="A42" s="361"/>
      <c r="B42" s="361"/>
      <c r="C42" s="472" t="s">
        <v>191</v>
      </c>
      <c r="D42" s="429"/>
      <c r="E42" s="429"/>
      <c r="F42" s="429"/>
      <c r="G42" s="455"/>
      <c r="H42" s="456"/>
      <c r="I42" s="455"/>
      <c r="J42" s="456"/>
      <c r="K42" s="192"/>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row>
    <row r="43" spans="1:44" s="193" customFormat="1" ht="13.95" customHeight="1" outlineLevel="2">
      <c r="A43" s="361"/>
      <c r="B43" s="361"/>
      <c r="C43" s="473" t="s">
        <v>52</v>
      </c>
      <c r="D43" s="429">
        <f t="shared" ref="D43:F46" si="47">SUMIFS($L43:$AN43,$L$6:$AN$6,"&gt;"&amp;EOMONTH(D$6,-12),$L$6:$AN$6,"&lt;="&amp;D$6)</f>
        <v>0</v>
      </c>
      <c r="E43" s="429">
        <f t="shared" si="47"/>
        <v>0</v>
      </c>
      <c r="F43" s="429">
        <f t="shared" si="47"/>
        <v>0</v>
      </c>
      <c r="G43" s="455">
        <f>+E43-D43</f>
        <v>0</v>
      </c>
      <c r="H43" s="456">
        <f>IFERROR(IF(ABS(G43/D43)&gt;500%,"n/m",(G43/D43)*100),0)</f>
        <v>0</v>
      </c>
      <c r="I43" s="455">
        <f>+F43-E43</f>
        <v>0</v>
      </c>
      <c r="J43" s="456">
        <f>IFERROR(IF(ABS(I43/E43)&gt;500%,"n/m",(I43/E43)*100),0)</f>
        <v>0</v>
      </c>
      <c r="K43" s="192"/>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429"/>
      <c r="AO43" s="429"/>
      <c r="AP43" s="429"/>
      <c r="AQ43" s="429"/>
      <c r="AR43" s="429"/>
    </row>
    <row r="44" spans="1:44" s="193" customFormat="1" ht="13.95" customHeight="1" outlineLevel="2">
      <c r="A44" s="361"/>
      <c r="B44" s="361"/>
      <c r="C44" s="473" t="s">
        <v>52</v>
      </c>
      <c r="D44" s="429">
        <f t="shared" si="47"/>
        <v>0</v>
      </c>
      <c r="E44" s="429">
        <f t="shared" si="47"/>
        <v>0</v>
      </c>
      <c r="F44" s="429">
        <f t="shared" si="47"/>
        <v>0</v>
      </c>
      <c r="G44" s="455">
        <f>+E44-D44</f>
        <v>0</v>
      </c>
      <c r="H44" s="456">
        <f>IFERROR(IF(ABS(G44/D44)&gt;500%,"n/m",(G44/D44)*100),0)</f>
        <v>0</v>
      </c>
      <c r="I44" s="455">
        <f>+F44-E44</f>
        <v>0</v>
      </c>
      <c r="J44" s="456">
        <f>IFERROR(IF(ABS(I44/E44)&gt;500%,"n/m",(I44/E44)*100),0)</f>
        <v>0</v>
      </c>
      <c r="K44" s="192"/>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row>
    <row r="45" spans="1:44" s="193" customFormat="1" ht="13.95" customHeight="1" outlineLevel="2">
      <c r="A45" s="361"/>
      <c r="B45" s="361"/>
      <c r="C45" s="473" t="s">
        <v>52</v>
      </c>
      <c r="D45" s="429">
        <f t="shared" si="47"/>
        <v>0</v>
      </c>
      <c r="E45" s="429">
        <f t="shared" si="47"/>
        <v>0</v>
      </c>
      <c r="F45" s="429">
        <f t="shared" si="47"/>
        <v>0</v>
      </c>
      <c r="G45" s="455">
        <f>+E45-D45</f>
        <v>0</v>
      </c>
      <c r="H45" s="456">
        <f>IFERROR(IF(ABS(G45/D45)&gt;500%,"n/m",(G45/D45)*100),0)</f>
        <v>0</v>
      </c>
      <c r="I45" s="455">
        <f>+F45-E45</f>
        <v>0</v>
      </c>
      <c r="J45" s="456">
        <f>IFERROR(IF(ABS(I45/E45)&gt;500%,"n/m",(I45/E45)*100),0)</f>
        <v>0</v>
      </c>
      <c r="K45" s="192"/>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row>
    <row r="46" spans="1:44" s="193" customFormat="1" ht="13.95" customHeight="1" outlineLevel="2">
      <c r="A46" s="361"/>
      <c r="B46" s="395"/>
      <c r="C46" s="474" t="s">
        <v>52</v>
      </c>
      <c r="D46" s="457">
        <f t="shared" si="47"/>
        <v>0</v>
      </c>
      <c r="E46" s="457">
        <f t="shared" si="47"/>
        <v>0</v>
      </c>
      <c r="F46" s="457">
        <f t="shared" si="47"/>
        <v>0</v>
      </c>
      <c r="G46" s="458">
        <f>+E46-D46</f>
        <v>0</v>
      </c>
      <c r="H46" s="459">
        <f>IFERROR(IF(ABS(G46/D46)&gt;500%,"n/m",(G46/D46)*100),0)</f>
        <v>0</v>
      </c>
      <c r="I46" s="458">
        <f>+F46-E46</f>
        <v>0</v>
      </c>
      <c r="J46" s="459">
        <f>IFERROR(IF(ABS(I46/E46)&gt;500%,"n/m",(I46/E46)*100),0)</f>
        <v>0</v>
      </c>
      <c r="K46" s="192"/>
      <c r="L46" s="457"/>
      <c r="M46" s="457"/>
      <c r="N46" s="457"/>
      <c r="O46" s="457"/>
      <c r="P46" s="457"/>
      <c r="Q46" s="457"/>
      <c r="R46" s="457"/>
      <c r="S46" s="457"/>
      <c r="T46" s="457"/>
      <c r="U46" s="457"/>
      <c r="V46" s="457"/>
      <c r="W46" s="457"/>
      <c r="X46" s="457"/>
      <c r="Y46" s="457"/>
      <c r="Z46" s="457"/>
      <c r="AA46" s="457"/>
      <c r="AB46" s="457"/>
      <c r="AC46" s="457"/>
      <c r="AD46" s="457"/>
      <c r="AE46" s="457"/>
      <c r="AF46" s="457"/>
      <c r="AG46" s="457"/>
      <c r="AH46" s="457"/>
      <c r="AI46" s="457"/>
      <c r="AJ46" s="457"/>
      <c r="AK46" s="457"/>
      <c r="AL46" s="457"/>
      <c r="AM46" s="457"/>
      <c r="AN46" s="457"/>
      <c r="AO46" s="457"/>
      <c r="AP46" s="457"/>
      <c r="AQ46" s="457"/>
      <c r="AR46" s="457"/>
    </row>
    <row r="47" spans="1:44" s="193" customFormat="1" ht="13.95" customHeight="1" outlineLevel="1">
      <c r="A47" s="361"/>
      <c r="B47" s="361"/>
      <c r="C47" s="201" t="s">
        <v>191</v>
      </c>
      <c r="D47" s="429">
        <f>SUBTOTAL(9,D46)</f>
        <v>0</v>
      </c>
      <c r="E47" s="429">
        <f t="shared" ref="E47:F47" si="48">SUBTOTAL(9,E46)</f>
        <v>0</v>
      </c>
      <c r="F47" s="429">
        <f t="shared" si="48"/>
        <v>0</v>
      </c>
      <c r="G47" s="455">
        <f>+E47-D47</f>
        <v>0</v>
      </c>
      <c r="H47" s="456">
        <f>IFERROR(IF(ABS(G47/D47)&gt;500%,"n/m",(G47/D47)*100),0)</f>
        <v>0</v>
      </c>
      <c r="I47" s="455">
        <f>+F47-E47</f>
        <v>0</v>
      </c>
      <c r="J47" s="456">
        <f>IFERROR(IF(ABS(I47/E47)&gt;500%,"n/m",(I47/E47)*100),0)</f>
        <v>0</v>
      </c>
      <c r="K47" s="192"/>
      <c r="L47" s="429">
        <f t="shared" ref="L47:AK47" si="49">SUBTOTAL(9,L46)</f>
        <v>0</v>
      </c>
      <c r="M47" s="429">
        <f t="shared" si="49"/>
        <v>0</v>
      </c>
      <c r="N47" s="429">
        <f t="shared" si="49"/>
        <v>0</v>
      </c>
      <c r="O47" s="429">
        <f t="shared" si="49"/>
        <v>0</v>
      </c>
      <c r="P47" s="429">
        <f t="shared" si="49"/>
        <v>0</v>
      </c>
      <c r="Q47" s="429">
        <f t="shared" si="49"/>
        <v>0</v>
      </c>
      <c r="R47" s="429">
        <f t="shared" si="49"/>
        <v>0</v>
      </c>
      <c r="S47" s="429">
        <f t="shared" si="49"/>
        <v>0</v>
      </c>
      <c r="T47" s="429">
        <f t="shared" si="49"/>
        <v>0</v>
      </c>
      <c r="U47" s="429">
        <f t="shared" si="49"/>
        <v>0</v>
      </c>
      <c r="V47" s="429">
        <f t="shared" si="49"/>
        <v>0</v>
      </c>
      <c r="W47" s="429">
        <f t="shared" si="49"/>
        <v>0</v>
      </c>
      <c r="X47" s="429">
        <f t="shared" si="49"/>
        <v>0</v>
      </c>
      <c r="Y47" s="429">
        <f t="shared" si="49"/>
        <v>0</v>
      </c>
      <c r="Z47" s="429">
        <f t="shared" si="49"/>
        <v>0</v>
      </c>
      <c r="AA47" s="429">
        <f t="shared" si="49"/>
        <v>0</v>
      </c>
      <c r="AB47" s="429">
        <f t="shared" si="49"/>
        <v>0</v>
      </c>
      <c r="AC47" s="429">
        <f t="shared" si="49"/>
        <v>0</v>
      </c>
      <c r="AD47" s="429">
        <f t="shared" si="49"/>
        <v>0</v>
      </c>
      <c r="AE47" s="429">
        <f t="shared" si="49"/>
        <v>0</v>
      </c>
      <c r="AF47" s="429">
        <f t="shared" si="49"/>
        <v>0</v>
      </c>
      <c r="AG47" s="429">
        <f t="shared" si="49"/>
        <v>0</v>
      </c>
      <c r="AH47" s="429">
        <f t="shared" si="49"/>
        <v>0</v>
      </c>
      <c r="AI47" s="429">
        <f t="shared" si="49"/>
        <v>0</v>
      </c>
      <c r="AJ47" s="429">
        <f t="shared" si="49"/>
        <v>0</v>
      </c>
      <c r="AK47" s="429">
        <f t="shared" si="49"/>
        <v>0</v>
      </c>
      <c r="AL47" s="429">
        <f t="shared" ref="AL47:AR47" si="50">SUBTOTAL(9,AL46)</f>
        <v>0</v>
      </c>
      <c r="AM47" s="429">
        <f t="shared" si="50"/>
        <v>0</v>
      </c>
      <c r="AN47" s="429">
        <f t="shared" si="50"/>
        <v>0</v>
      </c>
      <c r="AO47" s="429">
        <f t="shared" si="50"/>
        <v>0</v>
      </c>
      <c r="AP47" s="429">
        <f t="shared" si="50"/>
        <v>0</v>
      </c>
      <c r="AQ47" s="429">
        <f t="shared" si="50"/>
        <v>0</v>
      </c>
      <c r="AR47" s="429">
        <f t="shared" si="50"/>
        <v>0</v>
      </c>
    </row>
    <row r="48" spans="1:44" s="202" customFormat="1" ht="13.95" customHeight="1" outlineLevel="2">
      <c r="A48" s="361"/>
      <c r="B48" s="361"/>
      <c r="C48" s="472" t="s">
        <v>192</v>
      </c>
      <c r="D48" s="429"/>
      <c r="E48" s="429"/>
      <c r="F48" s="429"/>
      <c r="G48" s="455"/>
      <c r="H48" s="456"/>
      <c r="I48" s="455"/>
      <c r="J48" s="456"/>
      <c r="K48" s="192"/>
      <c r="L48" s="429"/>
      <c r="M48" s="429"/>
      <c r="N48" s="429"/>
      <c r="O48" s="429"/>
      <c r="P48" s="429"/>
      <c r="Q48" s="429"/>
      <c r="R48" s="429"/>
      <c r="S48" s="429"/>
      <c r="T48" s="429"/>
      <c r="U48" s="429"/>
      <c r="V48" s="429"/>
      <c r="W48" s="429"/>
      <c r="X48" s="429"/>
      <c r="Y48" s="429"/>
      <c r="Z48" s="429"/>
      <c r="AA48" s="429"/>
      <c r="AB48" s="429"/>
      <c r="AC48" s="429"/>
      <c r="AD48" s="429"/>
      <c r="AE48" s="429"/>
      <c r="AF48" s="429"/>
      <c r="AG48" s="429"/>
      <c r="AH48" s="429"/>
      <c r="AI48" s="429"/>
      <c r="AJ48" s="429"/>
      <c r="AK48" s="429"/>
      <c r="AL48" s="429"/>
      <c r="AM48" s="429"/>
      <c r="AN48" s="429"/>
      <c r="AO48" s="429"/>
      <c r="AP48" s="429"/>
      <c r="AQ48" s="429"/>
      <c r="AR48" s="429"/>
    </row>
    <row r="49" spans="1:44" s="193" customFormat="1" ht="13.95" customHeight="1" outlineLevel="2">
      <c r="A49" s="361"/>
      <c r="B49" s="395"/>
      <c r="C49" s="477" t="s">
        <v>52</v>
      </c>
      <c r="D49" s="429">
        <f t="shared" ref="D49:F53" si="51">SUMIFS($L49:$AN49,$L$6:$AN$6,"&gt;"&amp;EOMONTH(D$6,-12),$L$6:$AN$6,"&lt;="&amp;D$6)</f>
        <v>0</v>
      </c>
      <c r="E49" s="429">
        <f t="shared" si="51"/>
        <v>0</v>
      </c>
      <c r="F49" s="429">
        <f t="shared" si="51"/>
        <v>0</v>
      </c>
      <c r="G49" s="455">
        <f t="shared" ref="G49:G54" si="52">+E49-D49</f>
        <v>0</v>
      </c>
      <c r="H49" s="456">
        <f t="shared" ref="H49:H54" si="53">IFERROR(IF(ABS(G49/D49)&gt;500%,"n/m",(G49/D49)*100),0)</f>
        <v>0</v>
      </c>
      <c r="I49" s="455">
        <f t="shared" ref="I49:I54" si="54">+F49-E49</f>
        <v>0</v>
      </c>
      <c r="J49" s="456">
        <f t="shared" ref="J49:J54" si="55">IFERROR(IF(ABS(I49/E49)&gt;500%,"n/m",(I49/E49)*100),0)</f>
        <v>0</v>
      </c>
      <c r="K49" s="192"/>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row>
    <row r="50" spans="1:44" s="193" customFormat="1" ht="13.95" customHeight="1" outlineLevel="2">
      <c r="A50" s="361"/>
      <c r="B50" s="395"/>
      <c r="C50" s="473" t="s">
        <v>52</v>
      </c>
      <c r="D50" s="429">
        <f t="shared" si="51"/>
        <v>0</v>
      </c>
      <c r="E50" s="429">
        <f t="shared" si="51"/>
        <v>0</v>
      </c>
      <c r="F50" s="429">
        <f t="shared" si="51"/>
        <v>0</v>
      </c>
      <c r="G50" s="455">
        <f t="shared" si="52"/>
        <v>0</v>
      </c>
      <c r="H50" s="456">
        <f t="shared" si="53"/>
        <v>0</v>
      </c>
      <c r="I50" s="455">
        <f t="shared" si="54"/>
        <v>0</v>
      </c>
      <c r="J50" s="456">
        <f t="shared" si="55"/>
        <v>0</v>
      </c>
      <c r="K50" s="192"/>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row>
    <row r="51" spans="1:44" s="193" customFormat="1" ht="13.95" customHeight="1" outlineLevel="2">
      <c r="A51" s="361"/>
      <c r="B51" s="395"/>
      <c r="C51" s="473" t="s">
        <v>52</v>
      </c>
      <c r="D51" s="429">
        <f t="shared" si="51"/>
        <v>0</v>
      </c>
      <c r="E51" s="429">
        <f t="shared" si="51"/>
        <v>0</v>
      </c>
      <c r="F51" s="429">
        <f t="shared" si="51"/>
        <v>0</v>
      </c>
      <c r="G51" s="455">
        <f t="shared" si="52"/>
        <v>0</v>
      </c>
      <c r="H51" s="456">
        <f t="shared" si="53"/>
        <v>0</v>
      </c>
      <c r="I51" s="455">
        <f t="shared" si="54"/>
        <v>0</v>
      </c>
      <c r="J51" s="456">
        <f t="shared" si="55"/>
        <v>0</v>
      </c>
      <c r="K51" s="192"/>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row>
    <row r="52" spans="1:44" s="193" customFormat="1" ht="13.95" customHeight="1" outlineLevel="2">
      <c r="A52" s="361"/>
      <c r="B52" s="395"/>
      <c r="C52" s="473" t="s">
        <v>52</v>
      </c>
      <c r="D52" s="429">
        <f t="shared" si="51"/>
        <v>0</v>
      </c>
      <c r="E52" s="429">
        <f t="shared" si="51"/>
        <v>0</v>
      </c>
      <c r="F52" s="429">
        <f t="shared" si="51"/>
        <v>0</v>
      </c>
      <c r="G52" s="455">
        <f t="shared" si="52"/>
        <v>0</v>
      </c>
      <c r="H52" s="456">
        <f t="shared" si="53"/>
        <v>0</v>
      </c>
      <c r="I52" s="455">
        <f t="shared" si="54"/>
        <v>0</v>
      </c>
      <c r="J52" s="456">
        <f t="shared" si="55"/>
        <v>0</v>
      </c>
      <c r="K52" s="192"/>
      <c r="L52" s="429"/>
      <c r="M52" s="429"/>
      <c r="N52" s="429"/>
      <c r="O52" s="429"/>
      <c r="P52" s="429"/>
      <c r="Q52" s="429"/>
      <c r="R52" s="429"/>
      <c r="S52" s="429"/>
      <c r="T52" s="429"/>
      <c r="U52" s="429"/>
      <c r="V52" s="429"/>
      <c r="W52" s="429"/>
      <c r="X52" s="429"/>
      <c r="Y52" s="429"/>
      <c r="Z52" s="429"/>
      <c r="AA52" s="429"/>
      <c r="AB52" s="429"/>
      <c r="AC52" s="429"/>
      <c r="AD52" s="429"/>
      <c r="AE52" s="429"/>
      <c r="AF52" s="429"/>
      <c r="AG52" s="429"/>
      <c r="AH52" s="429"/>
      <c r="AI52" s="429"/>
      <c r="AJ52" s="429"/>
      <c r="AK52" s="429"/>
      <c r="AL52" s="429"/>
      <c r="AM52" s="429"/>
      <c r="AN52" s="429"/>
      <c r="AO52" s="429"/>
      <c r="AP52" s="429"/>
      <c r="AQ52" s="429"/>
      <c r="AR52" s="429"/>
    </row>
    <row r="53" spans="1:44" s="193" customFormat="1" ht="13.95" customHeight="1" outlineLevel="2">
      <c r="A53" s="361"/>
      <c r="B53" s="395"/>
      <c r="C53" s="474" t="s">
        <v>52</v>
      </c>
      <c r="D53" s="457">
        <f t="shared" si="51"/>
        <v>0</v>
      </c>
      <c r="E53" s="457">
        <f t="shared" si="51"/>
        <v>0</v>
      </c>
      <c r="F53" s="457">
        <f t="shared" si="51"/>
        <v>0</v>
      </c>
      <c r="G53" s="458">
        <f t="shared" si="52"/>
        <v>0</v>
      </c>
      <c r="H53" s="459">
        <f t="shared" si="53"/>
        <v>0</v>
      </c>
      <c r="I53" s="458">
        <f t="shared" si="54"/>
        <v>0</v>
      </c>
      <c r="J53" s="459">
        <f t="shared" si="55"/>
        <v>0</v>
      </c>
      <c r="K53" s="192"/>
      <c r="L53" s="457"/>
      <c r="M53" s="457"/>
      <c r="N53" s="457"/>
      <c r="O53" s="457"/>
      <c r="P53" s="457"/>
      <c r="Q53" s="457"/>
      <c r="R53" s="457"/>
      <c r="S53" s="457"/>
      <c r="T53" s="457"/>
      <c r="U53" s="457"/>
      <c r="V53" s="457"/>
      <c r="W53" s="457"/>
      <c r="X53" s="457"/>
      <c r="Y53" s="457"/>
      <c r="Z53" s="457"/>
      <c r="AA53" s="457"/>
      <c r="AB53" s="457"/>
      <c r="AC53" s="457"/>
      <c r="AD53" s="457"/>
      <c r="AE53" s="457"/>
      <c r="AF53" s="457"/>
      <c r="AG53" s="457"/>
      <c r="AH53" s="457"/>
      <c r="AI53" s="457"/>
      <c r="AJ53" s="457"/>
      <c r="AK53" s="457"/>
      <c r="AL53" s="457"/>
      <c r="AM53" s="457"/>
      <c r="AN53" s="457"/>
      <c r="AO53" s="457"/>
      <c r="AP53" s="457"/>
      <c r="AQ53" s="457"/>
      <c r="AR53" s="457"/>
    </row>
    <row r="54" spans="1:44" s="193" customFormat="1" ht="13.95" customHeight="1" outlineLevel="1">
      <c r="A54" s="361"/>
      <c r="B54" s="395"/>
      <c r="C54" s="201" t="s">
        <v>193</v>
      </c>
      <c r="D54" s="429">
        <f>SUBTOTAL(9,D49:D53)</f>
        <v>0</v>
      </c>
      <c r="E54" s="429">
        <f t="shared" ref="E54:F54" si="56">SUBTOTAL(9,E49:E53)</f>
        <v>0</v>
      </c>
      <c r="F54" s="429">
        <f t="shared" si="56"/>
        <v>0</v>
      </c>
      <c r="G54" s="455">
        <f t="shared" si="52"/>
        <v>0</v>
      </c>
      <c r="H54" s="456">
        <f t="shared" si="53"/>
        <v>0</v>
      </c>
      <c r="I54" s="455">
        <f t="shared" si="54"/>
        <v>0</v>
      </c>
      <c r="J54" s="456">
        <f t="shared" si="55"/>
        <v>0</v>
      </c>
      <c r="K54" s="192"/>
      <c r="L54" s="429">
        <f t="shared" ref="L54:AK54" si="57">SUBTOTAL(9,L49:L53)</f>
        <v>0</v>
      </c>
      <c r="M54" s="429">
        <f t="shared" si="57"/>
        <v>0</v>
      </c>
      <c r="N54" s="429">
        <f t="shared" si="57"/>
        <v>0</v>
      </c>
      <c r="O54" s="429">
        <f t="shared" si="57"/>
        <v>0</v>
      </c>
      <c r="P54" s="429">
        <f t="shared" si="57"/>
        <v>0</v>
      </c>
      <c r="Q54" s="429">
        <f t="shared" si="57"/>
        <v>0</v>
      </c>
      <c r="R54" s="429">
        <f t="shared" si="57"/>
        <v>0</v>
      </c>
      <c r="S54" s="429">
        <f t="shared" si="57"/>
        <v>0</v>
      </c>
      <c r="T54" s="429">
        <f t="shared" si="57"/>
        <v>0</v>
      </c>
      <c r="U54" s="429">
        <f t="shared" si="57"/>
        <v>0</v>
      </c>
      <c r="V54" s="429">
        <f t="shared" si="57"/>
        <v>0</v>
      </c>
      <c r="W54" s="429">
        <f t="shared" si="57"/>
        <v>0</v>
      </c>
      <c r="X54" s="429">
        <f t="shared" si="57"/>
        <v>0</v>
      </c>
      <c r="Y54" s="429">
        <f t="shared" si="57"/>
        <v>0</v>
      </c>
      <c r="Z54" s="429">
        <f t="shared" si="57"/>
        <v>0</v>
      </c>
      <c r="AA54" s="429">
        <f t="shared" si="57"/>
        <v>0</v>
      </c>
      <c r="AB54" s="429">
        <f t="shared" si="57"/>
        <v>0</v>
      </c>
      <c r="AC54" s="429">
        <f t="shared" si="57"/>
        <v>0</v>
      </c>
      <c r="AD54" s="429">
        <f t="shared" si="57"/>
        <v>0</v>
      </c>
      <c r="AE54" s="429">
        <f t="shared" si="57"/>
        <v>0</v>
      </c>
      <c r="AF54" s="429">
        <f t="shared" si="57"/>
        <v>0</v>
      </c>
      <c r="AG54" s="429">
        <f t="shared" si="57"/>
        <v>0</v>
      </c>
      <c r="AH54" s="429">
        <f t="shared" si="57"/>
        <v>0</v>
      </c>
      <c r="AI54" s="429">
        <f t="shared" si="57"/>
        <v>0</v>
      </c>
      <c r="AJ54" s="429">
        <f t="shared" si="57"/>
        <v>0</v>
      </c>
      <c r="AK54" s="429">
        <f t="shared" si="57"/>
        <v>0</v>
      </c>
      <c r="AL54" s="429">
        <f t="shared" ref="AL54:AR54" si="58">SUBTOTAL(9,AL49:AL53)</f>
        <v>0</v>
      </c>
      <c r="AM54" s="429">
        <f t="shared" si="58"/>
        <v>0</v>
      </c>
      <c r="AN54" s="429">
        <f t="shared" si="58"/>
        <v>0</v>
      </c>
      <c r="AO54" s="429">
        <f t="shared" si="58"/>
        <v>0</v>
      </c>
      <c r="AP54" s="429">
        <f t="shared" si="58"/>
        <v>0</v>
      </c>
      <c r="AQ54" s="429">
        <f t="shared" si="58"/>
        <v>0</v>
      </c>
      <c r="AR54" s="429">
        <f t="shared" si="58"/>
        <v>0</v>
      </c>
    </row>
    <row r="55" spans="1:44" s="193" customFormat="1" ht="13.95" customHeight="1" outlineLevel="2">
      <c r="A55" s="361"/>
      <c r="B55" s="395"/>
      <c r="C55" s="472" t="s">
        <v>194</v>
      </c>
      <c r="D55" s="429"/>
      <c r="E55" s="429"/>
      <c r="F55" s="429"/>
      <c r="G55" s="455"/>
      <c r="H55" s="456"/>
      <c r="I55" s="455"/>
      <c r="J55" s="456"/>
      <c r="K55" s="192"/>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row>
    <row r="56" spans="1:44" s="193" customFormat="1" ht="13.95" customHeight="1" outlineLevel="2">
      <c r="A56" s="361"/>
      <c r="B56" s="395"/>
      <c r="C56" s="473" t="s">
        <v>52</v>
      </c>
      <c r="D56" s="429">
        <f t="shared" ref="D56:F64" si="59">SUMIFS($L56:$AN56,$L$6:$AN$6,"&gt;"&amp;EOMONTH(D$6,-12),$L$6:$AN$6,"&lt;="&amp;D$6)</f>
        <v>0</v>
      </c>
      <c r="E56" s="429">
        <f t="shared" si="59"/>
        <v>0</v>
      </c>
      <c r="F56" s="429">
        <f t="shared" si="59"/>
        <v>0</v>
      </c>
      <c r="G56" s="455">
        <f t="shared" ref="G56:G66" si="60">+E56-D56</f>
        <v>0</v>
      </c>
      <c r="H56" s="456">
        <f t="shared" ref="H56:H66" si="61">IFERROR(IF(ABS(G56/D56)&gt;500%,"n/m",(G56/D56)*100),0)</f>
        <v>0</v>
      </c>
      <c r="I56" s="455">
        <f t="shared" ref="I56:I66" si="62">+F56-E56</f>
        <v>0</v>
      </c>
      <c r="J56" s="456">
        <f t="shared" ref="J56:J66" si="63">IFERROR(IF(ABS(I56/E56)&gt;500%,"n/m",(I56/E56)*100),0)</f>
        <v>0</v>
      </c>
      <c r="K56" s="192"/>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429"/>
      <c r="AO56" s="429"/>
      <c r="AP56" s="429"/>
      <c r="AQ56" s="429"/>
      <c r="AR56" s="429"/>
    </row>
    <row r="57" spans="1:44" s="193" customFormat="1" ht="13.95" customHeight="1" outlineLevel="2">
      <c r="A57" s="361"/>
      <c r="B57" s="395"/>
      <c r="C57" s="473" t="s">
        <v>52</v>
      </c>
      <c r="D57" s="429">
        <f t="shared" si="59"/>
        <v>0</v>
      </c>
      <c r="E57" s="429">
        <f t="shared" si="59"/>
        <v>0</v>
      </c>
      <c r="F57" s="429">
        <f t="shared" si="59"/>
        <v>0</v>
      </c>
      <c r="G57" s="455">
        <f t="shared" si="60"/>
        <v>0</v>
      </c>
      <c r="H57" s="456">
        <f t="shared" si="61"/>
        <v>0</v>
      </c>
      <c r="I57" s="455">
        <f t="shared" si="62"/>
        <v>0</v>
      </c>
      <c r="J57" s="456">
        <f t="shared" si="63"/>
        <v>0</v>
      </c>
      <c r="K57" s="192"/>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429"/>
      <c r="AO57" s="429"/>
      <c r="AP57" s="429"/>
      <c r="AQ57" s="429"/>
      <c r="AR57" s="429"/>
    </row>
    <row r="58" spans="1:44" s="193" customFormat="1" ht="13.95" customHeight="1" outlineLevel="2">
      <c r="A58" s="361"/>
      <c r="B58" s="395"/>
      <c r="C58" s="473" t="s">
        <v>52</v>
      </c>
      <c r="D58" s="429">
        <f t="shared" si="59"/>
        <v>0</v>
      </c>
      <c r="E58" s="429">
        <f t="shared" si="59"/>
        <v>0</v>
      </c>
      <c r="F58" s="429">
        <f t="shared" si="59"/>
        <v>0</v>
      </c>
      <c r="G58" s="455">
        <f t="shared" si="60"/>
        <v>0</v>
      </c>
      <c r="H58" s="456">
        <f t="shared" si="61"/>
        <v>0</v>
      </c>
      <c r="I58" s="455">
        <f t="shared" si="62"/>
        <v>0</v>
      </c>
      <c r="J58" s="456">
        <f t="shared" si="63"/>
        <v>0</v>
      </c>
      <c r="K58" s="192"/>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429"/>
      <c r="AO58" s="429"/>
      <c r="AP58" s="429"/>
      <c r="AQ58" s="429"/>
      <c r="AR58" s="429"/>
    </row>
    <row r="59" spans="1:44" s="193" customFormat="1" ht="13.95" customHeight="1" outlineLevel="2">
      <c r="A59" s="361"/>
      <c r="B59" s="395"/>
      <c r="C59" s="473" t="s">
        <v>52</v>
      </c>
      <c r="D59" s="429">
        <f t="shared" si="59"/>
        <v>0</v>
      </c>
      <c r="E59" s="429">
        <f t="shared" si="59"/>
        <v>0</v>
      </c>
      <c r="F59" s="429">
        <f t="shared" si="59"/>
        <v>0</v>
      </c>
      <c r="G59" s="455">
        <f t="shared" si="60"/>
        <v>0</v>
      </c>
      <c r="H59" s="456">
        <f t="shared" si="61"/>
        <v>0</v>
      </c>
      <c r="I59" s="455">
        <f t="shared" si="62"/>
        <v>0</v>
      </c>
      <c r="J59" s="456">
        <f t="shared" si="63"/>
        <v>0</v>
      </c>
      <c r="K59" s="192"/>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429"/>
      <c r="AO59" s="429"/>
      <c r="AP59" s="429"/>
      <c r="AQ59" s="429"/>
      <c r="AR59" s="429"/>
    </row>
    <row r="60" spans="1:44" s="193" customFormat="1" ht="13.95" customHeight="1" outlineLevel="2">
      <c r="A60" s="361"/>
      <c r="B60" s="395"/>
      <c r="C60" s="473" t="s">
        <v>52</v>
      </c>
      <c r="D60" s="429">
        <f t="shared" si="59"/>
        <v>0</v>
      </c>
      <c r="E60" s="429">
        <f t="shared" si="59"/>
        <v>0</v>
      </c>
      <c r="F60" s="429">
        <f t="shared" si="59"/>
        <v>0</v>
      </c>
      <c r="G60" s="455">
        <f t="shared" si="60"/>
        <v>0</v>
      </c>
      <c r="H60" s="456">
        <f t="shared" si="61"/>
        <v>0</v>
      </c>
      <c r="I60" s="455">
        <f t="shared" si="62"/>
        <v>0</v>
      </c>
      <c r="J60" s="456">
        <f t="shared" si="63"/>
        <v>0</v>
      </c>
      <c r="K60" s="192"/>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row>
    <row r="61" spans="1:44" s="193" customFormat="1" ht="13.95" customHeight="1" outlineLevel="2">
      <c r="A61" s="361"/>
      <c r="B61" s="395"/>
      <c r="C61" s="473" t="s">
        <v>52</v>
      </c>
      <c r="D61" s="429">
        <f t="shared" si="59"/>
        <v>0</v>
      </c>
      <c r="E61" s="429">
        <f t="shared" si="59"/>
        <v>0</v>
      </c>
      <c r="F61" s="429">
        <f t="shared" si="59"/>
        <v>0</v>
      </c>
      <c r="G61" s="455">
        <f t="shared" si="60"/>
        <v>0</v>
      </c>
      <c r="H61" s="456">
        <f t="shared" si="61"/>
        <v>0</v>
      </c>
      <c r="I61" s="455">
        <f t="shared" si="62"/>
        <v>0</v>
      </c>
      <c r="J61" s="456">
        <f t="shared" si="63"/>
        <v>0</v>
      </c>
      <c r="K61" s="192"/>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row>
    <row r="62" spans="1:44" s="193" customFormat="1" ht="13.95" customHeight="1" outlineLevel="2">
      <c r="A62" s="361"/>
      <c r="B62" s="395"/>
      <c r="C62" s="473" t="s">
        <v>52</v>
      </c>
      <c r="D62" s="429">
        <f t="shared" si="59"/>
        <v>0</v>
      </c>
      <c r="E62" s="429">
        <f t="shared" si="59"/>
        <v>0</v>
      </c>
      <c r="F62" s="429">
        <f t="shared" si="59"/>
        <v>0</v>
      </c>
      <c r="G62" s="455">
        <f t="shared" si="60"/>
        <v>0</v>
      </c>
      <c r="H62" s="456">
        <f t="shared" si="61"/>
        <v>0</v>
      </c>
      <c r="I62" s="455">
        <f t="shared" si="62"/>
        <v>0</v>
      </c>
      <c r="J62" s="456">
        <f t="shared" si="63"/>
        <v>0</v>
      </c>
      <c r="K62" s="192"/>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429"/>
      <c r="AO62" s="429"/>
      <c r="AP62" s="429"/>
      <c r="AQ62" s="429"/>
      <c r="AR62" s="429"/>
    </row>
    <row r="63" spans="1:44" s="193" customFormat="1" ht="13.95" customHeight="1" outlineLevel="2">
      <c r="A63" s="361"/>
      <c r="B63" s="395"/>
      <c r="C63" s="473" t="s">
        <v>52</v>
      </c>
      <c r="D63" s="429">
        <f t="shared" si="59"/>
        <v>0</v>
      </c>
      <c r="E63" s="429">
        <f t="shared" si="59"/>
        <v>0</v>
      </c>
      <c r="F63" s="429">
        <f t="shared" si="59"/>
        <v>0</v>
      </c>
      <c r="G63" s="455">
        <f t="shared" si="60"/>
        <v>0</v>
      </c>
      <c r="H63" s="456">
        <f t="shared" si="61"/>
        <v>0</v>
      </c>
      <c r="I63" s="455">
        <f t="shared" si="62"/>
        <v>0</v>
      </c>
      <c r="J63" s="456">
        <f t="shared" si="63"/>
        <v>0</v>
      </c>
      <c r="K63" s="192"/>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429"/>
      <c r="AO63" s="429"/>
      <c r="AP63" s="429"/>
      <c r="AQ63" s="429"/>
      <c r="AR63" s="429"/>
    </row>
    <row r="64" spans="1:44" s="193" customFormat="1" ht="13.95" customHeight="1" outlineLevel="2">
      <c r="A64" s="361"/>
      <c r="B64" s="395"/>
      <c r="C64" s="474" t="s">
        <v>52</v>
      </c>
      <c r="D64" s="429">
        <f t="shared" si="59"/>
        <v>0</v>
      </c>
      <c r="E64" s="429">
        <f t="shared" si="59"/>
        <v>0</v>
      </c>
      <c r="F64" s="429">
        <f t="shared" si="59"/>
        <v>0</v>
      </c>
      <c r="G64" s="458">
        <f t="shared" si="60"/>
        <v>0</v>
      </c>
      <c r="H64" s="459">
        <f t="shared" si="61"/>
        <v>0</v>
      </c>
      <c r="I64" s="458">
        <f t="shared" si="62"/>
        <v>0</v>
      </c>
      <c r="J64" s="459">
        <f t="shared" si="63"/>
        <v>0</v>
      </c>
      <c r="K64" s="192"/>
      <c r="L64" s="457"/>
      <c r="M64" s="457"/>
      <c r="N64" s="457"/>
      <c r="O64" s="457"/>
      <c r="P64" s="457"/>
      <c r="Q64" s="457"/>
      <c r="R64" s="457"/>
      <c r="S64" s="457"/>
      <c r="T64" s="457"/>
      <c r="U64" s="457"/>
      <c r="V64" s="457"/>
      <c r="W64" s="457"/>
      <c r="X64" s="457"/>
      <c r="Y64" s="457"/>
      <c r="Z64" s="457"/>
      <c r="AA64" s="457"/>
      <c r="AB64" s="457"/>
      <c r="AC64" s="457"/>
      <c r="AD64" s="457"/>
      <c r="AE64" s="457"/>
      <c r="AF64" s="457"/>
      <c r="AG64" s="457"/>
      <c r="AH64" s="457"/>
      <c r="AI64" s="457"/>
      <c r="AJ64" s="457"/>
      <c r="AK64" s="457"/>
      <c r="AL64" s="457"/>
      <c r="AM64" s="457"/>
      <c r="AN64" s="457"/>
      <c r="AO64" s="457"/>
      <c r="AP64" s="457"/>
      <c r="AQ64" s="457"/>
      <c r="AR64" s="457"/>
    </row>
    <row r="65" spans="1:63" s="193" customFormat="1" ht="13.95" customHeight="1" outlineLevel="1">
      <c r="A65" s="361"/>
      <c r="B65" s="395"/>
      <c r="C65" s="478" t="s">
        <v>194</v>
      </c>
      <c r="D65" s="479">
        <f>SUBTOTAL(9,D56:D64)</f>
        <v>0</v>
      </c>
      <c r="E65" s="479">
        <f t="shared" ref="E65:F65" si="64">SUBTOTAL(9,E56:E64)</f>
        <v>0</v>
      </c>
      <c r="F65" s="479">
        <f t="shared" si="64"/>
        <v>0</v>
      </c>
      <c r="G65" s="480">
        <f t="shared" si="60"/>
        <v>0</v>
      </c>
      <c r="H65" s="481">
        <f t="shared" si="61"/>
        <v>0</v>
      </c>
      <c r="I65" s="480">
        <f t="shared" si="62"/>
        <v>0</v>
      </c>
      <c r="J65" s="481">
        <f t="shared" si="63"/>
        <v>0</v>
      </c>
      <c r="K65" s="192"/>
      <c r="L65" s="479">
        <f t="shared" ref="L65:AK65" si="65">SUBTOTAL(9,L56:L64)</f>
        <v>0</v>
      </c>
      <c r="M65" s="479">
        <f t="shared" si="65"/>
        <v>0</v>
      </c>
      <c r="N65" s="479">
        <f t="shared" si="65"/>
        <v>0</v>
      </c>
      <c r="O65" s="479">
        <f t="shared" si="65"/>
        <v>0</v>
      </c>
      <c r="P65" s="479">
        <f t="shared" si="65"/>
        <v>0</v>
      </c>
      <c r="Q65" s="479">
        <f t="shared" si="65"/>
        <v>0</v>
      </c>
      <c r="R65" s="479">
        <f t="shared" si="65"/>
        <v>0</v>
      </c>
      <c r="S65" s="479">
        <f t="shared" si="65"/>
        <v>0</v>
      </c>
      <c r="T65" s="479">
        <f t="shared" si="65"/>
        <v>0</v>
      </c>
      <c r="U65" s="479">
        <f t="shared" si="65"/>
        <v>0</v>
      </c>
      <c r="V65" s="479">
        <f t="shared" si="65"/>
        <v>0</v>
      </c>
      <c r="W65" s="479">
        <f t="shared" si="65"/>
        <v>0</v>
      </c>
      <c r="X65" s="479">
        <f t="shared" si="65"/>
        <v>0</v>
      </c>
      <c r="Y65" s="479">
        <f t="shared" si="65"/>
        <v>0</v>
      </c>
      <c r="Z65" s="479">
        <f t="shared" si="65"/>
        <v>0</v>
      </c>
      <c r="AA65" s="479">
        <f t="shared" si="65"/>
        <v>0</v>
      </c>
      <c r="AB65" s="479">
        <f t="shared" si="65"/>
        <v>0</v>
      </c>
      <c r="AC65" s="479">
        <f t="shared" si="65"/>
        <v>0</v>
      </c>
      <c r="AD65" s="479">
        <f t="shared" si="65"/>
        <v>0</v>
      </c>
      <c r="AE65" s="479">
        <f t="shared" si="65"/>
        <v>0</v>
      </c>
      <c r="AF65" s="479">
        <f t="shared" si="65"/>
        <v>0</v>
      </c>
      <c r="AG65" s="479">
        <f t="shared" si="65"/>
        <v>0</v>
      </c>
      <c r="AH65" s="479">
        <f t="shared" si="65"/>
        <v>0</v>
      </c>
      <c r="AI65" s="479">
        <f t="shared" si="65"/>
        <v>0</v>
      </c>
      <c r="AJ65" s="479">
        <f t="shared" si="65"/>
        <v>0</v>
      </c>
      <c r="AK65" s="479">
        <f t="shared" si="65"/>
        <v>0</v>
      </c>
      <c r="AL65" s="479">
        <f t="shared" ref="AL65:AR65" si="66">SUBTOTAL(9,AL56:AL64)</f>
        <v>0</v>
      </c>
      <c r="AM65" s="479">
        <f t="shared" si="66"/>
        <v>0</v>
      </c>
      <c r="AN65" s="479">
        <f t="shared" si="66"/>
        <v>0</v>
      </c>
      <c r="AO65" s="479">
        <f t="shared" si="66"/>
        <v>0</v>
      </c>
      <c r="AP65" s="479">
        <f t="shared" si="66"/>
        <v>0</v>
      </c>
      <c r="AQ65" s="479">
        <f t="shared" si="66"/>
        <v>0</v>
      </c>
      <c r="AR65" s="479">
        <f t="shared" si="66"/>
        <v>0</v>
      </c>
    </row>
    <row r="66" spans="1:63" s="193" customFormat="1" ht="13.95" customHeight="1">
      <c r="A66" s="361"/>
      <c r="B66" s="361"/>
      <c r="C66" s="60" t="s">
        <v>103</v>
      </c>
      <c r="D66" s="482">
        <f t="shared" ref="D66:F66" si="67">SUBTOTAL(9,D29:D65)</f>
        <v>0</v>
      </c>
      <c r="E66" s="482">
        <f t="shared" si="67"/>
        <v>0</v>
      </c>
      <c r="F66" s="482">
        <f t="shared" si="67"/>
        <v>0</v>
      </c>
      <c r="G66" s="455">
        <f t="shared" si="60"/>
        <v>0</v>
      </c>
      <c r="H66" s="456">
        <f t="shared" si="61"/>
        <v>0</v>
      </c>
      <c r="I66" s="455">
        <f t="shared" si="62"/>
        <v>0</v>
      </c>
      <c r="J66" s="456">
        <f t="shared" si="63"/>
        <v>0</v>
      </c>
      <c r="K66" s="58"/>
      <c r="L66" s="482">
        <f>SUBTOTAL(9,L29:L65)</f>
        <v>0</v>
      </c>
      <c r="M66" s="482">
        <f t="shared" ref="M66:AK66" si="68">SUBTOTAL(9,M29:M65)</f>
        <v>0</v>
      </c>
      <c r="N66" s="482">
        <f t="shared" si="68"/>
        <v>0</v>
      </c>
      <c r="O66" s="482">
        <f t="shared" si="68"/>
        <v>0</v>
      </c>
      <c r="P66" s="482">
        <f t="shared" si="68"/>
        <v>0</v>
      </c>
      <c r="Q66" s="482">
        <f t="shared" si="68"/>
        <v>0</v>
      </c>
      <c r="R66" s="482">
        <f t="shared" si="68"/>
        <v>0</v>
      </c>
      <c r="S66" s="482">
        <f t="shared" si="68"/>
        <v>0</v>
      </c>
      <c r="T66" s="482">
        <f t="shared" si="68"/>
        <v>0</v>
      </c>
      <c r="U66" s="482">
        <f t="shared" si="68"/>
        <v>0</v>
      </c>
      <c r="V66" s="482">
        <f t="shared" si="68"/>
        <v>0</v>
      </c>
      <c r="W66" s="482">
        <f t="shared" si="68"/>
        <v>0</v>
      </c>
      <c r="X66" s="482">
        <f t="shared" si="68"/>
        <v>0</v>
      </c>
      <c r="Y66" s="482">
        <f t="shared" si="68"/>
        <v>0</v>
      </c>
      <c r="Z66" s="482">
        <f t="shared" si="68"/>
        <v>0</v>
      </c>
      <c r="AA66" s="482">
        <f t="shared" si="68"/>
        <v>0</v>
      </c>
      <c r="AB66" s="482">
        <f t="shared" si="68"/>
        <v>0</v>
      </c>
      <c r="AC66" s="482">
        <f t="shared" si="68"/>
        <v>0</v>
      </c>
      <c r="AD66" s="482">
        <f t="shared" si="68"/>
        <v>0</v>
      </c>
      <c r="AE66" s="482">
        <f t="shared" si="68"/>
        <v>0</v>
      </c>
      <c r="AF66" s="482">
        <f t="shared" si="68"/>
        <v>0</v>
      </c>
      <c r="AG66" s="482">
        <f t="shared" si="68"/>
        <v>0</v>
      </c>
      <c r="AH66" s="482">
        <f t="shared" si="68"/>
        <v>0</v>
      </c>
      <c r="AI66" s="482">
        <f t="shared" si="68"/>
        <v>0</v>
      </c>
      <c r="AJ66" s="482">
        <f t="shared" si="68"/>
        <v>0</v>
      </c>
      <c r="AK66" s="482">
        <f t="shared" si="68"/>
        <v>0</v>
      </c>
      <c r="AL66" s="482">
        <f t="shared" ref="AL66:AR66" si="69">SUBTOTAL(9,AL29:AL65)</f>
        <v>0</v>
      </c>
      <c r="AM66" s="482">
        <f t="shared" si="69"/>
        <v>0</v>
      </c>
      <c r="AN66" s="482">
        <f t="shared" si="69"/>
        <v>0</v>
      </c>
      <c r="AO66" s="482">
        <f t="shared" si="69"/>
        <v>0</v>
      </c>
      <c r="AP66" s="482">
        <f t="shared" si="69"/>
        <v>0</v>
      </c>
      <c r="AQ66" s="482">
        <f t="shared" si="69"/>
        <v>0</v>
      </c>
      <c r="AR66" s="482">
        <f t="shared" si="69"/>
        <v>0</v>
      </c>
    </row>
    <row r="67" spans="1:63" s="193" customFormat="1" ht="13.95" customHeight="1">
      <c r="A67" s="361"/>
      <c r="B67" s="361"/>
      <c r="C67" s="281" t="s">
        <v>102</v>
      </c>
      <c r="D67" s="338" t="e">
        <f>D66/D$16*100</f>
        <v>#VALUE!</v>
      </c>
      <c r="E67" s="338" t="e">
        <f>E66/E$16*100</f>
        <v>#DIV/0!</v>
      </c>
      <c r="F67" s="338" t="e">
        <f>F66/E$16*100</f>
        <v>#DIV/0!</v>
      </c>
      <c r="G67" s="455"/>
      <c r="H67" s="456"/>
      <c r="I67" s="455"/>
      <c r="J67" s="456"/>
      <c r="K67" s="58"/>
      <c r="L67" s="338" t="e">
        <f t="shared" ref="L67:AK67" si="70">L66/L$16*100</f>
        <v>#VALUE!</v>
      </c>
      <c r="M67" s="338" t="e">
        <f t="shared" si="70"/>
        <v>#DIV/0!</v>
      </c>
      <c r="N67" s="338" t="e">
        <f t="shared" si="70"/>
        <v>#DIV/0!</v>
      </c>
      <c r="O67" s="338" t="e">
        <f t="shared" si="70"/>
        <v>#DIV/0!</v>
      </c>
      <c r="P67" s="338" t="e">
        <f t="shared" si="70"/>
        <v>#DIV/0!</v>
      </c>
      <c r="Q67" s="338" t="e">
        <f t="shared" si="70"/>
        <v>#DIV/0!</v>
      </c>
      <c r="R67" s="338" t="e">
        <f t="shared" si="70"/>
        <v>#DIV/0!</v>
      </c>
      <c r="S67" s="338" t="e">
        <f t="shared" si="70"/>
        <v>#DIV/0!</v>
      </c>
      <c r="T67" s="338" t="e">
        <f t="shared" si="70"/>
        <v>#DIV/0!</v>
      </c>
      <c r="U67" s="338" t="e">
        <f t="shared" si="70"/>
        <v>#DIV/0!</v>
      </c>
      <c r="V67" s="338" t="e">
        <f t="shared" si="70"/>
        <v>#DIV/0!</v>
      </c>
      <c r="W67" s="338" t="e">
        <f t="shared" si="70"/>
        <v>#DIV/0!</v>
      </c>
      <c r="X67" s="338" t="e">
        <f t="shared" si="70"/>
        <v>#DIV/0!</v>
      </c>
      <c r="Y67" s="338" t="e">
        <f t="shared" si="70"/>
        <v>#DIV/0!</v>
      </c>
      <c r="Z67" s="338" t="e">
        <f t="shared" si="70"/>
        <v>#DIV/0!</v>
      </c>
      <c r="AA67" s="338" t="e">
        <f t="shared" si="70"/>
        <v>#DIV/0!</v>
      </c>
      <c r="AB67" s="338" t="e">
        <f t="shared" si="70"/>
        <v>#DIV/0!</v>
      </c>
      <c r="AC67" s="338" t="e">
        <f t="shared" si="70"/>
        <v>#DIV/0!</v>
      </c>
      <c r="AD67" s="338" t="e">
        <f t="shared" si="70"/>
        <v>#DIV/0!</v>
      </c>
      <c r="AE67" s="338" t="e">
        <f t="shared" si="70"/>
        <v>#DIV/0!</v>
      </c>
      <c r="AF67" s="338" t="e">
        <f t="shared" si="70"/>
        <v>#DIV/0!</v>
      </c>
      <c r="AG67" s="338" t="e">
        <f t="shared" si="70"/>
        <v>#DIV/0!</v>
      </c>
      <c r="AH67" s="338" t="e">
        <f t="shared" si="70"/>
        <v>#DIV/0!</v>
      </c>
      <c r="AI67" s="338" t="e">
        <f t="shared" si="70"/>
        <v>#DIV/0!</v>
      </c>
      <c r="AJ67" s="338" t="e">
        <f t="shared" si="70"/>
        <v>#DIV/0!</v>
      </c>
      <c r="AK67" s="338" t="e">
        <f t="shared" si="70"/>
        <v>#DIV/0!</v>
      </c>
      <c r="AL67" s="338" t="e">
        <f t="shared" ref="AL67:AR67" si="71">AL66/AL$16*100</f>
        <v>#DIV/0!</v>
      </c>
      <c r="AM67" s="338" t="e">
        <f t="shared" si="71"/>
        <v>#DIV/0!</v>
      </c>
      <c r="AN67" s="338" t="e">
        <f t="shared" si="71"/>
        <v>#DIV/0!</v>
      </c>
      <c r="AO67" s="338" t="e">
        <f t="shared" si="71"/>
        <v>#DIV/0!</v>
      </c>
      <c r="AP67" s="338" t="e">
        <f t="shared" si="71"/>
        <v>#DIV/0!</v>
      </c>
      <c r="AQ67" s="338" t="e">
        <f t="shared" si="71"/>
        <v>#DIV/0!</v>
      </c>
      <c r="AR67" s="338" t="e">
        <f t="shared" si="71"/>
        <v>#DIV/0!</v>
      </c>
    </row>
    <row r="68" spans="1:63" s="202" customFormat="1" ht="4.3499999999999996" customHeight="1">
      <c r="A68" s="397"/>
      <c r="B68" s="397"/>
      <c r="C68" s="60"/>
      <c r="D68" s="482"/>
      <c r="E68" s="482"/>
      <c r="F68" s="482"/>
      <c r="G68" s="455"/>
      <c r="H68" s="456"/>
      <c r="I68" s="455"/>
      <c r="J68" s="456"/>
      <c r="K68" s="58"/>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482"/>
      <c r="AK68" s="482"/>
      <c r="AL68" s="482"/>
      <c r="AM68" s="482"/>
      <c r="AN68" s="482"/>
      <c r="AO68" s="482"/>
      <c r="AP68" s="482"/>
      <c r="AQ68" s="482"/>
      <c r="AR68" s="482"/>
    </row>
    <row r="69" spans="1:63" s="193" customFormat="1" ht="13.95" hidden="1" customHeight="1" outlineLevel="1">
      <c r="A69" s="361"/>
      <c r="B69" s="361"/>
      <c r="C69" s="209" t="s">
        <v>39</v>
      </c>
      <c r="D69" s="482"/>
      <c r="E69" s="482"/>
      <c r="F69" s="482"/>
      <c r="G69" s="455"/>
      <c r="H69" s="456"/>
      <c r="I69" s="455"/>
      <c r="J69" s="456"/>
      <c r="K69" s="58"/>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482"/>
      <c r="AK69" s="482"/>
      <c r="AL69" s="482"/>
      <c r="AM69" s="482"/>
      <c r="AN69" s="482"/>
      <c r="AO69" s="482"/>
      <c r="AP69" s="482"/>
      <c r="AQ69" s="482"/>
      <c r="AR69" s="482"/>
    </row>
    <row r="70" spans="1:63" s="193" customFormat="1" ht="13.95" hidden="1" customHeight="1" outlineLevel="1">
      <c r="A70" s="361" t="s">
        <v>1</v>
      </c>
      <c r="B70" s="395"/>
      <c r="C70" s="473" t="s">
        <v>52</v>
      </c>
      <c r="D70" s="429">
        <f t="shared" ref="D70:F71" si="72">SUMIFS($L70:$AN70,$L$6:$AN$6,"&gt;"&amp;EOMONTH(D$6,-12),$L$6:$AN$6,"&lt;="&amp;D$6)</f>
        <v>0</v>
      </c>
      <c r="E70" s="429">
        <f t="shared" si="72"/>
        <v>0</v>
      </c>
      <c r="F70" s="429">
        <f t="shared" si="72"/>
        <v>0</v>
      </c>
      <c r="G70" s="455">
        <f>+E70-D70</f>
        <v>0</v>
      </c>
      <c r="H70" s="456">
        <f>IFERROR(IF(ABS(G70/D70)&gt;500%,"n/m",(G70/D70)*100),0)</f>
        <v>0</v>
      </c>
      <c r="I70" s="455">
        <f>+F70-E70</f>
        <v>0</v>
      </c>
      <c r="J70" s="456">
        <f>IFERROR(IF(ABS(I70/E70)&gt;500%,"n/m",(I70/E70)*100),0)</f>
        <v>0</v>
      </c>
      <c r="K70" s="58"/>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429"/>
      <c r="AO70" s="429"/>
      <c r="AP70" s="429"/>
      <c r="AQ70" s="429"/>
      <c r="AR70" s="429"/>
    </row>
    <row r="71" spans="1:63" s="193" customFormat="1" ht="13.95" hidden="1" customHeight="1" outlineLevel="1">
      <c r="A71" s="361" t="s">
        <v>1</v>
      </c>
      <c r="B71" s="395"/>
      <c r="C71" s="474" t="s">
        <v>52</v>
      </c>
      <c r="D71" s="457">
        <f t="shared" si="72"/>
        <v>0</v>
      </c>
      <c r="E71" s="457">
        <f t="shared" si="72"/>
        <v>0</v>
      </c>
      <c r="F71" s="457">
        <f t="shared" si="72"/>
        <v>0</v>
      </c>
      <c r="G71" s="458">
        <f>+E71-D71</f>
        <v>0</v>
      </c>
      <c r="H71" s="494">
        <f>IFERROR(IF(ABS(G71/D71)&gt;500%,"n/m",(G71/D71)*100),0)</f>
        <v>0</v>
      </c>
      <c r="I71" s="458">
        <f>+F71-E71</f>
        <v>0</v>
      </c>
      <c r="J71" s="494">
        <f>IFERROR(IF(ABS(I71/E71)&gt;500%,"n/m",(I71/E71)*100),0)</f>
        <v>0</v>
      </c>
      <c r="K71" s="58"/>
      <c r="L71" s="457"/>
      <c r="M71" s="457"/>
      <c r="N71" s="457"/>
      <c r="O71" s="457"/>
      <c r="P71" s="457"/>
      <c r="Q71" s="457"/>
      <c r="R71" s="457"/>
      <c r="S71" s="457"/>
      <c r="T71" s="457"/>
      <c r="U71" s="457"/>
      <c r="V71" s="457"/>
      <c r="W71" s="457"/>
      <c r="X71" s="457"/>
      <c r="Y71" s="457"/>
      <c r="Z71" s="457"/>
      <c r="AA71" s="457"/>
      <c r="AB71" s="457"/>
      <c r="AC71" s="457"/>
      <c r="AD71" s="457"/>
      <c r="AE71" s="457"/>
      <c r="AF71" s="457"/>
      <c r="AG71" s="457"/>
      <c r="AH71" s="457"/>
      <c r="AI71" s="457"/>
      <c r="AJ71" s="457"/>
      <c r="AK71" s="457"/>
      <c r="AL71" s="457"/>
      <c r="AM71" s="457"/>
      <c r="AN71" s="457"/>
      <c r="AO71" s="457"/>
      <c r="AP71" s="457"/>
      <c r="AQ71" s="457"/>
      <c r="AR71" s="457"/>
    </row>
    <row r="72" spans="1:63" s="189" customFormat="1" ht="13.95" customHeight="1" collapsed="1">
      <c r="A72" s="361"/>
      <c r="B72" s="395"/>
      <c r="C72" s="172" t="s">
        <v>104</v>
      </c>
      <c r="D72" s="429">
        <f>SUBTOTAL(9,D70:D71)</f>
        <v>0</v>
      </c>
      <c r="E72" s="429">
        <f t="shared" ref="E72:F72" si="73">SUBTOTAL(9,E70:E71)</f>
        <v>0</v>
      </c>
      <c r="F72" s="429">
        <f t="shared" si="73"/>
        <v>0</v>
      </c>
      <c r="G72" s="455">
        <f>+E72-D72</f>
        <v>0</v>
      </c>
      <c r="H72" s="456">
        <f>IFERROR(IF(ABS(G72/D72)&gt;500%,"n/m",(G72/D72)*100),0)</f>
        <v>0</v>
      </c>
      <c r="I72" s="455">
        <f>+F72-E72</f>
        <v>0</v>
      </c>
      <c r="J72" s="456">
        <f>IFERROR(IF(ABS(I72/E72)&gt;500%,"n/m",(I72/E72)*100),0)</f>
        <v>0</v>
      </c>
      <c r="K72" s="192"/>
      <c r="L72" s="429">
        <f t="shared" ref="L72:AK72" si="74">SUBTOTAL(9,L70:L71)</f>
        <v>0</v>
      </c>
      <c r="M72" s="429">
        <f t="shared" si="74"/>
        <v>0</v>
      </c>
      <c r="N72" s="429">
        <f t="shared" si="74"/>
        <v>0</v>
      </c>
      <c r="O72" s="429">
        <f t="shared" si="74"/>
        <v>0</v>
      </c>
      <c r="P72" s="429">
        <f t="shared" si="74"/>
        <v>0</v>
      </c>
      <c r="Q72" s="429">
        <f t="shared" si="74"/>
        <v>0</v>
      </c>
      <c r="R72" s="429">
        <f t="shared" si="74"/>
        <v>0</v>
      </c>
      <c r="S72" s="429">
        <f t="shared" si="74"/>
        <v>0</v>
      </c>
      <c r="T72" s="429">
        <f t="shared" si="74"/>
        <v>0</v>
      </c>
      <c r="U72" s="429">
        <f t="shared" si="74"/>
        <v>0</v>
      </c>
      <c r="V72" s="429">
        <f t="shared" si="74"/>
        <v>0</v>
      </c>
      <c r="W72" s="429">
        <f t="shared" si="74"/>
        <v>0</v>
      </c>
      <c r="X72" s="429">
        <f t="shared" si="74"/>
        <v>0</v>
      </c>
      <c r="Y72" s="429">
        <f t="shared" si="74"/>
        <v>0</v>
      </c>
      <c r="Z72" s="429">
        <f t="shared" si="74"/>
        <v>0</v>
      </c>
      <c r="AA72" s="429">
        <f t="shared" si="74"/>
        <v>0</v>
      </c>
      <c r="AB72" s="429">
        <f t="shared" si="74"/>
        <v>0</v>
      </c>
      <c r="AC72" s="429">
        <f t="shared" si="74"/>
        <v>0</v>
      </c>
      <c r="AD72" s="429">
        <f t="shared" si="74"/>
        <v>0</v>
      </c>
      <c r="AE72" s="429">
        <f t="shared" si="74"/>
        <v>0</v>
      </c>
      <c r="AF72" s="429">
        <f t="shared" si="74"/>
        <v>0</v>
      </c>
      <c r="AG72" s="429">
        <f t="shared" si="74"/>
        <v>0</v>
      </c>
      <c r="AH72" s="429">
        <f t="shared" si="74"/>
        <v>0</v>
      </c>
      <c r="AI72" s="429">
        <f t="shared" si="74"/>
        <v>0</v>
      </c>
      <c r="AJ72" s="429">
        <f t="shared" si="74"/>
        <v>0</v>
      </c>
      <c r="AK72" s="429">
        <f t="shared" si="74"/>
        <v>0</v>
      </c>
      <c r="AL72" s="429">
        <f t="shared" ref="AL72:AR72" si="75">SUBTOTAL(9,AL70:AL71)</f>
        <v>0</v>
      </c>
      <c r="AM72" s="429">
        <f t="shared" si="75"/>
        <v>0</v>
      </c>
      <c r="AN72" s="429">
        <f t="shared" si="75"/>
        <v>0</v>
      </c>
      <c r="AO72" s="429">
        <f t="shared" si="75"/>
        <v>0</v>
      </c>
      <c r="AP72" s="429">
        <f t="shared" si="75"/>
        <v>0</v>
      </c>
      <c r="AQ72" s="429">
        <f t="shared" si="75"/>
        <v>0</v>
      </c>
      <c r="AR72" s="429">
        <f t="shared" si="75"/>
        <v>0</v>
      </c>
    </row>
    <row r="73" spans="1:63" s="199" customFormat="1" ht="13.95" customHeight="1" thickBot="1">
      <c r="A73" s="396"/>
      <c r="B73" s="396"/>
      <c r="C73" s="353" t="s">
        <v>27</v>
      </c>
      <c r="D73" s="466">
        <f>+D24-D66-D72</f>
        <v>0</v>
      </c>
      <c r="E73" s="466">
        <f t="shared" ref="E73:F73" si="76">+E24-E66-E72</f>
        <v>0</v>
      </c>
      <c r="F73" s="466">
        <f t="shared" si="76"/>
        <v>0</v>
      </c>
      <c r="G73" s="467">
        <f>+E73-D73</f>
        <v>0</v>
      </c>
      <c r="H73" s="468">
        <f>IFERROR(IF(ABS(G73/D73)&gt;500%,"n/m",(G73/D73)*100),0)</f>
        <v>0</v>
      </c>
      <c r="I73" s="467">
        <f>+F73-E73</f>
        <v>0</v>
      </c>
      <c r="J73" s="468">
        <f>IFERROR(IF(ABS(I73/E73)&gt;500%,"n/m",(I73/E73)*100),0)</f>
        <v>0</v>
      </c>
      <c r="K73" s="197"/>
      <c r="L73" s="466">
        <f t="shared" ref="L73:AK73" si="77">+L24-L66-L72</f>
        <v>0</v>
      </c>
      <c r="M73" s="466">
        <f t="shared" si="77"/>
        <v>0</v>
      </c>
      <c r="N73" s="466">
        <f t="shared" si="77"/>
        <v>0</v>
      </c>
      <c r="O73" s="466">
        <f t="shared" si="77"/>
        <v>0</v>
      </c>
      <c r="P73" s="466">
        <f t="shared" si="77"/>
        <v>0</v>
      </c>
      <c r="Q73" s="466">
        <f t="shared" si="77"/>
        <v>0</v>
      </c>
      <c r="R73" s="466">
        <f t="shared" si="77"/>
        <v>0</v>
      </c>
      <c r="S73" s="466">
        <f t="shared" si="77"/>
        <v>0</v>
      </c>
      <c r="T73" s="466">
        <f t="shared" si="77"/>
        <v>0</v>
      </c>
      <c r="U73" s="466">
        <f t="shared" si="77"/>
        <v>0</v>
      </c>
      <c r="V73" s="466">
        <f t="shared" si="77"/>
        <v>0</v>
      </c>
      <c r="W73" s="466">
        <f t="shared" si="77"/>
        <v>0</v>
      </c>
      <c r="X73" s="466">
        <f t="shared" si="77"/>
        <v>0</v>
      </c>
      <c r="Y73" s="466">
        <f t="shared" si="77"/>
        <v>0</v>
      </c>
      <c r="Z73" s="466">
        <f t="shared" si="77"/>
        <v>0</v>
      </c>
      <c r="AA73" s="466">
        <f t="shared" si="77"/>
        <v>0</v>
      </c>
      <c r="AB73" s="466">
        <f t="shared" si="77"/>
        <v>0</v>
      </c>
      <c r="AC73" s="466">
        <f t="shared" si="77"/>
        <v>0</v>
      </c>
      <c r="AD73" s="466">
        <f t="shared" si="77"/>
        <v>0</v>
      </c>
      <c r="AE73" s="466">
        <f t="shared" si="77"/>
        <v>0</v>
      </c>
      <c r="AF73" s="466">
        <f t="shared" si="77"/>
        <v>0</v>
      </c>
      <c r="AG73" s="466">
        <f t="shared" si="77"/>
        <v>0</v>
      </c>
      <c r="AH73" s="466">
        <f t="shared" si="77"/>
        <v>0</v>
      </c>
      <c r="AI73" s="466">
        <f t="shared" si="77"/>
        <v>0</v>
      </c>
      <c r="AJ73" s="466">
        <f t="shared" si="77"/>
        <v>0</v>
      </c>
      <c r="AK73" s="466">
        <f t="shared" si="77"/>
        <v>0</v>
      </c>
      <c r="AL73" s="466">
        <f t="shared" ref="AL73:AR73" si="78">+AL24-AL66-AL72</f>
        <v>0</v>
      </c>
      <c r="AM73" s="466">
        <f t="shared" si="78"/>
        <v>0</v>
      </c>
      <c r="AN73" s="466">
        <f t="shared" si="78"/>
        <v>0</v>
      </c>
      <c r="AO73" s="466">
        <f t="shared" si="78"/>
        <v>0</v>
      </c>
      <c r="AP73" s="466">
        <f t="shared" si="78"/>
        <v>0</v>
      </c>
      <c r="AQ73" s="466">
        <f t="shared" si="78"/>
        <v>0</v>
      </c>
      <c r="AR73" s="466">
        <f t="shared" si="78"/>
        <v>0</v>
      </c>
      <c r="AS73" s="198"/>
      <c r="AT73" s="198"/>
      <c r="AU73" s="198"/>
      <c r="AV73" s="198"/>
      <c r="AW73" s="198"/>
      <c r="AX73" s="198"/>
      <c r="AY73" s="198"/>
      <c r="AZ73" s="198"/>
      <c r="BA73" s="198"/>
      <c r="BB73" s="198"/>
      <c r="BC73" s="198"/>
      <c r="BD73" s="198"/>
      <c r="BE73" s="198"/>
      <c r="BF73" s="198"/>
      <c r="BG73" s="198"/>
      <c r="BH73" s="198"/>
      <c r="BI73" s="198"/>
      <c r="BJ73" s="198"/>
      <c r="BK73" s="198"/>
    </row>
    <row r="74" spans="1:63" s="199" customFormat="1" ht="4.3499999999999996" customHeight="1">
      <c r="A74" s="396"/>
      <c r="B74" s="396"/>
      <c r="C74" s="200"/>
      <c r="D74" s="469"/>
      <c r="E74" s="469"/>
      <c r="F74" s="469"/>
      <c r="G74" s="455"/>
      <c r="H74" s="470"/>
      <c r="I74" s="455"/>
      <c r="J74" s="470"/>
      <c r="K74" s="197"/>
      <c r="L74" s="469"/>
      <c r="M74" s="469"/>
      <c r="N74" s="469"/>
      <c r="O74" s="469"/>
      <c r="P74" s="469"/>
      <c r="Q74" s="469"/>
      <c r="R74" s="469"/>
      <c r="S74" s="469"/>
      <c r="T74" s="469"/>
      <c r="U74" s="469"/>
      <c r="V74" s="469"/>
      <c r="W74" s="469"/>
      <c r="X74" s="469"/>
      <c r="Y74" s="469"/>
      <c r="Z74" s="469"/>
      <c r="AA74" s="469"/>
      <c r="AB74" s="469"/>
      <c r="AC74" s="469"/>
      <c r="AD74" s="469"/>
      <c r="AE74" s="469"/>
      <c r="AF74" s="469"/>
      <c r="AG74" s="469"/>
      <c r="AH74" s="469"/>
      <c r="AI74" s="469"/>
      <c r="AJ74" s="469"/>
      <c r="AK74" s="469"/>
      <c r="AL74" s="469"/>
      <c r="AM74" s="469"/>
      <c r="AN74" s="469"/>
      <c r="AO74" s="469"/>
      <c r="AP74" s="469"/>
      <c r="AQ74" s="469"/>
      <c r="AR74" s="469"/>
      <c r="AS74" s="198"/>
      <c r="AT74" s="198"/>
      <c r="AU74" s="198"/>
      <c r="AV74" s="198"/>
      <c r="AW74" s="198"/>
      <c r="AX74" s="198"/>
      <c r="AY74" s="198"/>
      <c r="AZ74" s="198"/>
      <c r="BA74" s="198"/>
      <c r="BB74" s="198"/>
      <c r="BC74" s="198"/>
      <c r="BD74" s="198"/>
      <c r="BE74" s="198"/>
      <c r="BF74" s="198"/>
      <c r="BG74" s="198"/>
      <c r="BH74" s="198"/>
      <c r="BI74" s="198"/>
      <c r="BJ74" s="198"/>
      <c r="BK74" s="198"/>
    </row>
    <row r="75" spans="1:63" s="196" customFormat="1" ht="13.95" customHeight="1">
      <c r="A75" s="361" t="s">
        <v>37</v>
      </c>
      <c r="B75" s="361"/>
      <c r="C75" s="169" t="s">
        <v>26</v>
      </c>
      <c r="D75" s="429">
        <f t="shared" ref="D75:F77" si="79">SUMIFS($L75:$AN75,$L$6:$AN$6,"&gt;"&amp;EOMONTH(D$6,-12),$L$6:$AN$6,"&lt;="&amp;D$6)</f>
        <v>0</v>
      </c>
      <c r="E75" s="429">
        <f t="shared" si="79"/>
        <v>0</v>
      </c>
      <c r="F75" s="429">
        <f t="shared" si="79"/>
        <v>0</v>
      </c>
      <c r="G75" s="455">
        <f>+E75-D75</f>
        <v>0</v>
      </c>
      <c r="H75" s="456">
        <f>IFERROR(IF(ABS(G75/D75)&gt;500%,"n/m",(G75/D75)*100),0)</f>
        <v>0</v>
      </c>
      <c r="I75" s="455">
        <f>+F75-E75</f>
        <v>0</v>
      </c>
      <c r="J75" s="456">
        <f>IFERROR(IF(ABS(I75/E75)&gt;500%,"n/m",(I75/E75)*100),0)</f>
        <v>0</v>
      </c>
      <c r="K75" s="58"/>
      <c r="L75" s="429">
        <f t="shared" ref="L75:AK75" si="80">SUM(L57:L58)</f>
        <v>0</v>
      </c>
      <c r="M75" s="429">
        <f t="shared" si="80"/>
        <v>0</v>
      </c>
      <c r="N75" s="429">
        <f t="shared" si="80"/>
        <v>0</v>
      </c>
      <c r="O75" s="429">
        <f t="shared" si="80"/>
        <v>0</v>
      </c>
      <c r="P75" s="429">
        <f t="shared" si="80"/>
        <v>0</v>
      </c>
      <c r="Q75" s="429">
        <f t="shared" si="80"/>
        <v>0</v>
      </c>
      <c r="R75" s="429">
        <f t="shared" si="80"/>
        <v>0</v>
      </c>
      <c r="S75" s="429">
        <f t="shared" si="80"/>
        <v>0</v>
      </c>
      <c r="T75" s="429">
        <f t="shared" si="80"/>
        <v>0</v>
      </c>
      <c r="U75" s="429">
        <f t="shared" si="80"/>
        <v>0</v>
      </c>
      <c r="V75" s="429">
        <f t="shared" si="80"/>
        <v>0</v>
      </c>
      <c r="W75" s="429">
        <f t="shared" si="80"/>
        <v>0</v>
      </c>
      <c r="X75" s="429">
        <f t="shared" si="80"/>
        <v>0</v>
      </c>
      <c r="Y75" s="429">
        <f t="shared" si="80"/>
        <v>0</v>
      </c>
      <c r="Z75" s="429">
        <f t="shared" si="80"/>
        <v>0</v>
      </c>
      <c r="AA75" s="429">
        <f t="shared" si="80"/>
        <v>0</v>
      </c>
      <c r="AB75" s="429">
        <f t="shared" si="80"/>
        <v>0</v>
      </c>
      <c r="AC75" s="429">
        <f t="shared" si="80"/>
        <v>0</v>
      </c>
      <c r="AD75" s="429">
        <f t="shared" si="80"/>
        <v>0</v>
      </c>
      <c r="AE75" s="429">
        <f t="shared" si="80"/>
        <v>0</v>
      </c>
      <c r="AF75" s="429">
        <f t="shared" si="80"/>
        <v>0</v>
      </c>
      <c r="AG75" s="429">
        <f t="shared" si="80"/>
        <v>0</v>
      </c>
      <c r="AH75" s="429">
        <f t="shared" si="80"/>
        <v>0</v>
      </c>
      <c r="AI75" s="429">
        <f t="shared" si="80"/>
        <v>0</v>
      </c>
      <c r="AJ75" s="429">
        <f t="shared" si="80"/>
        <v>0</v>
      </c>
      <c r="AK75" s="429">
        <f t="shared" si="80"/>
        <v>0</v>
      </c>
      <c r="AL75" s="429">
        <f t="shared" ref="AL75:AR75" si="81">SUM(AL57:AL58)</f>
        <v>0</v>
      </c>
      <c r="AM75" s="429">
        <f t="shared" si="81"/>
        <v>0</v>
      </c>
      <c r="AN75" s="429">
        <f t="shared" si="81"/>
        <v>0</v>
      </c>
      <c r="AO75" s="429">
        <f t="shared" si="81"/>
        <v>0</v>
      </c>
      <c r="AP75" s="429">
        <f t="shared" si="81"/>
        <v>0</v>
      </c>
      <c r="AQ75" s="429">
        <f t="shared" si="81"/>
        <v>0</v>
      </c>
      <c r="AR75" s="429">
        <f t="shared" si="81"/>
        <v>0</v>
      </c>
    </row>
    <row r="76" spans="1:63" s="196" customFormat="1" ht="13.95" customHeight="1">
      <c r="A76" s="361" t="s">
        <v>37</v>
      </c>
      <c r="B76" s="361"/>
      <c r="C76" s="169" t="s">
        <v>38</v>
      </c>
      <c r="D76" s="429">
        <f t="shared" si="79"/>
        <v>0</v>
      </c>
      <c r="E76" s="429">
        <f t="shared" si="79"/>
        <v>0</v>
      </c>
      <c r="F76" s="429">
        <f t="shared" si="79"/>
        <v>0</v>
      </c>
      <c r="G76" s="455">
        <f>+E76-D76</f>
        <v>0</v>
      </c>
      <c r="H76" s="456">
        <f>IFERROR(IF(ABS(G76/D76)&gt;500%,"n/m",(G76/D76)*100),0)</f>
        <v>0</v>
      </c>
      <c r="I76" s="455">
        <f>+F76-E76</f>
        <v>0</v>
      </c>
      <c r="J76" s="456">
        <f>IFERROR(IF(ABS(I76/E76)&gt;500%,"n/m",(I76/E76)*100),0)</f>
        <v>0</v>
      </c>
      <c r="K76" s="58"/>
      <c r="L76" s="429">
        <f t="shared" ref="L76:AK76" si="82">+L62-L70</f>
        <v>0</v>
      </c>
      <c r="M76" s="429">
        <f t="shared" si="82"/>
        <v>0</v>
      </c>
      <c r="N76" s="429">
        <f t="shared" si="82"/>
        <v>0</v>
      </c>
      <c r="O76" s="429">
        <f t="shared" si="82"/>
        <v>0</v>
      </c>
      <c r="P76" s="429">
        <f t="shared" si="82"/>
        <v>0</v>
      </c>
      <c r="Q76" s="429">
        <f t="shared" si="82"/>
        <v>0</v>
      </c>
      <c r="R76" s="429">
        <f t="shared" si="82"/>
        <v>0</v>
      </c>
      <c r="S76" s="429">
        <f t="shared" si="82"/>
        <v>0</v>
      </c>
      <c r="T76" s="429">
        <f t="shared" si="82"/>
        <v>0</v>
      </c>
      <c r="U76" s="429">
        <f t="shared" si="82"/>
        <v>0</v>
      </c>
      <c r="V76" s="429">
        <f t="shared" si="82"/>
        <v>0</v>
      </c>
      <c r="W76" s="429">
        <f t="shared" si="82"/>
        <v>0</v>
      </c>
      <c r="X76" s="429">
        <f t="shared" si="82"/>
        <v>0</v>
      </c>
      <c r="Y76" s="429">
        <f t="shared" si="82"/>
        <v>0</v>
      </c>
      <c r="Z76" s="429">
        <f t="shared" si="82"/>
        <v>0</v>
      </c>
      <c r="AA76" s="429">
        <f t="shared" si="82"/>
        <v>0</v>
      </c>
      <c r="AB76" s="429">
        <f t="shared" si="82"/>
        <v>0</v>
      </c>
      <c r="AC76" s="429">
        <f t="shared" si="82"/>
        <v>0</v>
      </c>
      <c r="AD76" s="429">
        <f t="shared" si="82"/>
        <v>0</v>
      </c>
      <c r="AE76" s="429">
        <f t="shared" si="82"/>
        <v>0</v>
      </c>
      <c r="AF76" s="429">
        <f t="shared" si="82"/>
        <v>0</v>
      </c>
      <c r="AG76" s="429">
        <f t="shared" si="82"/>
        <v>0</v>
      </c>
      <c r="AH76" s="429">
        <f t="shared" si="82"/>
        <v>0</v>
      </c>
      <c r="AI76" s="429">
        <f t="shared" si="82"/>
        <v>0</v>
      </c>
      <c r="AJ76" s="429">
        <f t="shared" si="82"/>
        <v>0</v>
      </c>
      <c r="AK76" s="429">
        <f t="shared" si="82"/>
        <v>0</v>
      </c>
      <c r="AL76" s="429">
        <f t="shared" ref="AL76:AR76" si="83">+AL62-AL70</f>
        <v>0</v>
      </c>
      <c r="AM76" s="429">
        <f t="shared" si="83"/>
        <v>0</v>
      </c>
      <c r="AN76" s="429">
        <f t="shared" si="83"/>
        <v>0</v>
      </c>
      <c r="AO76" s="429">
        <f t="shared" si="83"/>
        <v>0</v>
      </c>
      <c r="AP76" s="429">
        <f t="shared" si="83"/>
        <v>0</v>
      </c>
      <c r="AQ76" s="429">
        <f t="shared" si="83"/>
        <v>0</v>
      </c>
      <c r="AR76" s="429">
        <f t="shared" si="83"/>
        <v>0</v>
      </c>
    </row>
    <row r="77" spans="1:63" s="196" customFormat="1" ht="13.95" customHeight="1">
      <c r="A77" s="361" t="s">
        <v>37</v>
      </c>
      <c r="B77" s="361"/>
      <c r="C77" s="204" t="s">
        <v>36</v>
      </c>
      <c r="D77" s="429">
        <f t="shared" si="79"/>
        <v>0</v>
      </c>
      <c r="E77" s="429">
        <f t="shared" si="79"/>
        <v>0</v>
      </c>
      <c r="F77" s="429">
        <f t="shared" si="79"/>
        <v>0</v>
      </c>
      <c r="G77" s="458">
        <f>+E77-D77</f>
        <v>0</v>
      </c>
      <c r="H77" s="459">
        <f>IFERROR(IF(ABS(G77/D77)&gt;500%,"n/m",(G77/D77)*100),0)</f>
        <v>0</v>
      </c>
      <c r="I77" s="458">
        <f>+F77-E77</f>
        <v>0</v>
      </c>
      <c r="J77" s="459">
        <f>IFERROR(IF(ABS(I77/E77)&gt;500%,"n/m",(I77/E77)*100),0)</f>
        <v>0</v>
      </c>
      <c r="K77" s="58"/>
      <c r="L77" s="457">
        <f>0</f>
        <v>0</v>
      </c>
      <c r="M77" s="457">
        <f>0</f>
        <v>0</v>
      </c>
      <c r="N77" s="457">
        <f>0</f>
        <v>0</v>
      </c>
      <c r="O77" s="457">
        <f>0</f>
        <v>0</v>
      </c>
      <c r="P77" s="457">
        <f>0</f>
        <v>0</v>
      </c>
      <c r="Q77" s="457">
        <f>0</f>
        <v>0</v>
      </c>
      <c r="R77" s="457">
        <f>0</f>
        <v>0</v>
      </c>
      <c r="S77" s="457">
        <f>0</f>
        <v>0</v>
      </c>
      <c r="T77" s="457">
        <f>0</f>
        <v>0</v>
      </c>
      <c r="U77" s="457">
        <f>0</f>
        <v>0</v>
      </c>
      <c r="V77" s="457">
        <f>0</f>
        <v>0</v>
      </c>
      <c r="W77" s="457">
        <f>0</f>
        <v>0</v>
      </c>
      <c r="X77" s="457">
        <f>0</f>
        <v>0</v>
      </c>
      <c r="Y77" s="457">
        <f>0</f>
        <v>0</v>
      </c>
      <c r="Z77" s="457">
        <f>0</f>
        <v>0</v>
      </c>
      <c r="AA77" s="457">
        <f>0</f>
        <v>0</v>
      </c>
      <c r="AB77" s="457">
        <f>0</f>
        <v>0</v>
      </c>
      <c r="AC77" s="457">
        <f>0</f>
        <v>0</v>
      </c>
      <c r="AD77" s="457">
        <f>0</f>
        <v>0</v>
      </c>
      <c r="AE77" s="457">
        <f>0</f>
        <v>0</v>
      </c>
      <c r="AF77" s="457">
        <f>0</f>
        <v>0</v>
      </c>
      <c r="AG77" s="457">
        <f>0</f>
        <v>0</v>
      </c>
      <c r="AH77" s="457">
        <f>0</f>
        <v>0</v>
      </c>
      <c r="AI77" s="457">
        <f>0</f>
        <v>0</v>
      </c>
      <c r="AJ77" s="457">
        <f>0</f>
        <v>0</v>
      </c>
      <c r="AK77" s="457">
        <f>0</f>
        <v>0</v>
      </c>
      <c r="AL77" s="457">
        <f>0</f>
        <v>0</v>
      </c>
      <c r="AM77" s="457">
        <f>0</f>
        <v>0</v>
      </c>
      <c r="AN77" s="457">
        <f>0</f>
        <v>0</v>
      </c>
      <c r="AO77" s="457">
        <f>0</f>
        <v>0</v>
      </c>
      <c r="AP77" s="457">
        <f>0</f>
        <v>0</v>
      </c>
      <c r="AQ77" s="457">
        <f>0</f>
        <v>0</v>
      </c>
      <c r="AR77" s="457">
        <f>0</f>
        <v>0</v>
      </c>
    </row>
    <row r="78" spans="1:63" s="196" customFormat="1" ht="13.95" customHeight="1" thickBot="1">
      <c r="A78" s="361"/>
      <c r="B78" s="361"/>
      <c r="C78" s="345" t="s">
        <v>23</v>
      </c>
      <c r="D78" s="437">
        <f t="shared" ref="D78:F78" si="84">SUM(D73:D77)</f>
        <v>0</v>
      </c>
      <c r="E78" s="437">
        <f t="shared" si="84"/>
        <v>0</v>
      </c>
      <c r="F78" s="437">
        <f t="shared" si="84"/>
        <v>0</v>
      </c>
      <c r="G78" s="483">
        <f>+E78-D78</f>
        <v>0</v>
      </c>
      <c r="H78" s="484">
        <f>IFERROR(IF(ABS(G78/D78)&gt;500%,"n/m",(G78/D78)*100),0)</f>
        <v>0</v>
      </c>
      <c r="I78" s="483">
        <f>+F78-E78</f>
        <v>0</v>
      </c>
      <c r="J78" s="484">
        <f>IFERROR(IF(ABS(I78/E78)&gt;500%,"n/m",(I78/E78)*100),0)</f>
        <v>0</v>
      </c>
      <c r="K78" s="59"/>
      <c r="L78" s="431">
        <f t="shared" ref="L78:AK78" si="85">SUM(L73:L77)</f>
        <v>0</v>
      </c>
      <c r="M78" s="431">
        <f t="shared" si="85"/>
        <v>0</v>
      </c>
      <c r="N78" s="431">
        <f t="shared" si="85"/>
        <v>0</v>
      </c>
      <c r="O78" s="431">
        <f t="shared" si="85"/>
        <v>0</v>
      </c>
      <c r="P78" s="431">
        <f t="shared" si="85"/>
        <v>0</v>
      </c>
      <c r="Q78" s="431">
        <f t="shared" si="85"/>
        <v>0</v>
      </c>
      <c r="R78" s="431">
        <f t="shared" si="85"/>
        <v>0</v>
      </c>
      <c r="S78" s="431">
        <f t="shared" si="85"/>
        <v>0</v>
      </c>
      <c r="T78" s="431">
        <f t="shared" si="85"/>
        <v>0</v>
      </c>
      <c r="U78" s="431">
        <f t="shared" si="85"/>
        <v>0</v>
      </c>
      <c r="V78" s="431">
        <f t="shared" si="85"/>
        <v>0</v>
      </c>
      <c r="W78" s="431">
        <f t="shared" si="85"/>
        <v>0</v>
      </c>
      <c r="X78" s="431">
        <f t="shared" si="85"/>
        <v>0</v>
      </c>
      <c r="Y78" s="431">
        <f t="shared" si="85"/>
        <v>0</v>
      </c>
      <c r="Z78" s="431">
        <f t="shared" si="85"/>
        <v>0</v>
      </c>
      <c r="AA78" s="431">
        <f t="shared" si="85"/>
        <v>0</v>
      </c>
      <c r="AB78" s="431">
        <f t="shared" si="85"/>
        <v>0</v>
      </c>
      <c r="AC78" s="431">
        <f t="shared" si="85"/>
        <v>0</v>
      </c>
      <c r="AD78" s="431">
        <f t="shared" si="85"/>
        <v>0</v>
      </c>
      <c r="AE78" s="431">
        <f t="shared" si="85"/>
        <v>0</v>
      </c>
      <c r="AF78" s="431">
        <f t="shared" si="85"/>
        <v>0</v>
      </c>
      <c r="AG78" s="431">
        <f t="shared" si="85"/>
        <v>0</v>
      </c>
      <c r="AH78" s="431">
        <f t="shared" si="85"/>
        <v>0</v>
      </c>
      <c r="AI78" s="431">
        <f t="shared" si="85"/>
        <v>0</v>
      </c>
      <c r="AJ78" s="431">
        <f t="shared" si="85"/>
        <v>0</v>
      </c>
      <c r="AK78" s="431">
        <f t="shared" si="85"/>
        <v>0</v>
      </c>
      <c r="AL78" s="431">
        <f t="shared" ref="AL78:AR78" si="86">SUM(AL73:AL77)</f>
        <v>0</v>
      </c>
      <c r="AM78" s="431">
        <f t="shared" si="86"/>
        <v>0</v>
      </c>
      <c r="AN78" s="431">
        <f t="shared" si="86"/>
        <v>0</v>
      </c>
      <c r="AO78" s="431">
        <f t="shared" si="86"/>
        <v>0</v>
      </c>
      <c r="AP78" s="431">
        <f t="shared" si="86"/>
        <v>0</v>
      </c>
      <c r="AQ78" s="431">
        <f t="shared" si="86"/>
        <v>0</v>
      </c>
      <c r="AR78" s="431">
        <f t="shared" si="86"/>
        <v>0</v>
      </c>
    </row>
    <row r="79" spans="1:63" s="193" customFormat="1" ht="13.95" customHeight="1">
      <c r="A79" s="398"/>
      <c r="B79" s="398"/>
      <c r="C79" s="281" t="s">
        <v>102</v>
      </c>
      <c r="D79" s="338" t="e">
        <f>D78/D$16*100</f>
        <v>#VALUE!</v>
      </c>
      <c r="E79" s="338" t="e">
        <f>E78/E$16*100</f>
        <v>#DIV/0!</v>
      </c>
      <c r="F79" s="338" t="e">
        <f>F78/F$16*100</f>
        <v>#DIV/0!</v>
      </c>
      <c r="G79" s="429"/>
      <c r="H79" s="430"/>
      <c r="I79" s="429"/>
      <c r="J79" s="430"/>
      <c r="K79" s="192"/>
      <c r="L79" s="338" t="e">
        <f t="shared" ref="L79:AK79" si="87">L78/L$16*100</f>
        <v>#VALUE!</v>
      </c>
      <c r="M79" s="338" t="e">
        <f t="shared" si="87"/>
        <v>#DIV/0!</v>
      </c>
      <c r="N79" s="338" t="e">
        <f t="shared" si="87"/>
        <v>#DIV/0!</v>
      </c>
      <c r="O79" s="338" t="e">
        <f t="shared" si="87"/>
        <v>#DIV/0!</v>
      </c>
      <c r="P79" s="338" t="e">
        <f t="shared" si="87"/>
        <v>#DIV/0!</v>
      </c>
      <c r="Q79" s="338" t="e">
        <f t="shared" si="87"/>
        <v>#DIV/0!</v>
      </c>
      <c r="R79" s="338" t="e">
        <f t="shared" si="87"/>
        <v>#DIV/0!</v>
      </c>
      <c r="S79" s="338" t="e">
        <f t="shared" si="87"/>
        <v>#DIV/0!</v>
      </c>
      <c r="T79" s="338" t="e">
        <f t="shared" si="87"/>
        <v>#DIV/0!</v>
      </c>
      <c r="U79" s="338" t="e">
        <f t="shared" si="87"/>
        <v>#DIV/0!</v>
      </c>
      <c r="V79" s="338" t="e">
        <f t="shared" si="87"/>
        <v>#DIV/0!</v>
      </c>
      <c r="W79" s="338" t="e">
        <f t="shared" si="87"/>
        <v>#DIV/0!</v>
      </c>
      <c r="X79" s="338" t="e">
        <f t="shared" si="87"/>
        <v>#DIV/0!</v>
      </c>
      <c r="Y79" s="338" t="e">
        <f t="shared" si="87"/>
        <v>#DIV/0!</v>
      </c>
      <c r="Z79" s="338" t="e">
        <f t="shared" si="87"/>
        <v>#DIV/0!</v>
      </c>
      <c r="AA79" s="338" t="e">
        <f t="shared" si="87"/>
        <v>#DIV/0!</v>
      </c>
      <c r="AB79" s="338" t="e">
        <f t="shared" si="87"/>
        <v>#DIV/0!</v>
      </c>
      <c r="AC79" s="338" t="e">
        <f t="shared" si="87"/>
        <v>#DIV/0!</v>
      </c>
      <c r="AD79" s="338" t="e">
        <f t="shared" si="87"/>
        <v>#DIV/0!</v>
      </c>
      <c r="AE79" s="338" t="e">
        <f t="shared" si="87"/>
        <v>#DIV/0!</v>
      </c>
      <c r="AF79" s="338" t="e">
        <f t="shared" si="87"/>
        <v>#DIV/0!</v>
      </c>
      <c r="AG79" s="338" t="e">
        <f t="shared" si="87"/>
        <v>#DIV/0!</v>
      </c>
      <c r="AH79" s="338" t="e">
        <f t="shared" si="87"/>
        <v>#DIV/0!</v>
      </c>
      <c r="AI79" s="338" t="e">
        <f t="shared" si="87"/>
        <v>#DIV/0!</v>
      </c>
      <c r="AJ79" s="338" t="e">
        <f t="shared" si="87"/>
        <v>#DIV/0!</v>
      </c>
      <c r="AK79" s="338" t="e">
        <f t="shared" si="87"/>
        <v>#DIV/0!</v>
      </c>
      <c r="AL79" s="338" t="e">
        <f t="shared" ref="AL79:AR79" si="88">AL78/AL$16*100</f>
        <v>#DIV/0!</v>
      </c>
      <c r="AM79" s="338" t="e">
        <f t="shared" si="88"/>
        <v>#DIV/0!</v>
      </c>
      <c r="AN79" s="338" t="e">
        <f t="shared" si="88"/>
        <v>#DIV/0!</v>
      </c>
      <c r="AO79" s="338" t="e">
        <f t="shared" si="88"/>
        <v>#DIV/0!</v>
      </c>
      <c r="AP79" s="338" t="e">
        <f t="shared" si="88"/>
        <v>#DIV/0!</v>
      </c>
      <c r="AQ79" s="338" t="e">
        <f t="shared" si="88"/>
        <v>#DIV/0!</v>
      </c>
      <c r="AR79" s="338" t="e">
        <f t="shared" si="88"/>
        <v>#DIV/0!</v>
      </c>
    </row>
    <row r="80" spans="1:63" s="196" customFormat="1" ht="4.3499999999999996" customHeight="1">
      <c r="A80" s="399"/>
      <c r="B80" s="399"/>
      <c r="C80" s="205"/>
      <c r="D80" s="206"/>
      <c r="E80" s="206"/>
      <c r="F80" s="206"/>
      <c r="G80" s="206"/>
      <c r="H80" s="275"/>
      <c r="I80" s="206"/>
      <c r="J80" s="275"/>
      <c r="K80" s="206"/>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row>
    <row r="81" spans="1:44" s="196" customFormat="1" ht="13.95" customHeight="1">
      <c r="A81" s="399"/>
      <c r="B81" s="399"/>
      <c r="C81" s="181" t="s">
        <v>33</v>
      </c>
      <c r="D81" s="170"/>
      <c r="E81" s="170"/>
      <c r="F81" s="170"/>
      <c r="G81" s="170"/>
      <c r="H81" s="276"/>
      <c r="I81" s="170"/>
      <c r="J81" s="276"/>
      <c r="K81" s="58"/>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row>
    <row r="82" spans="1:44" ht="13.95" customHeight="1">
      <c r="A82" s="399"/>
      <c r="B82" s="399"/>
      <c r="C82" s="40"/>
      <c r="D82" s="19"/>
      <c r="E82" s="19"/>
      <c r="F82" s="19"/>
      <c r="G82" s="19"/>
      <c r="H82" s="39"/>
      <c r="I82" s="19"/>
      <c r="J82" s="39"/>
      <c r="K82" s="20"/>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row>
    <row r="83" spans="1:44" s="208" customFormat="1" ht="13.95" hidden="1" customHeight="1" outlineLevel="1">
      <c r="A83" s="400"/>
      <c r="B83" s="400"/>
      <c r="C83" s="181" t="s">
        <v>35</v>
      </c>
      <c r="D83" s="276"/>
      <c r="E83" s="276"/>
      <c r="F83" s="276"/>
      <c r="G83" s="276"/>
      <c r="H83" s="276"/>
      <c r="I83" s="276"/>
      <c r="J83" s="276"/>
      <c r="K83" s="384"/>
      <c r="L83" s="385"/>
      <c r="M83" s="385"/>
      <c r="N83" s="385"/>
      <c r="O83" s="385"/>
      <c r="P83" s="385"/>
      <c r="Q83" s="385"/>
      <c r="R83" s="385"/>
      <c r="S83" s="385"/>
      <c r="T83" s="385"/>
      <c r="U83" s="385"/>
      <c r="V83" s="385"/>
      <c r="W83" s="385"/>
      <c r="X83" s="385"/>
      <c r="Y83" s="385"/>
      <c r="Z83" s="385"/>
      <c r="AA83" s="385"/>
      <c r="AB83" s="385"/>
      <c r="AC83" s="385"/>
      <c r="AD83" s="385"/>
      <c r="AE83" s="385"/>
      <c r="AF83" s="385"/>
      <c r="AG83" s="385"/>
      <c r="AH83" s="385"/>
      <c r="AI83" s="385"/>
      <c r="AJ83" s="385"/>
      <c r="AK83" s="385"/>
      <c r="AL83" s="385"/>
      <c r="AM83" s="385"/>
      <c r="AN83" s="385"/>
      <c r="AO83" s="385"/>
      <c r="AP83" s="385"/>
      <c r="AQ83" s="385"/>
      <c r="AR83" s="385"/>
    </row>
    <row r="84" spans="1:44" s="208" customFormat="1" ht="13.95" hidden="1" customHeight="1" outlineLevel="1">
      <c r="A84" s="400"/>
      <c r="B84" s="400"/>
      <c r="C84" s="181" t="s">
        <v>34</v>
      </c>
      <c r="D84" s="276"/>
      <c r="E84" s="276"/>
      <c r="F84" s="276"/>
      <c r="G84" s="276"/>
      <c r="H84" s="276"/>
      <c r="I84" s="276"/>
      <c r="J84" s="276"/>
      <c r="K84" s="384"/>
      <c r="L84" s="386">
        <f t="shared" ref="L84:AK84" si="89">L83-L73</f>
        <v>0</v>
      </c>
      <c r="M84" s="386">
        <f t="shared" si="89"/>
        <v>0</v>
      </c>
      <c r="N84" s="386">
        <f t="shared" si="89"/>
        <v>0</v>
      </c>
      <c r="O84" s="386">
        <f t="shared" si="89"/>
        <v>0</v>
      </c>
      <c r="P84" s="386">
        <f t="shared" si="89"/>
        <v>0</v>
      </c>
      <c r="Q84" s="386">
        <f t="shared" si="89"/>
        <v>0</v>
      </c>
      <c r="R84" s="386">
        <f t="shared" si="89"/>
        <v>0</v>
      </c>
      <c r="S84" s="386">
        <f t="shared" si="89"/>
        <v>0</v>
      </c>
      <c r="T84" s="386">
        <f t="shared" si="89"/>
        <v>0</v>
      </c>
      <c r="U84" s="386">
        <f t="shared" si="89"/>
        <v>0</v>
      </c>
      <c r="V84" s="386">
        <f t="shared" si="89"/>
        <v>0</v>
      </c>
      <c r="W84" s="386">
        <f t="shared" si="89"/>
        <v>0</v>
      </c>
      <c r="X84" s="386">
        <f t="shared" si="89"/>
        <v>0</v>
      </c>
      <c r="Y84" s="386">
        <f t="shared" si="89"/>
        <v>0</v>
      </c>
      <c r="Z84" s="386">
        <f t="shared" si="89"/>
        <v>0</v>
      </c>
      <c r="AA84" s="386">
        <f t="shared" si="89"/>
        <v>0</v>
      </c>
      <c r="AB84" s="386">
        <f t="shared" si="89"/>
        <v>0</v>
      </c>
      <c r="AC84" s="386">
        <f t="shared" si="89"/>
        <v>0</v>
      </c>
      <c r="AD84" s="386">
        <f t="shared" si="89"/>
        <v>0</v>
      </c>
      <c r="AE84" s="386">
        <f t="shared" si="89"/>
        <v>0</v>
      </c>
      <c r="AF84" s="386">
        <f t="shared" si="89"/>
        <v>0</v>
      </c>
      <c r="AG84" s="386">
        <f t="shared" si="89"/>
        <v>0</v>
      </c>
      <c r="AH84" s="386">
        <f t="shared" si="89"/>
        <v>0</v>
      </c>
      <c r="AI84" s="386">
        <f t="shared" si="89"/>
        <v>0</v>
      </c>
      <c r="AJ84" s="386">
        <f t="shared" si="89"/>
        <v>0</v>
      </c>
      <c r="AK84" s="386">
        <f t="shared" si="89"/>
        <v>0</v>
      </c>
      <c r="AL84" s="386">
        <f t="shared" ref="AL84:AR84" si="90">AL83-AL73</f>
        <v>0</v>
      </c>
      <c r="AM84" s="386">
        <f t="shared" si="90"/>
        <v>0</v>
      </c>
      <c r="AN84" s="386">
        <f t="shared" si="90"/>
        <v>0</v>
      </c>
      <c r="AO84" s="386">
        <f t="shared" si="90"/>
        <v>0</v>
      </c>
      <c r="AP84" s="386">
        <f t="shared" si="90"/>
        <v>0</v>
      </c>
      <c r="AQ84" s="386">
        <f t="shared" si="90"/>
        <v>0</v>
      </c>
      <c r="AR84" s="386">
        <f t="shared" si="90"/>
        <v>0</v>
      </c>
    </row>
    <row r="85" spans="1:44" ht="13.95" customHeight="1" collapsed="1">
      <c r="A85" s="399"/>
      <c r="B85" s="399"/>
      <c r="C85" s="485"/>
      <c r="D85" s="19"/>
      <c r="E85" s="19"/>
      <c r="F85" s="19"/>
      <c r="G85" s="19"/>
      <c r="H85" s="39"/>
      <c r="I85" s="19"/>
      <c r="J85" s="39"/>
      <c r="K85" s="20"/>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row>
    <row r="86" spans="1:44" ht="13.95" customHeight="1">
      <c r="A86" s="30"/>
      <c r="B86" s="30"/>
      <c r="C86" s="35"/>
      <c r="D86" s="19"/>
      <c r="E86" s="19"/>
      <c r="F86" s="19"/>
      <c r="G86" s="19"/>
      <c r="H86" s="39"/>
      <c r="I86" s="19"/>
      <c r="J86" s="39"/>
      <c r="K86" s="20"/>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row>
    <row r="87" spans="1:44" ht="13.95" customHeight="1">
      <c r="A87" s="30"/>
      <c r="B87" s="30"/>
      <c r="C87" s="35"/>
      <c r="D87" s="19"/>
      <c r="E87" s="19"/>
      <c r="F87" s="19"/>
      <c r="G87" s="19"/>
      <c r="H87" s="39"/>
      <c r="I87" s="19"/>
      <c r="J87" s="39"/>
      <c r="K87" s="20"/>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row>
    <row r="88" spans="1:44" ht="13.95" customHeight="1">
      <c r="A88" s="30"/>
      <c r="B88" s="30"/>
      <c r="C88" s="35"/>
      <c r="D88" s="19"/>
      <c r="E88" s="19"/>
      <c r="F88" s="19"/>
      <c r="G88" s="19"/>
      <c r="H88" s="39"/>
      <c r="I88" s="19"/>
      <c r="J88" s="39"/>
      <c r="K88" s="20"/>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row>
    <row r="89" spans="1:44" ht="13.95" customHeight="1">
      <c r="A89" s="30"/>
      <c r="B89" s="30"/>
      <c r="C89" s="35"/>
      <c r="D89" s="19"/>
      <c r="E89" s="19"/>
      <c r="F89" s="19"/>
      <c r="G89" s="19"/>
      <c r="H89" s="39"/>
      <c r="I89" s="19"/>
      <c r="J89" s="39"/>
      <c r="K89" s="20"/>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row>
    <row r="90" spans="1:44" ht="13.95" customHeight="1">
      <c r="A90" s="30"/>
      <c r="B90" s="30"/>
      <c r="C90" s="35"/>
      <c r="D90" s="19"/>
      <c r="E90" s="19"/>
      <c r="F90" s="19"/>
      <c r="G90" s="19"/>
      <c r="H90" s="39"/>
      <c r="I90" s="19"/>
      <c r="J90" s="39"/>
      <c r="K90" s="20"/>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row>
    <row r="91" spans="1:44" ht="13.95" customHeight="1">
      <c r="A91" s="30"/>
      <c r="B91" s="30"/>
      <c r="C91" s="36"/>
      <c r="D91" s="19"/>
      <c r="E91" s="19"/>
      <c r="F91" s="19"/>
      <c r="G91" s="19"/>
      <c r="H91" s="39"/>
      <c r="I91" s="19"/>
      <c r="J91" s="39"/>
      <c r="K91" s="20"/>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row>
    <row r="92" spans="1:44" ht="13.95" customHeight="1">
      <c r="A92" s="30"/>
      <c r="B92" s="30"/>
      <c r="C92" s="35"/>
      <c r="D92" s="19"/>
      <c r="E92" s="19"/>
      <c r="F92" s="19"/>
      <c r="G92" s="19"/>
      <c r="H92" s="39"/>
      <c r="I92" s="19"/>
      <c r="J92" s="39"/>
      <c r="K92" s="20"/>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row>
    <row r="93" spans="1:44" ht="13.95" customHeight="1">
      <c r="A93" s="30"/>
      <c r="B93" s="30"/>
      <c r="C93" s="35"/>
      <c r="D93" s="19"/>
      <c r="E93" s="19"/>
      <c r="F93" s="19"/>
      <c r="G93" s="19"/>
      <c r="H93" s="39"/>
      <c r="I93" s="19"/>
      <c r="J93" s="39"/>
      <c r="K93" s="20"/>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row>
    <row r="94" spans="1:44" ht="13.95" customHeight="1">
      <c r="A94" s="30"/>
      <c r="B94" s="30"/>
      <c r="C94" s="35"/>
      <c r="D94" s="19"/>
      <c r="E94" s="19"/>
      <c r="F94" s="19"/>
      <c r="G94" s="19"/>
      <c r="H94" s="39"/>
      <c r="I94" s="19"/>
      <c r="J94" s="39"/>
      <c r="K94" s="20"/>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row>
    <row r="95" spans="1:44" ht="13.95" customHeight="1">
      <c r="A95" s="30"/>
      <c r="B95" s="30"/>
      <c r="C95" s="35"/>
      <c r="D95" s="19"/>
      <c r="E95" s="19"/>
      <c r="F95" s="19"/>
      <c r="G95" s="19"/>
      <c r="H95" s="39"/>
      <c r="I95" s="19"/>
      <c r="J95" s="39"/>
      <c r="K95" s="20"/>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row>
    <row r="96" spans="1:44" ht="13.95" customHeight="1">
      <c r="A96" s="30"/>
      <c r="B96" s="30"/>
      <c r="C96" s="35"/>
      <c r="D96" s="19"/>
      <c r="E96" s="19"/>
      <c r="F96" s="19"/>
      <c r="G96" s="19"/>
      <c r="H96" s="39"/>
      <c r="I96" s="19"/>
      <c r="J96" s="39"/>
      <c r="K96" s="20"/>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row>
    <row r="97" spans="1:44" ht="13.95" customHeight="1">
      <c r="A97" s="30"/>
      <c r="B97" s="30"/>
      <c r="C97" s="35"/>
      <c r="D97" s="19"/>
      <c r="E97" s="19"/>
      <c r="F97" s="19"/>
      <c r="G97" s="19"/>
      <c r="H97" s="39"/>
      <c r="I97" s="19"/>
      <c r="J97" s="39"/>
      <c r="K97" s="20"/>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row>
    <row r="98" spans="1:44" ht="13.95" customHeight="1">
      <c r="A98" s="30"/>
      <c r="B98" s="30"/>
      <c r="C98" s="35"/>
      <c r="D98" s="19"/>
      <c r="E98" s="19"/>
      <c r="F98" s="19"/>
      <c r="G98" s="19"/>
      <c r="H98" s="39"/>
      <c r="I98" s="19"/>
      <c r="J98" s="39"/>
      <c r="K98" s="20"/>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row>
    <row r="99" spans="1:44" ht="13.95" customHeight="1">
      <c r="A99" s="30"/>
      <c r="B99" s="30"/>
      <c r="C99" s="35"/>
      <c r="D99" s="19"/>
      <c r="E99" s="19"/>
      <c r="F99" s="19"/>
      <c r="G99" s="19"/>
      <c r="H99" s="39"/>
      <c r="I99" s="19"/>
      <c r="J99" s="39"/>
      <c r="K99" s="20"/>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row>
    <row r="100" spans="1:44" ht="13.95" customHeight="1">
      <c r="A100" s="30"/>
      <c r="B100" s="30"/>
      <c r="C100" s="32"/>
      <c r="D100" s="19"/>
      <c r="E100" s="19"/>
      <c r="F100" s="19"/>
      <c r="G100" s="19"/>
      <c r="H100" s="39"/>
      <c r="I100" s="19"/>
      <c r="J100" s="39"/>
      <c r="K100" s="20"/>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row>
    <row r="101" spans="1:44" ht="13.95" customHeight="1">
      <c r="A101" s="30"/>
      <c r="B101" s="30"/>
      <c r="C101" s="32"/>
      <c r="D101" s="19"/>
      <c r="E101" s="19"/>
      <c r="F101" s="19"/>
      <c r="G101" s="19"/>
      <c r="H101" s="39"/>
      <c r="I101" s="19"/>
      <c r="J101" s="39"/>
      <c r="K101" s="20"/>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row>
    <row r="102" spans="1:44" ht="13.95" customHeight="1">
      <c r="A102" s="30"/>
      <c r="B102" s="30"/>
      <c r="D102" s="29"/>
      <c r="E102" s="29"/>
      <c r="F102" s="29"/>
      <c r="G102" s="29"/>
      <c r="H102" s="277"/>
      <c r="I102" s="29"/>
      <c r="J102" s="277"/>
      <c r="K102" s="28"/>
    </row>
    <row r="103" spans="1:44" ht="13.95" customHeight="1">
      <c r="A103" s="30"/>
      <c r="B103" s="30"/>
      <c r="D103" s="29"/>
      <c r="E103" s="29"/>
      <c r="F103" s="29"/>
      <c r="G103" s="29"/>
      <c r="H103" s="277"/>
      <c r="I103" s="29"/>
      <c r="J103" s="277"/>
      <c r="K103" s="28"/>
    </row>
    <row r="104" spans="1:44" ht="13.95" customHeight="1">
      <c r="D104" s="29"/>
      <c r="E104" s="29"/>
      <c r="F104" s="29"/>
      <c r="G104" s="29"/>
      <c r="H104" s="277"/>
      <c r="I104" s="29"/>
      <c r="J104" s="277"/>
      <c r="K104" s="28"/>
    </row>
  </sheetData>
  <pageMargins left="0.55118110236220497" right="0.55118110236220497" top="0.39370078740157499" bottom="0.55118110236220497" header="0.31496062992126" footer="0.31496062992126"/>
  <pageSetup scale="40" fitToHeight="0" orientation="landscape" r:id="rId1"/>
  <headerFooter scaleWithDoc="0" alignWithMargins="0">
    <oddHeader>&amp;R&amp;11DRAFT</oddHeader>
    <oddFooter xml:space="preserve">&amp;LPage &amp;P    </oddFooter>
  </headerFooter>
  <rowBreaks count="1" manualBreakCount="1">
    <brk id="81" max="43" man="1"/>
  </rowBreaks>
</worksheet>
</file>

<file path=xl/worksheets/sheet17.xml><?xml version="1.0" encoding="utf-8"?>
<worksheet xmlns="http://schemas.openxmlformats.org/spreadsheetml/2006/main" xmlns:r="http://schemas.openxmlformats.org/officeDocument/2006/relationships">
  <sheetPr codeName="Sheet61">
    <tabColor rgb="FF262261"/>
  </sheetPr>
  <dimension ref="A10"/>
  <sheetViews>
    <sheetView showGridLines="0" view="pageBreakPreview" zoomScaleNormal="100" zoomScaleSheetLayoutView="100" workbookViewId="0">
      <selection activeCell="A26" sqref="A26"/>
    </sheetView>
  </sheetViews>
  <sheetFormatPr defaultColWidth="6.19921875" defaultRowHeight="10.199999999999999"/>
  <cols>
    <col min="1" max="1" width="82.59765625" style="6" customWidth="1"/>
    <col min="2" max="16384" width="6.19921875" style="6"/>
  </cols>
  <sheetData>
    <row r="10" spans="1:1" ht="55.2" customHeight="1">
      <c r="A10" s="71" t="str">
        <f ca="1">RIGHT(CELL("filename",A1),LEN(CELL("filename",A1))-FIND("]",CELL("filename",A1)))</f>
        <v>Source &gt;&gt;&gt;</v>
      </c>
    </row>
  </sheetData>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sheetPr>
    <tabColor theme="0" tint="-0.499984740745262"/>
  </sheetPr>
  <dimension ref="A1:AS66"/>
  <sheetViews>
    <sheetView showGridLines="0" zoomScaleNormal="100" workbookViewId="0">
      <pane xSplit="3" ySplit="1" topLeftCell="D62" activePane="bottomRight" state="frozen"/>
      <selection pane="topRight" activeCell="F1" sqref="F1"/>
      <selection pane="bottomLeft" activeCell="A2" sqref="A2"/>
      <selection pane="bottomRight" activeCell="L99" sqref="L99"/>
    </sheetView>
  </sheetViews>
  <sheetFormatPr defaultColWidth="8.69921875" defaultRowHeight="10.199999999999999"/>
  <cols>
    <col min="1" max="1" width="9" style="86" bestFit="1" customWidth="1"/>
    <col min="2" max="2" width="24" style="86" customWidth="1"/>
    <col min="3" max="3" width="10.19921875" style="86" customWidth="1"/>
    <col min="4" max="14" width="8.09765625" style="86" bestFit="1" customWidth="1"/>
    <col min="15" max="15" width="8.59765625" style="86" bestFit="1" customWidth="1"/>
    <col min="16" max="32" width="8.09765625" style="86" bestFit="1" customWidth="1"/>
    <col min="33" max="36" width="6.69921875" style="86" bestFit="1" customWidth="1"/>
    <col min="37" max="39" width="7.59765625" style="86" bestFit="1" customWidth="1"/>
    <col min="40" max="45" width="6.69921875" style="86" bestFit="1" customWidth="1"/>
    <col min="46" max="16384" width="8.69921875" style="86"/>
  </cols>
  <sheetData>
    <row r="1" spans="1:45" ht="10.8" thickBot="1">
      <c r="A1" s="414" t="s">
        <v>165</v>
      </c>
      <c r="B1" s="414" t="s">
        <v>163</v>
      </c>
      <c r="C1" s="414" t="s">
        <v>164</v>
      </c>
      <c r="D1" s="415">
        <v>44227</v>
      </c>
      <c r="E1" s="415">
        <f>EOMONTH(D1,1)</f>
        <v>44255</v>
      </c>
      <c r="F1" s="415">
        <f t="shared" ref="F1:AH1" si="0">EOMONTH(E1,1)</f>
        <v>44286</v>
      </c>
      <c r="G1" s="415">
        <f t="shared" si="0"/>
        <v>44316</v>
      </c>
      <c r="H1" s="415">
        <f t="shared" si="0"/>
        <v>44347</v>
      </c>
      <c r="I1" s="415">
        <f t="shared" si="0"/>
        <v>44377</v>
      </c>
      <c r="J1" s="415">
        <f t="shared" si="0"/>
        <v>44408</v>
      </c>
      <c r="K1" s="415">
        <f t="shared" si="0"/>
        <v>44439</v>
      </c>
      <c r="L1" s="415">
        <f t="shared" si="0"/>
        <v>44469</v>
      </c>
      <c r="M1" s="415">
        <f t="shared" si="0"/>
        <v>44500</v>
      </c>
      <c r="N1" s="415">
        <f t="shared" si="0"/>
        <v>44530</v>
      </c>
      <c r="O1" s="415">
        <f t="shared" si="0"/>
        <v>44561</v>
      </c>
      <c r="P1" s="415">
        <f t="shared" si="0"/>
        <v>44592</v>
      </c>
      <c r="Q1" s="415">
        <f t="shared" si="0"/>
        <v>44620</v>
      </c>
      <c r="R1" s="415">
        <f t="shared" si="0"/>
        <v>44651</v>
      </c>
      <c r="S1" s="415">
        <f t="shared" si="0"/>
        <v>44681</v>
      </c>
      <c r="T1" s="415">
        <f t="shared" si="0"/>
        <v>44712</v>
      </c>
      <c r="U1" s="415">
        <f t="shared" si="0"/>
        <v>44742</v>
      </c>
      <c r="V1" s="415">
        <f t="shared" si="0"/>
        <v>44773</v>
      </c>
      <c r="W1" s="415">
        <f t="shared" si="0"/>
        <v>44804</v>
      </c>
      <c r="X1" s="415">
        <f t="shared" si="0"/>
        <v>44834</v>
      </c>
      <c r="Y1" s="415">
        <f t="shared" si="0"/>
        <v>44865</v>
      </c>
      <c r="Z1" s="415">
        <f t="shared" si="0"/>
        <v>44895</v>
      </c>
      <c r="AA1" s="415">
        <f t="shared" si="0"/>
        <v>44926</v>
      </c>
      <c r="AB1" s="415">
        <f t="shared" si="0"/>
        <v>44957</v>
      </c>
      <c r="AC1" s="415">
        <f t="shared" si="0"/>
        <v>44985</v>
      </c>
      <c r="AD1" s="415">
        <f t="shared" si="0"/>
        <v>45016</v>
      </c>
      <c r="AE1" s="415">
        <f t="shared" si="0"/>
        <v>45046</v>
      </c>
      <c r="AF1" s="415">
        <f t="shared" si="0"/>
        <v>45077</v>
      </c>
      <c r="AG1" s="415">
        <f t="shared" si="0"/>
        <v>45107</v>
      </c>
      <c r="AH1" s="415">
        <f t="shared" si="0"/>
        <v>45138</v>
      </c>
      <c r="AI1" s="415"/>
      <c r="AJ1" s="415"/>
      <c r="AK1" s="415"/>
      <c r="AL1" s="415"/>
      <c r="AM1" s="415"/>
      <c r="AN1" s="415"/>
      <c r="AO1" s="415"/>
      <c r="AP1" s="415"/>
      <c r="AQ1" s="415"/>
      <c r="AR1" s="415"/>
      <c r="AS1" s="415"/>
    </row>
    <row r="2" spans="1:45">
      <c r="D2" s="381"/>
      <c r="E2" s="381"/>
      <c r="F2" s="381"/>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row>
    <row r="3" spans="1:45">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row>
    <row r="4" spans="1:45">
      <c r="D4" s="381"/>
      <c r="E4" s="381"/>
      <c r="F4" s="381"/>
      <c r="G4" s="381"/>
      <c r="H4" s="381"/>
      <c r="I4" s="381"/>
      <c r="J4" s="381"/>
      <c r="K4" s="381"/>
      <c r="L4" s="381"/>
      <c r="M4" s="381"/>
      <c r="N4" s="381"/>
      <c r="O4" s="381"/>
      <c r="P4" s="381"/>
      <c r="Q4" s="381"/>
      <c r="R4" s="381"/>
      <c r="S4" s="381"/>
      <c r="T4" s="381"/>
      <c r="U4" s="381"/>
      <c r="V4" s="381"/>
      <c r="W4" s="381"/>
      <c r="X4" s="381"/>
      <c r="Y4" s="381"/>
      <c r="Z4" s="381"/>
      <c r="AA4" s="381"/>
      <c r="AB4" s="381"/>
      <c r="AC4" s="381"/>
      <c r="AD4" s="381"/>
      <c r="AE4" s="381"/>
      <c r="AF4" s="381"/>
    </row>
    <row r="5" spans="1:45">
      <c r="D5" s="381"/>
      <c r="E5" s="381"/>
      <c r="F5" s="381"/>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row>
    <row r="6" spans="1:45">
      <c r="D6" s="381"/>
      <c r="E6" s="381"/>
      <c r="F6" s="381"/>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row>
    <row r="7" spans="1:45">
      <c r="D7" s="381"/>
      <c r="E7" s="381"/>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row>
    <row r="8" spans="1:45">
      <c r="D8" s="381"/>
      <c r="E8" s="381"/>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row>
    <row r="9" spans="1:45">
      <c r="D9" s="381"/>
      <c r="E9" s="381"/>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row>
    <row r="10" spans="1:45">
      <c r="D10" s="381"/>
      <c r="E10" s="381"/>
      <c r="F10" s="381"/>
      <c r="G10" s="381"/>
      <c r="H10" s="381"/>
      <c r="I10" s="381"/>
      <c r="J10" s="381"/>
      <c r="K10" s="381"/>
      <c r="L10" s="381"/>
      <c r="M10" s="381"/>
      <c r="N10" s="381"/>
      <c r="O10" s="381"/>
      <c r="P10" s="381"/>
      <c r="Q10" s="381"/>
      <c r="R10" s="381"/>
      <c r="S10" s="381"/>
      <c r="T10" s="381"/>
      <c r="U10" s="381"/>
      <c r="V10" s="381"/>
      <c r="W10" s="381"/>
      <c r="X10" s="381"/>
      <c r="Y10" s="381"/>
      <c r="Z10" s="381"/>
      <c r="AA10" s="381"/>
      <c r="AB10" s="381"/>
      <c r="AC10" s="381"/>
      <c r="AD10" s="381"/>
      <c r="AE10" s="381"/>
      <c r="AF10" s="381"/>
    </row>
    <row r="11" spans="1:45">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row>
    <row r="12" spans="1:45">
      <c r="D12" s="381"/>
      <c r="E12" s="381"/>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row>
    <row r="13" spans="1:45">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row>
    <row r="14" spans="1:45">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row>
    <row r="15" spans="1:45">
      <c r="D15" s="381"/>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row>
    <row r="16" spans="1:45">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row>
    <row r="17" spans="4:32">
      <c r="D17" s="381"/>
      <c r="E17" s="381"/>
      <c r="F17" s="381"/>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row>
    <row r="18" spans="4:32">
      <c r="D18" s="381"/>
      <c r="E18" s="381"/>
      <c r="F18" s="381"/>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row>
    <row r="19" spans="4:32">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row>
    <row r="20" spans="4:32">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row>
    <row r="21" spans="4:32">
      <c r="D21" s="381"/>
      <c r="E21" s="381"/>
      <c r="F21" s="381"/>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row>
    <row r="22" spans="4:32">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row>
    <row r="23" spans="4:32">
      <c r="D23" s="381"/>
      <c r="E23" s="381"/>
      <c r="F23" s="381"/>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row>
    <row r="24" spans="4:32">
      <c r="D24" s="381"/>
      <c r="E24" s="381"/>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row>
    <row r="25" spans="4:32">
      <c r="D25" s="381"/>
      <c r="E25" s="381"/>
      <c r="F25" s="381"/>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row>
    <row r="26" spans="4:32">
      <c r="D26" s="381"/>
      <c r="E26" s="381"/>
      <c r="F26" s="381"/>
      <c r="G26" s="381"/>
      <c r="H26" s="381"/>
      <c r="I26" s="381"/>
      <c r="J26" s="381"/>
      <c r="K26" s="381"/>
      <c r="L26" s="381"/>
      <c r="M26" s="381"/>
      <c r="N26" s="381"/>
      <c r="O26" s="381"/>
      <c r="P26" s="381"/>
      <c r="Q26" s="381"/>
      <c r="R26" s="381"/>
      <c r="S26" s="381"/>
      <c r="T26" s="381"/>
      <c r="U26" s="381"/>
      <c r="V26" s="381"/>
      <c r="W26" s="381"/>
      <c r="X26" s="381"/>
      <c r="Y26" s="381"/>
      <c r="Z26" s="381"/>
      <c r="AA26" s="381"/>
      <c r="AB26" s="381"/>
      <c r="AC26" s="381"/>
      <c r="AD26" s="381"/>
      <c r="AE26" s="381"/>
      <c r="AF26" s="381"/>
    </row>
    <row r="27" spans="4:32">
      <c r="D27" s="381"/>
      <c r="E27" s="381"/>
      <c r="F27" s="381"/>
      <c r="G27" s="381"/>
      <c r="H27" s="381"/>
      <c r="I27" s="381"/>
      <c r="J27" s="381"/>
      <c r="K27" s="381"/>
      <c r="L27" s="381"/>
      <c r="M27" s="381"/>
      <c r="N27" s="381"/>
      <c r="O27" s="381"/>
      <c r="P27" s="381"/>
      <c r="Q27" s="381"/>
      <c r="R27" s="381"/>
      <c r="S27" s="381"/>
      <c r="T27" s="381"/>
      <c r="U27" s="381"/>
      <c r="V27" s="381"/>
      <c r="W27" s="381"/>
      <c r="X27" s="381"/>
      <c r="Y27" s="381"/>
      <c r="Z27" s="381"/>
      <c r="AA27" s="381"/>
      <c r="AB27" s="381"/>
      <c r="AC27" s="381"/>
      <c r="AD27" s="381"/>
      <c r="AE27" s="381"/>
      <c r="AF27" s="381"/>
    </row>
    <row r="28" spans="4:32">
      <c r="D28" s="381"/>
      <c r="E28" s="381"/>
      <c r="F28" s="381"/>
      <c r="G28" s="381"/>
      <c r="H28" s="381"/>
      <c r="I28" s="381"/>
      <c r="J28" s="381"/>
      <c r="K28" s="381"/>
      <c r="L28" s="381"/>
      <c r="M28" s="381"/>
      <c r="N28" s="381"/>
      <c r="O28" s="381"/>
      <c r="P28" s="381"/>
      <c r="Q28" s="381"/>
      <c r="R28" s="381"/>
      <c r="S28" s="381"/>
      <c r="T28" s="381"/>
      <c r="U28" s="381"/>
      <c r="V28" s="381"/>
      <c r="W28" s="381"/>
      <c r="X28" s="381"/>
      <c r="Y28" s="381"/>
      <c r="Z28" s="381"/>
      <c r="AA28" s="381"/>
      <c r="AB28" s="381"/>
      <c r="AC28" s="381"/>
      <c r="AD28" s="381"/>
      <c r="AE28" s="381"/>
      <c r="AF28" s="381"/>
    </row>
    <row r="29" spans="4:32">
      <c r="D29" s="381"/>
      <c r="E29" s="381"/>
      <c r="F29" s="381"/>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row>
    <row r="30" spans="4:32">
      <c r="D30" s="381"/>
      <c r="E30" s="381"/>
      <c r="F30" s="381"/>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row>
    <row r="31" spans="4:32">
      <c r="D31" s="381"/>
      <c r="E31" s="381"/>
      <c r="F31" s="381"/>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row>
    <row r="32" spans="4:32">
      <c r="D32" s="381"/>
      <c r="E32" s="381"/>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row>
    <row r="33" spans="4:32">
      <c r="D33" s="381"/>
      <c r="E33" s="381"/>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row>
    <row r="34" spans="4:32">
      <c r="D34" s="381"/>
      <c r="E34" s="381"/>
      <c r="F34" s="38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row>
    <row r="35" spans="4:32">
      <c r="D35" s="381"/>
      <c r="E35" s="381"/>
      <c r="F35" s="38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row>
    <row r="36" spans="4:32">
      <c r="D36" s="381"/>
      <c r="E36" s="381"/>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row>
    <row r="37" spans="4:32">
      <c r="D37" s="381"/>
      <c r="E37" s="381"/>
      <c r="F37" s="38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row>
    <row r="38" spans="4:32">
      <c r="D38" s="381"/>
      <c r="E38" s="381"/>
      <c r="F38" s="38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row>
    <row r="39" spans="4:32">
      <c r="D39" s="381"/>
      <c r="E39" s="381"/>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row>
    <row r="40" spans="4:32">
      <c r="D40" s="381"/>
      <c r="E40" s="381"/>
      <c r="F40" s="38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row>
    <row r="41" spans="4:32">
      <c r="D41" s="381"/>
      <c r="E41" s="381"/>
      <c r="F41" s="381"/>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row>
    <row r="42" spans="4:32">
      <c r="D42" s="381"/>
      <c r="E42" s="381"/>
      <c r="F42" s="38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row>
    <row r="43" spans="4:32">
      <c r="D43" s="381"/>
      <c r="E43" s="381"/>
      <c r="F43" s="38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row>
    <row r="44" spans="4:32">
      <c r="D44" s="381"/>
      <c r="E44" s="381"/>
      <c r="F44" s="38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row>
    <row r="45" spans="4:32">
      <c r="D45" s="381"/>
      <c r="E45" s="381"/>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row>
    <row r="46" spans="4:32">
      <c r="D46" s="381"/>
      <c r="E46" s="381"/>
      <c r="F46" s="38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row>
    <row r="47" spans="4:32">
      <c r="D47" s="381"/>
      <c r="E47" s="381"/>
      <c r="F47" s="38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row>
    <row r="48" spans="4:32">
      <c r="D48" s="381"/>
      <c r="E48" s="381"/>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row>
    <row r="49" spans="1:3" s="381" customFormat="1">
      <c r="A49" s="86"/>
      <c r="B49" s="86"/>
      <c r="C49" s="86"/>
    </row>
    <row r="50" spans="1:3" s="381" customFormat="1">
      <c r="A50" s="86"/>
      <c r="B50" s="86"/>
      <c r="C50" s="86"/>
    </row>
    <row r="51" spans="1:3" s="381" customFormat="1">
      <c r="A51" s="86"/>
      <c r="B51" s="86"/>
      <c r="C51" s="86"/>
    </row>
    <row r="52" spans="1:3" s="381" customFormat="1">
      <c r="A52" s="86"/>
      <c r="B52" s="86"/>
      <c r="C52" s="86"/>
    </row>
    <row r="53" spans="1:3" s="381" customFormat="1">
      <c r="A53" s="86"/>
      <c r="B53" s="86"/>
      <c r="C53" s="86"/>
    </row>
    <row r="54" spans="1:3" s="381" customFormat="1">
      <c r="A54" s="86"/>
      <c r="B54" s="86"/>
      <c r="C54" s="86"/>
    </row>
    <row r="55" spans="1:3" s="381" customFormat="1">
      <c r="A55" s="86"/>
      <c r="B55" s="86"/>
      <c r="C55" s="86"/>
    </row>
    <row r="56" spans="1:3" s="381" customFormat="1">
      <c r="A56" s="86"/>
      <c r="B56" s="86"/>
      <c r="C56" s="86"/>
    </row>
    <row r="57" spans="1:3" s="381" customFormat="1">
      <c r="A57" s="86"/>
      <c r="B57" s="86"/>
      <c r="C57" s="86"/>
    </row>
    <row r="58" spans="1:3" s="381" customFormat="1">
      <c r="A58" s="86"/>
      <c r="B58" s="86"/>
      <c r="C58" s="86"/>
    </row>
    <row r="59" spans="1:3" s="381" customFormat="1">
      <c r="A59" s="86"/>
      <c r="B59" s="86"/>
      <c r="C59" s="86"/>
    </row>
    <row r="60" spans="1:3" s="381" customFormat="1">
      <c r="A60" s="86"/>
      <c r="B60" s="86"/>
      <c r="C60" s="86"/>
    </row>
    <row r="61" spans="1:3" s="381" customFormat="1">
      <c r="A61" s="86"/>
      <c r="B61" s="86"/>
      <c r="C61" s="86"/>
    </row>
    <row r="62" spans="1:3" s="381" customFormat="1">
      <c r="A62" s="86"/>
      <c r="B62" s="86"/>
      <c r="C62" s="86"/>
    </row>
    <row r="63" spans="1:3" s="381" customFormat="1">
      <c r="A63" s="86"/>
      <c r="B63" s="86"/>
      <c r="C63" s="86"/>
    </row>
    <row r="64" spans="1:3" s="381" customFormat="1">
      <c r="A64" s="86"/>
      <c r="B64" s="86"/>
      <c r="C64" s="86"/>
    </row>
    <row r="65" spans="1:3" s="381" customFormat="1">
      <c r="A65" s="86"/>
      <c r="B65" s="86"/>
      <c r="C65" s="86"/>
    </row>
    <row r="66" spans="1:3" s="381" customFormat="1">
      <c r="A66" s="86"/>
      <c r="B66" s="86"/>
      <c r="C66" s="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STOC Accounting Diligence Datab</vt:lpstr>
      <vt:lpstr>Cover &gt;&gt;&gt;</vt:lpstr>
      <vt:lpstr>QE Summary</vt:lpstr>
      <vt:lpstr>QE &amp; Support &gt;&gt;&gt;</vt:lpstr>
      <vt:lpstr>Lead QE</vt:lpstr>
      <vt:lpstr>QE Descriptions</vt:lpstr>
      <vt:lpstr>QE Detail - MGMT.</vt:lpstr>
      <vt:lpstr>Recast PLs &gt;&gt;&gt;</vt:lpstr>
      <vt:lpstr>Recast Reported</vt:lpstr>
      <vt:lpstr>Recast Mgmt. Adjusted</vt:lpstr>
      <vt:lpstr>Other Recast</vt:lpstr>
      <vt:lpstr>Reconciliations &gt;&gt;&gt;</vt:lpstr>
      <vt:lpstr>Proof of Revenue</vt:lpstr>
      <vt:lpstr>Profit and Loss &gt;&gt;&gt;</vt:lpstr>
      <vt:lpstr>Lead PL</vt:lpstr>
      <vt:lpstr>PL</vt:lpstr>
      <vt:lpstr>Source &gt;&gt;&gt;</vt:lpstr>
      <vt:lpstr>PL Database</vt:lpstr>
      <vt:lpstr>City</vt:lpstr>
      <vt:lpstr>First_Reporting_Year</vt:lpstr>
      <vt:lpstr>'Lead PL'!Print_Area</vt:lpstr>
      <vt:lpstr>'Lead QE'!Print_Area</vt:lpstr>
      <vt:lpstr>'Other Recast'!Print_Area</vt:lpstr>
      <vt:lpstr>PL!Print_Area</vt:lpstr>
      <vt:lpstr>'Proof of Revenue'!Print_Area</vt:lpstr>
      <vt:lpstr>'QE &amp; Support &gt;&gt;&gt;'!Print_Area</vt:lpstr>
      <vt:lpstr>'QE Detail - MGMT.'!Print_Area</vt:lpstr>
      <vt:lpstr>'Recast Mgmt. Adjusted'!Print_Area</vt:lpstr>
      <vt:lpstr>'Recast Reported'!Print_Area</vt:lpstr>
      <vt:lpstr>'Reconciliations &gt;&gt;&gt;'!Print_Area</vt:lpstr>
      <vt:lpstr>'Other Recast'!Print_Titles</vt:lpstr>
      <vt:lpstr>Project</vt:lpstr>
      <vt:lpstr>Second_Reporting_Year</vt:lpstr>
      <vt:lpstr>State</vt:lpstr>
      <vt:lpstr>Stub_Period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STOC Advisory</dc:creator>
  <cp:lastModifiedBy>918533846404</cp:lastModifiedBy>
  <cp:lastPrinted>2024-06-24T10:32:59Z</cp:lastPrinted>
  <dcterms:created xsi:type="dcterms:W3CDTF">2019-01-17T02:22:24Z</dcterms:created>
  <dcterms:modified xsi:type="dcterms:W3CDTF">2025-06-11T12:08:54Z</dcterms:modified>
</cp:coreProperties>
</file>